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ASUS\OneDrive\Documenti\PRI_2023\"/>
    </mc:Choice>
  </mc:AlternateContent>
  <xr:revisionPtr revIDLastSave="0" documentId="13_ncr:1_{A8264CC9-06CD-4345-948D-6A7678C31D94}" xr6:coauthVersionLast="47" xr6:coauthVersionMax="47" xr10:uidLastSave="{00000000-0000-0000-0000-000000000000}"/>
  <bookViews>
    <workbookView xWindow="30" yWindow="30" windowWidth="20460" windowHeight="11490" xr2:uid="{6DAFFC21-5939-45CB-AF23-80E039DD1032}"/>
  </bookViews>
  <sheets>
    <sheet name="PRI_SFR" sheetId="2" r:id="rId1"/>
    <sheet name="Foglio1" sheetId="1" r:id="rId2"/>
  </sheets>
  <definedNames>
    <definedName name="_xlnm._FilterDatabase" localSheetId="0" hidden="1">PRI_SFR!$A$2:$JZ$691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2" l="1"/>
  <c r="J7" i="2"/>
  <c r="K7" i="2"/>
  <c r="L7" i="2"/>
  <c r="M7" i="2"/>
  <c r="N7" i="2"/>
  <c r="Y691" i="2"/>
  <c r="Y687" i="2"/>
  <c r="Y682" i="2"/>
  <c r="Y676" i="2"/>
  <c r="Y673" i="2"/>
  <c r="Y669" i="2"/>
  <c r="Y658" i="2"/>
  <c r="Y655" i="2"/>
  <c r="Y652" i="2"/>
  <c r="Y649" i="2"/>
  <c r="Y645" i="2"/>
  <c r="Y639" i="2"/>
  <c r="Y635" i="2"/>
  <c r="Y632" i="2"/>
  <c r="Y629" i="2"/>
  <c r="Y621" i="2"/>
  <c r="Y613" i="2"/>
  <c r="Y605" i="2"/>
  <c r="Y597" i="2"/>
  <c r="Y586" i="2"/>
  <c r="Y575" i="2"/>
  <c r="Y562" i="2"/>
  <c r="Y558" i="2"/>
  <c r="Y554" i="2"/>
  <c r="Y551" i="2"/>
  <c r="Y549" i="2"/>
  <c r="Y547" i="2"/>
  <c r="Y534" i="2"/>
  <c r="Y531" i="2"/>
  <c r="Y528" i="2"/>
  <c r="Y524" i="2"/>
  <c r="Y520" i="2"/>
  <c r="Y518" i="2"/>
  <c r="Y516" i="2"/>
  <c r="Y508" i="2"/>
  <c r="Y506" i="2"/>
  <c r="Y501" i="2"/>
  <c r="Y493" i="2"/>
  <c r="Y485" i="2"/>
  <c r="Y478" i="2"/>
  <c r="Y468" i="2"/>
  <c r="Y463" i="2"/>
  <c r="Y459" i="2"/>
  <c r="Y457" i="2"/>
  <c r="Y453" i="2"/>
  <c r="Y448" i="2"/>
  <c r="Y437" i="2"/>
  <c r="Y432" i="2"/>
  <c r="Y425" i="2"/>
  <c r="Y423" i="2"/>
  <c r="Y417" i="2"/>
  <c r="Y415" i="2"/>
  <c r="Y411" i="2"/>
  <c r="Y405" i="2"/>
  <c r="Y400" i="2"/>
  <c r="Y394" i="2"/>
  <c r="Y383" i="2"/>
  <c r="Y378" i="2"/>
  <c r="Y373" i="2"/>
  <c r="Y366" i="2"/>
  <c r="Y358" i="2"/>
  <c r="Y353" i="2"/>
  <c r="Y346" i="2"/>
  <c r="Y341" i="2"/>
  <c r="Y334" i="2"/>
  <c r="Y331" i="2"/>
  <c r="Y327" i="2"/>
  <c r="Y316" i="2"/>
  <c r="Y310" i="2"/>
  <c r="Y306" i="2"/>
  <c r="Y302" i="2"/>
  <c r="Y296" i="2"/>
  <c r="Y290" i="2"/>
  <c r="Y280" i="2"/>
  <c r="Y276" i="2"/>
  <c r="Y271" i="2"/>
  <c r="Y265" i="2"/>
  <c r="Y260" i="2"/>
  <c r="Y252" i="2"/>
  <c r="Y248" i="2"/>
  <c r="Y244" i="2"/>
  <c r="Y237" i="2"/>
  <c r="Y232" i="2"/>
  <c r="Y226" i="2"/>
  <c r="Y222" i="2"/>
  <c r="Y220" i="2"/>
  <c r="Y218" i="2"/>
  <c r="L290" i="2"/>
  <c r="Y179" i="2"/>
  <c r="AA154" i="2"/>
  <c r="AA157" i="2"/>
  <c r="AA160" i="2"/>
  <c r="AA151" i="2"/>
  <c r="N690" i="2" l="1"/>
  <c r="N689" i="2"/>
  <c r="N688" i="2"/>
  <c r="N686" i="2"/>
  <c r="N685" i="2"/>
  <c r="N684" i="2"/>
  <c r="N683" i="2"/>
  <c r="N681" i="2"/>
  <c r="N680" i="2"/>
  <c r="N679" i="2"/>
  <c r="N678" i="2"/>
  <c r="N677" i="2"/>
  <c r="N675" i="2"/>
  <c r="N674" i="2"/>
  <c r="N672" i="2"/>
  <c r="N671" i="2"/>
  <c r="N670" i="2"/>
  <c r="N668" i="2"/>
  <c r="N667" i="2"/>
  <c r="N666" i="2"/>
  <c r="N665" i="2"/>
  <c r="N664" i="2"/>
  <c r="N663" i="2"/>
  <c r="N662" i="2"/>
  <c r="N661" i="2"/>
  <c r="N660" i="2"/>
  <c r="N659" i="2"/>
  <c r="N657" i="2"/>
  <c r="N656" i="2"/>
  <c r="N654" i="2"/>
  <c r="N653" i="2"/>
  <c r="N651" i="2"/>
  <c r="N650" i="2"/>
  <c r="N648" i="2"/>
  <c r="N647" i="2"/>
  <c r="N646" i="2"/>
  <c r="N644" i="2"/>
  <c r="N643" i="2"/>
  <c r="N642" i="2"/>
  <c r="N641" i="2"/>
  <c r="N640" i="2"/>
  <c r="N638" i="2"/>
  <c r="N637" i="2"/>
  <c r="N636" i="2"/>
  <c r="N634" i="2"/>
  <c r="N633" i="2"/>
  <c r="N631" i="2"/>
  <c r="N630" i="2"/>
  <c r="N628" i="2"/>
  <c r="N627" i="2"/>
  <c r="N626" i="2"/>
  <c r="N625" i="2"/>
  <c r="N624" i="2"/>
  <c r="N623" i="2"/>
  <c r="N622" i="2"/>
  <c r="N620" i="2"/>
  <c r="N619" i="2"/>
  <c r="N618" i="2"/>
  <c r="N617" i="2"/>
  <c r="N616" i="2"/>
  <c r="N615" i="2"/>
  <c r="N614" i="2"/>
  <c r="N612" i="2"/>
  <c r="N611" i="2"/>
  <c r="N610" i="2"/>
  <c r="N609" i="2"/>
  <c r="N608" i="2"/>
  <c r="N607" i="2"/>
  <c r="N606" i="2"/>
  <c r="N604" i="2"/>
  <c r="N603" i="2"/>
  <c r="N602" i="2"/>
  <c r="N601" i="2"/>
  <c r="N600" i="2"/>
  <c r="N599" i="2"/>
  <c r="N598" i="2"/>
  <c r="N596" i="2"/>
  <c r="N595" i="2"/>
  <c r="N594" i="2"/>
  <c r="N593" i="2"/>
  <c r="N592" i="2"/>
  <c r="N591" i="2"/>
  <c r="N590" i="2"/>
  <c r="N589" i="2"/>
  <c r="N588" i="2"/>
  <c r="N587" i="2"/>
  <c r="N585" i="2"/>
  <c r="N584" i="2"/>
  <c r="N583" i="2"/>
  <c r="N582" i="2"/>
  <c r="N581" i="2"/>
  <c r="N580" i="2"/>
  <c r="N579" i="2"/>
  <c r="N578" i="2"/>
  <c r="N577" i="2"/>
  <c r="N576" i="2"/>
  <c r="N574" i="2"/>
  <c r="N573" i="2"/>
  <c r="N572" i="2"/>
  <c r="N571" i="2"/>
  <c r="N570" i="2"/>
  <c r="N569" i="2"/>
  <c r="N568" i="2"/>
  <c r="N567" i="2"/>
  <c r="N566" i="2"/>
  <c r="N565" i="2"/>
  <c r="N564" i="2"/>
  <c r="N563" i="2"/>
  <c r="N561" i="2"/>
  <c r="N560" i="2"/>
  <c r="N559" i="2"/>
  <c r="N557" i="2"/>
  <c r="N556" i="2"/>
  <c r="N555" i="2"/>
  <c r="N553" i="2"/>
  <c r="N552" i="2"/>
  <c r="N550" i="2"/>
  <c r="N548" i="2"/>
  <c r="N546" i="2"/>
  <c r="N545" i="2"/>
  <c r="N544" i="2"/>
  <c r="N543" i="2"/>
  <c r="N542" i="2"/>
  <c r="N541" i="2"/>
  <c r="N540" i="2"/>
  <c r="N539" i="2"/>
  <c r="N538" i="2"/>
  <c r="N537" i="2"/>
  <c r="N536" i="2"/>
  <c r="N535" i="2"/>
  <c r="N533" i="2"/>
  <c r="N532" i="2"/>
  <c r="N530" i="2"/>
  <c r="N529" i="2"/>
  <c r="N527" i="2"/>
  <c r="N526" i="2"/>
  <c r="N525" i="2"/>
  <c r="N523" i="2"/>
  <c r="N522" i="2"/>
  <c r="N521" i="2"/>
  <c r="N519" i="2"/>
  <c r="N517" i="2"/>
  <c r="N515" i="2"/>
  <c r="N514" i="2"/>
  <c r="N513" i="2"/>
  <c r="N512" i="2"/>
  <c r="N511" i="2"/>
  <c r="N510" i="2"/>
  <c r="N509" i="2"/>
  <c r="N507" i="2"/>
  <c r="N505" i="2"/>
  <c r="N504" i="2"/>
  <c r="N503" i="2"/>
  <c r="N502" i="2"/>
  <c r="N500" i="2"/>
  <c r="N499" i="2"/>
  <c r="N498" i="2"/>
  <c r="N497" i="2"/>
  <c r="N496" i="2"/>
  <c r="N495" i="2"/>
  <c r="N494" i="2"/>
  <c r="N492" i="2"/>
  <c r="N491" i="2"/>
  <c r="N490" i="2"/>
  <c r="N489" i="2"/>
  <c r="N488" i="2"/>
  <c r="N487" i="2"/>
  <c r="N486" i="2"/>
  <c r="N484" i="2"/>
  <c r="N483" i="2"/>
  <c r="N482" i="2"/>
  <c r="N481" i="2"/>
  <c r="N480" i="2"/>
  <c r="N479" i="2"/>
  <c r="N477" i="2"/>
  <c r="N476" i="2"/>
  <c r="N475" i="2"/>
  <c r="N474" i="2"/>
  <c r="N473" i="2"/>
  <c r="N472" i="2"/>
  <c r="N471" i="2"/>
  <c r="N470" i="2"/>
  <c r="N469" i="2"/>
  <c r="N467" i="2"/>
  <c r="N466" i="2"/>
  <c r="N465" i="2"/>
  <c r="N464" i="2"/>
  <c r="N462" i="2"/>
  <c r="N461" i="2"/>
  <c r="N460" i="2"/>
  <c r="N458" i="2"/>
  <c r="N456" i="2"/>
  <c r="N455" i="2"/>
  <c r="N454" i="2"/>
  <c r="N452" i="2"/>
  <c r="N451" i="2"/>
  <c r="N450" i="2"/>
  <c r="N449" i="2"/>
  <c r="N447" i="2"/>
  <c r="N446" i="2"/>
  <c r="N445" i="2"/>
  <c r="N444" i="2"/>
  <c r="N443" i="2"/>
  <c r="N442" i="2"/>
  <c r="N441" i="2"/>
  <c r="N440" i="2"/>
  <c r="N439" i="2"/>
  <c r="N438" i="2"/>
  <c r="N436" i="2"/>
  <c r="N435" i="2"/>
  <c r="N434" i="2"/>
  <c r="N433" i="2"/>
  <c r="N431" i="2"/>
  <c r="N430" i="2"/>
  <c r="N429" i="2"/>
  <c r="N428" i="2"/>
  <c r="N427" i="2"/>
  <c r="N426" i="2"/>
  <c r="N424" i="2"/>
  <c r="N422" i="2"/>
  <c r="N421" i="2"/>
  <c r="N420" i="2"/>
  <c r="N419" i="2"/>
  <c r="N418" i="2"/>
  <c r="N416" i="2"/>
  <c r="N414" i="2"/>
  <c r="N413" i="2"/>
  <c r="N412" i="2"/>
  <c r="N410" i="2"/>
  <c r="N409" i="2"/>
  <c r="N408" i="2"/>
  <c r="N407" i="2"/>
  <c r="N406" i="2"/>
  <c r="N404" i="2"/>
  <c r="N403" i="2"/>
  <c r="N402" i="2"/>
  <c r="N401" i="2"/>
  <c r="N399" i="2"/>
  <c r="N398" i="2"/>
  <c r="N397" i="2"/>
  <c r="N396" i="2"/>
  <c r="N395" i="2"/>
  <c r="N393" i="2"/>
  <c r="N392" i="2"/>
  <c r="N391" i="2"/>
  <c r="N390" i="2"/>
  <c r="N389" i="2"/>
  <c r="N388" i="2"/>
  <c r="N387" i="2"/>
  <c r="N386" i="2"/>
  <c r="N385" i="2"/>
  <c r="N384" i="2"/>
  <c r="N382" i="2"/>
  <c r="N381" i="2"/>
  <c r="N380" i="2"/>
  <c r="N379" i="2"/>
  <c r="N377" i="2"/>
  <c r="N376" i="2"/>
  <c r="N375" i="2"/>
  <c r="N374" i="2"/>
  <c r="N372" i="2"/>
  <c r="N371" i="2"/>
  <c r="N370" i="2"/>
  <c r="N369" i="2"/>
  <c r="N368" i="2"/>
  <c r="N367" i="2"/>
  <c r="N365" i="2"/>
  <c r="N364" i="2"/>
  <c r="N363" i="2"/>
  <c r="N362" i="2"/>
  <c r="N361" i="2"/>
  <c r="N360" i="2"/>
  <c r="N359" i="2"/>
  <c r="N357" i="2"/>
  <c r="N356" i="2"/>
  <c r="N355" i="2"/>
  <c r="N354" i="2"/>
  <c r="N352" i="2"/>
  <c r="N351" i="2"/>
  <c r="N350" i="2"/>
  <c r="N349" i="2"/>
  <c r="N348" i="2"/>
  <c r="N347" i="2"/>
  <c r="N345" i="2"/>
  <c r="N344" i="2"/>
  <c r="N343" i="2"/>
  <c r="N342" i="2"/>
  <c r="N340" i="2"/>
  <c r="N339" i="2"/>
  <c r="N338" i="2"/>
  <c r="N337" i="2"/>
  <c r="N336" i="2"/>
  <c r="N335" i="2"/>
  <c r="N333" i="2"/>
  <c r="N332" i="2"/>
  <c r="N330" i="2"/>
  <c r="N329" i="2"/>
  <c r="N328" i="2"/>
  <c r="N326" i="2"/>
  <c r="N325" i="2"/>
  <c r="N324" i="2"/>
  <c r="N323" i="2"/>
  <c r="N322" i="2"/>
  <c r="N321" i="2"/>
  <c r="N320" i="2"/>
  <c r="N319" i="2"/>
  <c r="N318" i="2"/>
  <c r="N317" i="2"/>
  <c r="N315" i="2"/>
  <c r="N314" i="2"/>
  <c r="N313" i="2"/>
  <c r="N312" i="2"/>
  <c r="N311" i="2"/>
  <c r="N309" i="2"/>
  <c r="N308" i="2"/>
  <c r="N307" i="2"/>
  <c r="N305" i="2"/>
  <c r="N304" i="2"/>
  <c r="N303" i="2"/>
  <c r="N301" i="2"/>
  <c r="N300" i="2"/>
  <c r="N299" i="2"/>
  <c r="N298" i="2"/>
  <c r="N297" i="2"/>
  <c r="N295" i="2"/>
  <c r="N294" i="2"/>
  <c r="N293" i="2"/>
  <c r="N292" i="2"/>
  <c r="N291" i="2"/>
  <c r="N289" i="2"/>
  <c r="N288" i="2"/>
  <c r="N287" i="2"/>
  <c r="N286" i="2"/>
  <c r="N284" i="2"/>
  <c r="N283" i="2"/>
  <c r="N282" i="2"/>
  <c r="N281" i="2"/>
  <c r="N279" i="2"/>
  <c r="N278" i="2"/>
  <c r="N277" i="2"/>
  <c r="N275" i="2"/>
  <c r="N274" i="2"/>
  <c r="N273" i="2"/>
  <c r="N272" i="2"/>
  <c r="N270" i="2"/>
  <c r="N269" i="2"/>
  <c r="N268" i="2"/>
  <c r="N267" i="2"/>
  <c r="N266" i="2"/>
  <c r="N264" i="2"/>
  <c r="N263" i="2"/>
  <c r="N262" i="2"/>
  <c r="N261" i="2"/>
  <c r="N259" i="2"/>
  <c r="N258" i="2"/>
  <c r="N257" i="2"/>
  <c r="N256" i="2"/>
  <c r="N255" i="2"/>
  <c r="N254" i="2"/>
  <c r="N253" i="2"/>
  <c r="N251" i="2"/>
  <c r="N250" i="2"/>
  <c r="N249" i="2"/>
  <c r="N247" i="2"/>
  <c r="N246" i="2"/>
  <c r="N245" i="2"/>
  <c r="N243" i="2"/>
  <c r="N242" i="2"/>
  <c r="N241" i="2"/>
  <c r="N240" i="2"/>
  <c r="N239" i="2"/>
  <c r="N238" i="2"/>
  <c r="N236" i="2"/>
  <c r="N235" i="2"/>
  <c r="N234" i="2"/>
  <c r="N233" i="2"/>
  <c r="N231" i="2"/>
  <c r="N230" i="2"/>
  <c r="N229" i="2"/>
  <c r="N228" i="2"/>
  <c r="N227" i="2"/>
  <c r="N225" i="2"/>
  <c r="N224" i="2"/>
  <c r="N223" i="2"/>
  <c r="N221" i="2"/>
  <c r="N219" i="2"/>
  <c r="N217" i="2"/>
  <c r="N216" i="2"/>
  <c r="N215" i="2"/>
  <c r="N214" i="2"/>
  <c r="N213" i="2"/>
  <c r="N212" i="2"/>
  <c r="N211" i="2"/>
  <c r="N210" i="2"/>
  <c r="N209" i="2"/>
  <c r="N208" i="2"/>
  <c r="N207" i="2"/>
  <c r="N206" i="2"/>
  <c r="N205" i="2"/>
  <c r="N204" i="2"/>
  <c r="N203" i="2"/>
  <c r="N202" i="2"/>
  <c r="N201" i="2"/>
  <c r="N200" i="2"/>
  <c r="N199" i="2"/>
  <c r="N198" i="2"/>
  <c r="N196" i="2"/>
  <c r="N195" i="2"/>
  <c r="N194" i="2"/>
  <c r="N193" i="2"/>
  <c r="N192" i="2"/>
  <c r="N190" i="2"/>
  <c r="N189" i="2"/>
  <c r="N188" i="2"/>
  <c r="N187" i="2"/>
  <c r="N186" i="2"/>
  <c r="N185" i="2"/>
  <c r="N184" i="2"/>
  <c r="N183" i="2"/>
  <c r="N181" i="2"/>
  <c r="N180" i="2"/>
  <c r="N178" i="2"/>
  <c r="N177" i="2"/>
  <c r="N176" i="2"/>
  <c r="N174" i="2"/>
  <c r="N173" i="2"/>
  <c r="N171" i="2"/>
  <c r="N170" i="2"/>
  <c r="N169" i="2"/>
  <c r="N168" i="2"/>
  <c r="N167" i="2"/>
  <c r="N166" i="2"/>
  <c r="N165" i="2"/>
  <c r="N163" i="2"/>
  <c r="N162" i="2"/>
  <c r="N161" i="2"/>
  <c r="N160" i="2"/>
  <c r="N159" i="2"/>
  <c r="N158" i="2"/>
  <c r="N157" i="2"/>
  <c r="N156" i="2"/>
  <c r="N155" i="2"/>
  <c r="N154" i="2"/>
  <c r="N153" i="2"/>
  <c r="N152" i="2"/>
  <c r="N151" i="2"/>
  <c r="N149" i="2"/>
  <c r="N148" i="2"/>
  <c r="N146" i="2"/>
  <c r="N144" i="2"/>
  <c r="N142" i="2"/>
  <c r="N140" i="2"/>
  <c r="N139" i="2"/>
  <c r="N137" i="2"/>
  <c r="N136" i="2"/>
  <c r="N134" i="2"/>
  <c r="N133" i="2"/>
  <c r="N131" i="2"/>
  <c r="N130" i="2"/>
  <c r="N128" i="2"/>
  <c r="N126" i="2"/>
  <c r="N124" i="2"/>
  <c r="N122" i="2"/>
  <c r="N121" i="2"/>
  <c r="N120" i="2"/>
  <c r="N118" i="2"/>
  <c r="N117" i="2"/>
  <c r="N116" i="2"/>
  <c r="N114" i="2"/>
  <c r="N113" i="2"/>
  <c r="N112" i="2"/>
  <c r="N110" i="2"/>
  <c r="N108" i="2"/>
  <c r="N107" i="2"/>
  <c r="N105" i="2"/>
  <c r="N104" i="2"/>
  <c r="N102" i="2"/>
  <c r="N101" i="2"/>
  <c r="N100" i="2"/>
  <c r="N98" i="2"/>
  <c r="N97" i="2"/>
  <c r="N95" i="2"/>
  <c r="N93" i="2"/>
  <c r="N91" i="2"/>
  <c r="N90" i="2"/>
  <c r="N88" i="2"/>
  <c r="N87" i="2"/>
  <c r="N85" i="2"/>
  <c r="N83" i="2"/>
  <c r="N81" i="2"/>
  <c r="N80" i="2"/>
  <c r="N78" i="2"/>
  <c r="N76" i="2"/>
  <c r="N74" i="2"/>
  <c r="N72" i="2"/>
  <c r="N71" i="2"/>
  <c r="N69" i="2"/>
  <c r="N67" i="2"/>
  <c r="N65" i="2"/>
  <c r="N63" i="2"/>
  <c r="N61" i="2"/>
  <c r="N59" i="2"/>
  <c r="N57" i="2"/>
  <c r="N55" i="2"/>
  <c r="N54" i="2"/>
  <c r="N52" i="2"/>
  <c r="N50" i="2"/>
  <c r="N49" i="2"/>
  <c r="N47" i="2"/>
  <c r="N45" i="2"/>
  <c r="N43" i="2"/>
  <c r="N42" i="2"/>
  <c r="N40" i="2"/>
  <c r="N38" i="2"/>
  <c r="N36" i="2"/>
  <c r="N35" i="2"/>
  <c r="N34" i="2"/>
  <c r="N33" i="2"/>
  <c r="N31" i="2"/>
  <c r="N29" i="2"/>
  <c r="N27" i="2"/>
  <c r="N26" i="2"/>
  <c r="N24" i="2"/>
  <c r="N22" i="2"/>
  <c r="N20" i="2"/>
  <c r="N18" i="2"/>
  <c r="N17" i="2"/>
  <c r="N15" i="2"/>
  <c r="N13" i="2"/>
  <c r="N12" i="2"/>
  <c r="N10" i="2"/>
  <c r="N8" i="2"/>
  <c r="N5" i="2"/>
  <c r="N3" i="2"/>
  <c r="AI690" i="2"/>
  <c r="AI689" i="2"/>
  <c r="AI688" i="2"/>
  <c r="AI686" i="2"/>
  <c r="AI685" i="2"/>
  <c r="AI684" i="2"/>
  <c r="AI683" i="2"/>
  <c r="AI681" i="2"/>
  <c r="AI680" i="2"/>
  <c r="AI679" i="2"/>
  <c r="AI678" i="2"/>
  <c r="AI677" i="2"/>
  <c r="AI675" i="2"/>
  <c r="AI674" i="2"/>
  <c r="AI672" i="2"/>
  <c r="AI671" i="2"/>
  <c r="AI670" i="2"/>
  <c r="AI668" i="2"/>
  <c r="AI667" i="2"/>
  <c r="AI666" i="2"/>
  <c r="AI665" i="2"/>
  <c r="AI664" i="2"/>
  <c r="AI663" i="2"/>
  <c r="AI662" i="2"/>
  <c r="AI661" i="2"/>
  <c r="AI660" i="2"/>
  <c r="AI659" i="2"/>
  <c r="AI657" i="2"/>
  <c r="AI656" i="2"/>
  <c r="AI654" i="2"/>
  <c r="AI653" i="2"/>
  <c r="AI651" i="2"/>
  <c r="AI650" i="2"/>
  <c r="AI648" i="2"/>
  <c r="AI647" i="2"/>
  <c r="AI646" i="2"/>
  <c r="AI644" i="2"/>
  <c r="AI643" i="2"/>
  <c r="AI642" i="2"/>
  <c r="AI641" i="2"/>
  <c r="AI640" i="2"/>
  <c r="AI638" i="2"/>
  <c r="AI637" i="2"/>
  <c r="AI636" i="2"/>
  <c r="AI634" i="2"/>
  <c r="AI633" i="2"/>
  <c r="AI631" i="2"/>
  <c r="AI630" i="2"/>
  <c r="AI628" i="2"/>
  <c r="AI627" i="2"/>
  <c r="AI626" i="2"/>
  <c r="AI625" i="2"/>
  <c r="AI624" i="2"/>
  <c r="AI623" i="2"/>
  <c r="AI622" i="2"/>
  <c r="AI620" i="2"/>
  <c r="AI619" i="2"/>
  <c r="AI618" i="2"/>
  <c r="AI617" i="2"/>
  <c r="AI616" i="2"/>
  <c r="AI615" i="2"/>
  <c r="AI614" i="2"/>
  <c r="AI612" i="2"/>
  <c r="AI611" i="2"/>
  <c r="AI610" i="2"/>
  <c r="AI609" i="2"/>
  <c r="AI608" i="2"/>
  <c r="AI607" i="2"/>
  <c r="AI606" i="2"/>
  <c r="AI604" i="2"/>
  <c r="AI603" i="2"/>
  <c r="AI602" i="2"/>
  <c r="AI601" i="2"/>
  <c r="AI600" i="2"/>
  <c r="AI599" i="2"/>
  <c r="AI598" i="2"/>
  <c r="AI596" i="2"/>
  <c r="AI595" i="2"/>
  <c r="AI594" i="2"/>
  <c r="AI593" i="2"/>
  <c r="AI592" i="2"/>
  <c r="AI591" i="2"/>
  <c r="AI590" i="2"/>
  <c r="AI589" i="2"/>
  <c r="AI588" i="2"/>
  <c r="AI587" i="2"/>
  <c r="AI585" i="2"/>
  <c r="AI584" i="2"/>
  <c r="AI583" i="2"/>
  <c r="AI582" i="2"/>
  <c r="AI581" i="2"/>
  <c r="AI580" i="2"/>
  <c r="AI579" i="2"/>
  <c r="AI578" i="2"/>
  <c r="AI577" i="2"/>
  <c r="AI576" i="2"/>
  <c r="AI574" i="2"/>
  <c r="AI573" i="2"/>
  <c r="AI572" i="2"/>
  <c r="AI571" i="2"/>
  <c r="AI570" i="2"/>
  <c r="AI569" i="2"/>
  <c r="AI568" i="2"/>
  <c r="AI567" i="2"/>
  <c r="AI566" i="2"/>
  <c r="AI565" i="2"/>
  <c r="AI564" i="2"/>
  <c r="AI563" i="2"/>
  <c r="AI561" i="2"/>
  <c r="AI560" i="2"/>
  <c r="AI559" i="2"/>
  <c r="AI557" i="2"/>
  <c r="AI556" i="2"/>
  <c r="AI555" i="2"/>
  <c r="AI553" i="2"/>
  <c r="AI552" i="2"/>
  <c r="AI550" i="2"/>
  <c r="AI548" i="2"/>
  <c r="AI546" i="2"/>
  <c r="AI545" i="2"/>
  <c r="AI544" i="2"/>
  <c r="AI543" i="2"/>
  <c r="AI542" i="2"/>
  <c r="AI541" i="2"/>
  <c r="AI540" i="2"/>
  <c r="AI539" i="2"/>
  <c r="AI538" i="2"/>
  <c r="AI537" i="2"/>
  <c r="AI536" i="2"/>
  <c r="AI535" i="2"/>
  <c r="AI533" i="2"/>
  <c r="AI532" i="2"/>
  <c r="AI530" i="2"/>
  <c r="AI529" i="2"/>
  <c r="AI527" i="2"/>
  <c r="AI526" i="2"/>
  <c r="AI525" i="2"/>
  <c r="AI523" i="2"/>
  <c r="AI522" i="2"/>
  <c r="AI521" i="2"/>
  <c r="AI519" i="2"/>
  <c r="AI517" i="2"/>
  <c r="AI515" i="2"/>
  <c r="AI514" i="2"/>
  <c r="AI513" i="2"/>
  <c r="AI512" i="2"/>
  <c r="AI511" i="2"/>
  <c r="AI510" i="2"/>
  <c r="AI509" i="2"/>
  <c r="AI507" i="2"/>
  <c r="AI505" i="2"/>
  <c r="AI504" i="2"/>
  <c r="AI503" i="2"/>
  <c r="AI502" i="2"/>
  <c r="AI500" i="2"/>
  <c r="AI499" i="2"/>
  <c r="AI498" i="2"/>
  <c r="AI497" i="2"/>
  <c r="AI496" i="2"/>
  <c r="AI495" i="2"/>
  <c r="AI494" i="2"/>
  <c r="AI492" i="2"/>
  <c r="AI491" i="2"/>
  <c r="AI490" i="2"/>
  <c r="AI489" i="2"/>
  <c r="AI488" i="2"/>
  <c r="AI487" i="2"/>
  <c r="AI486" i="2"/>
  <c r="AI484" i="2"/>
  <c r="AI483" i="2"/>
  <c r="AI482" i="2"/>
  <c r="AI481" i="2"/>
  <c r="AI480" i="2"/>
  <c r="AI479" i="2"/>
  <c r="AI477" i="2"/>
  <c r="AI476" i="2"/>
  <c r="AI475" i="2"/>
  <c r="AI474" i="2"/>
  <c r="AI473" i="2"/>
  <c r="AI472" i="2"/>
  <c r="AI471" i="2"/>
  <c r="AI470" i="2"/>
  <c r="AI469" i="2"/>
  <c r="AI467" i="2"/>
  <c r="AI466" i="2"/>
  <c r="AI465" i="2"/>
  <c r="AI464" i="2"/>
  <c r="AI462" i="2"/>
  <c r="AI461" i="2"/>
  <c r="AI460" i="2"/>
  <c r="AI458" i="2"/>
  <c r="AI456" i="2"/>
  <c r="AI455" i="2"/>
  <c r="AI454" i="2"/>
  <c r="AI452" i="2"/>
  <c r="AI451" i="2"/>
  <c r="AI450" i="2"/>
  <c r="AI449" i="2"/>
  <c r="AI447" i="2"/>
  <c r="AI446" i="2"/>
  <c r="AI445" i="2"/>
  <c r="AI444" i="2"/>
  <c r="AI443" i="2"/>
  <c r="AI442" i="2"/>
  <c r="AI441" i="2"/>
  <c r="AI440" i="2"/>
  <c r="AI439" i="2"/>
  <c r="AI438" i="2"/>
  <c r="AI436" i="2"/>
  <c r="AI435" i="2"/>
  <c r="AI434" i="2"/>
  <c r="AI433" i="2"/>
  <c r="AI431" i="2"/>
  <c r="AI430" i="2"/>
  <c r="AI429" i="2"/>
  <c r="AI428" i="2"/>
  <c r="AI427" i="2"/>
  <c r="AI426" i="2"/>
  <c r="AI424" i="2"/>
  <c r="AI422" i="2"/>
  <c r="AI421" i="2"/>
  <c r="AI420" i="2"/>
  <c r="AI419" i="2"/>
  <c r="AI418" i="2"/>
  <c r="AI416" i="2"/>
  <c r="AI414" i="2"/>
  <c r="AI413" i="2"/>
  <c r="AI412" i="2"/>
  <c r="AI410" i="2"/>
  <c r="AI409" i="2"/>
  <c r="AI408" i="2"/>
  <c r="AI407" i="2"/>
  <c r="AI406" i="2"/>
  <c r="AI404" i="2"/>
  <c r="AI403" i="2"/>
  <c r="AI402" i="2"/>
  <c r="AI401" i="2"/>
  <c r="AI399" i="2"/>
  <c r="AI398" i="2"/>
  <c r="AI397" i="2"/>
  <c r="AI396" i="2"/>
  <c r="AI395" i="2"/>
  <c r="AI393" i="2"/>
  <c r="AI392" i="2"/>
  <c r="AI391" i="2"/>
  <c r="AI390" i="2"/>
  <c r="AI389" i="2"/>
  <c r="AI388" i="2"/>
  <c r="AI387" i="2"/>
  <c r="AI386" i="2"/>
  <c r="AI385" i="2"/>
  <c r="AI384" i="2"/>
  <c r="AI382" i="2"/>
  <c r="AI381" i="2"/>
  <c r="AI380" i="2"/>
  <c r="AI379" i="2"/>
  <c r="AI377" i="2"/>
  <c r="AI376" i="2"/>
  <c r="AI375" i="2"/>
  <c r="AI374" i="2"/>
  <c r="AI372" i="2"/>
  <c r="AI371" i="2"/>
  <c r="AI370" i="2"/>
  <c r="AI369" i="2"/>
  <c r="AI368" i="2"/>
  <c r="AI367" i="2"/>
  <c r="AI365" i="2"/>
  <c r="AI364" i="2"/>
  <c r="AI363" i="2"/>
  <c r="AI362" i="2"/>
  <c r="AI361" i="2"/>
  <c r="AI360" i="2"/>
  <c r="AI359" i="2"/>
  <c r="AI357" i="2"/>
  <c r="AI356" i="2"/>
  <c r="AI355" i="2"/>
  <c r="AI354" i="2"/>
  <c r="AI352" i="2"/>
  <c r="AI351" i="2"/>
  <c r="AI350" i="2"/>
  <c r="AI349" i="2"/>
  <c r="AI348" i="2"/>
  <c r="AI347" i="2"/>
  <c r="AI345" i="2"/>
  <c r="AI344" i="2"/>
  <c r="AI343" i="2"/>
  <c r="AI342" i="2"/>
  <c r="AI340" i="2"/>
  <c r="AI339" i="2"/>
  <c r="AI338" i="2"/>
  <c r="AI337" i="2"/>
  <c r="AI336" i="2"/>
  <c r="AI335" i="2"/>
  <c r="AI333" i="2"/>
  <c r="AI332" i="2"/>
  <c r="AI330" i="2"/>
  <c r="AI329" i="2"/>
  <c r="AI328" i="2"/>
  <c r="AI326" i="2"/>
  <c r="AI325" i="2"/>
  <c r="AI324" i="2"/>
  <c r="AI323" i="2"/>
  <c r="AI322" i="2"/>
  <c r="AI321" i="2"/>
  <c r="AI320" i="2"/>
  <c r="AI319" i="2"/>
  <c r="AI318" i="2"/>
  <c r="AI317" i="2"/>
  <c r="AI315" i="2"/>
  <c r="AI314" i="2"/>
  <c r="AI313" i="2"/>
  <c r="AI312" i="2"/>
  <c r="AI311" i="2"/>
  <c r="AI309" i="2"/>
  <c r="AI308" i="2"/>
  <c r="AI307" i="2"/>
  <c r="AI305" i="2"/>
  <c r="AI304" i="2"/>
  <c r="AI303" i="2"/>
  <c r="AI301" i="2"/>
  <c r="AI300" i="2"/>
  <c r="AI299" i="2"/>
  <c r="AI298" i="2"/>
  <c r="AI297" i="2"/>
  <c r="AI295" i="2"/>
  <c r="AI294" i="2"/>
  <c r="AI293" i="2"/>
  <c r="AI292" i="2"/>
  <c r="AI291" i="2"/>
  <c r="AI289" i="2"/>
  <c r="AI288" i="2"/>
  <c r="AI287" i="2"/>
  <c r="AI286" i="2"/>
  <c r="AI284" i="2"/>
  <c r="AI283" i="2"/>
  <c r="AI282" i="2"/>
  <c r="AI281" i="2"/>
  <c r="AI279" i="2"/>
  <c r="AI278" i="2"/>
  <c r="AI277" i="2"/>
  <c r="AI275" i="2"/>
  <c r="AI274" i="2"/>
  <c r="AI273" i="2"/>
  <c r="AI272" i="2"/>
  <c r="AI270" i="2"/>
  <c r="AI269" i="2"/>
  <c r="AI268" i="2"/>
  <c r="AI267" i="2"/>
  <c r="AI266" i="2"/>
  <c r="AI264" i="2"/>
  <c r="AI263" i="2"/>
  <c r="AI262" i="2"/>
  <c r="AI261" i="2"/>
  <c r="AI259" i="2"/>
  <c r="AI258" i="2"/>
  <c r="AI257" i="2"/>
  <c r="AI256" i="2"/>
  <c r="AI255" i="2"/>
  <c r="AI254" i="2"/>
  <c r="AI253" i="2"/>
  <c r="AI251" i="2"/>
  <c r="AI250" i="2"/>
  <c r="AI249" i="2"/>
  <c r="AI247" i="2"/>
  <c r="AI246" i="2"/>
  <c r="AI245" i="2"/>
  <c r="AI243" i="2"/>
  <c r="AI242" i="2"/>
  <c r="AI241" i="2"/>
  <c r="AI240" i="2"/>
  <c r="AI239" i="2"/>
  <c r="AI238" i="2"/>
  <c r="AI236" i="2"/>
  <c r="AI235" i="2"/>
  <c r="AI234" i="2"/>
  <c r="AI233" i="2"/>
  <c r="AI231" i="2"/>
  <c r="AI230" i="2"/>
  <c r="AI229" i="2"/>
  <c r="AI228" i="2"/>
  <c r="AI227" i="2"/>
  <c r="AI225" i="2"/>
  <c r="AI224" i="2"/>
  <c r="AI223" i="2"/>
  <c r="AI221" i="2"/>
  <c r="AI219" i="2"/>
  <c r="AI217" i="2"/>
  <c r="AI216" i="2"/>
  <c r="AI215" i="2"/>
  <c r="AI214" i="2"/>
  <c r="AI213" i="2"/>
  <c r="AI212" i="2"/>
  <c r="AI211" i="2"/>
  <c r="AI210" i="2"/>
  <c r="AI209" i="2"/>
  <c r="AI208" i="2"/>
  <c r="AI207" i="2"/>
  <c r="AI206" i="2"/>
  <c r="AI205" i="2"/>
  <c r="AI204" i="2"/>
  <c r="AI203" i="2"/>
  <c r="AI202" i="2"/>
  <c r="AI201" i="2"/>
  <c r="AI200" i="2"/>
  <c r="AI199" i="2"/>
  <c r="AI198" i="2"/>
  <c r="AI196" i="2"/>
  <c r="AI195" i="2"/>
  <c r="AI194" i="2"/>
  <c r="AI193" i="2"/>
  <c r="AI192" i="2"/>
  <c r="AI190" i="2"/>
  <c r="AI189" i="2"/>
  <c r="AI188" i="2"/>
  <c r="AI187" i="2"/>
  <c r="AI186" i="2"/>
  <c r="AI185" i="2"/>
  <c r="AI184" i="2"/>
  <c r="AI183" i="2"/>
  <c r="AI181" i="2"/>
  <c r="AI180" i="2"/>
  <c r="AI178" i="2"/>
  <c r="AI177" i="2"/>
  <c r="AI176" i="2"/>
  <c r="AI174" i="2"/>
  <c r="AI173" i="2"/>
  <c r="AI171" i="2"/>
  <c r="AI170" i="2"/>
  <c r="AI169" i="2"/>
  <c r="AI168" i="2"/>
  <c r="AI167" i="2"/>
  <c r="AI166" i="2"/>
  <c r="AI165" i="2"/>
  <c r="AI163" i="2"/>
  <c r="AI162" i="2"/>
  <c r="AI161" i="2"/>
  <c r="AI160" i="2"/>
  <c r="AI159" i="2"/>
  <c r="AI158" i="2"/>
  <c r="AI157" i="2"/>
  <c r="AI156" i="2"/>
  <c r="AI155" i="2"/>
  <c r="AI154" i="2"/>
  <c r="AI153" i="2"/>
  <c r="AI152" i="2"/>
  <c r="AI151" i="2"/>
  <c r="AI149" i="2"/>
  <c r="AI148" i="2"/>
  <c r="AI147" i="2"/>
  <c r="AI146" i="2"/>
  <c r="AI145" i="2"/>
  <c r="AI144" i="2"/>
  <c r="AI142" i="2"/>
  <c r="AI140" i="2"/>
  <c r="AI139" i="2"/>
  <c r="AI137" i="2"/>
  <c r="AI136" i="2"/>
  <c r="AI134" i="2"/>
  <c r="AI133" i="2"/>
  <c r="AI131" i="2"/>
  <c r="AI130" i="2"/>
  <c r="AI128" i="2"/>
  <c r="AI126" i="2"/>
  <c r="AI124" i="2"/>
  <c r="AI122" i="2"/>
  <c r="AI121" i="2"/>
  <c r="AI120" i="2"/>
  <c r="AI118" i="2"/>
  <c r="AI117" i="2"/>
  <c r="AI116" i="2"/>
  <c r="AI114" i="2"/>
  <c r="AI113" i="2"/>
  <c r="AI112" i="2"/>
  <c r="AI110" i="2"/>
  <c r="AI108" i="2"/>
  <c r="AI107" i="2"/>
  <c r="AI105" i="2"/>
  <c r="AI104" i="2"/>
  <c r="AI102" i="2"/>
  <c r="AI101" i="2"/>
  <c r="AI100" i="2"/>
  <c r="AI98" i="2"/>
  <c r="AI97" i="2"/>
  <c r="AI95" i="2"/>
  <c r="AI93" i="2"/>
  <c r="AI91" i="2"/>
  <c r="AI90" i="2"/>
  <c r="AI88" i="2"/>
  <c r="AI87" i="2"/>
  <c r="AI85" i="2"/>
  <c r="AI83" i="2"/>
  <c r="AI81" i="2"/>
  <c r="AI80" i="2"/>
  <c r="AI78" i="2"/>
  <c r="AI76" i="2"/>
  <c r="AI74" i="2"/>
  <c r="AI72" i="2"/>
  <c r="AI71" i="2"/>
  <c r="AI69" i="2"/>
  <c r="AI67" i="2"/>
  <c r="AI65" i="2"/>
  <c r="AI63" i="2"/>
  <c r="AI61" i="2"/>
  <c r="AI59" i="2"/>
  <c r="AI57" i="2"/>
  <c r="AI55" i="2"/>
  <c r="AI54" i="2"/>
  <c r="AI52" i="2"/>
  <c r="AI50" i="2"/>
  <c r="AI49" i="2"/>
  <c r="AI47" i="2"/>
  <c r="AI45" i="2"/>
  <c r="AI43" i="2"/>
  <c r="AI42" i="2"/>
  <c r="AI40" i="2"/>
  <c r="AI38" i="2"/>
  <c r="AI36" i="2"/>
  <c r="AI35" i="2"/>
  <c r="AI33" i="2"/>
  <c r="AI31" i="2"/>
  <c r="AI29" i="2"/>
  <c r="AI27" i="2"/>
  <c r="AI26" i="2"/>
  <c r="AI24" i="2"/>
  <c r="AI22" i="2"/>
  <c r="AI20" i="2"/>
  <c r="AI18" i="2"/>
  <c r="AI17" i="2"/>
  <c r="AI15" i="2"/>
  <c r="AI13" i="2"/>
  <c r="AI12" i="2"/>
  <c r="AI10" i="2"/>
  <c r="AI8" i="2"/>
  <c r="AI6" i="2"/>
  <c r="AI5" i="2"/>
  <c r="AI4" i="2"/>
  <c r="AI3" i="2"/>
  <c r="AA690" i="2"/>
  <c r="AA689" i="2"/>
  <c r="AA688" i="2"/>
  <c r="AA686" i="2"/>
  <c r="AA685" i="2"/>
  <c r="AA684" i="2"/>
  <c r="AA683" i="2"/>
  <c r="AA681" i="2"/>
  <c r="AA680" i="2"/>
  <c r="AA679" i="2"/>
  <c r="AA678" i="2"/>
  <c r="AA677" i="2"/>
  <c r="AA675" i="2"/>
  <c r="AA674" i="2"/>
  <c r="AA672" i="2"/>
  <c r="AA671" i="2"/>
  <c r="AA670" i="2"/>
  <c r="AA668" i="2"/>
  <c r="AA667" i="2"/>
  <c r="AA666" i="2"/>
  <c r="AA665" i="2"/>
  <c r="AA664" i="2"/>
  <c r="AA663" i="2"/>
  <c r="AA662" i="2"/>
  <c r="AA661" i="2"/>
  <c r="AA660" i="2"/>
  <c r="AA659" i="2"/>
  <c r="AA657" i="2"/>
  <c r="AA656" i="2"/>
  <c r="AA654" i="2"/>
  <c r="AA653" i="2"/>
  <c r="AA651" i="2"/>
  <c r="AA650" i="2"/>
  <c r="AA648" i="2"/>
  <c r="AA647" i="2"/>
  <c r="AA646" i="2"/>
  <c r="AA644" i="2"/>
  <c r="AA643" i="2"/>
  <c r="AA642" i="2"/>
  <c r="AA641" i="2"/>
  <c r="AA640" i="2"/>
  <c r="AA638" i="2"/>
  <c r="AA637" i="2"/>
  <c r="AA636" i="2"/>
  <c r="AA635" i="2"/>
  <c r="AA634" i="2"/>
  <c r="AA633" i="2"/>
  <c r="AA632" i="2"/>
  <c r="AA631" i="2"/>
  <c r="AA630" i="2"/>
  <c r="AA628" i="2"/>
  <c r="AA627" i="2"/>
  <c r="AA626" i="2"/>
  <c r="AA625" i="2"/>
  <c r="AA624" i="2"/>
  <c r="AA623" i="2"/>
  <c r="AA622" i="2"/>
  <c r="AA620" i="2"/>
  <c r="AA619" i="2"/>
  <c r="AA618" i="2"/>
  <c r="AA617" i="2"/>
  <c r="AA616" i="2"/>
  <c r="AA615" i="2"/>
  <c r="AA614" i="2"/>
  <c r="AA612" i="2"/>
  <c r="AA611" i="2"/>
  <c r="AA610" i="2"/>
  <c r="AA609" i="2"/>
  <c r="AA608" i="2"/>
  <c r="AA607" i="2"/>
  <c r="AA606" i="2"/>
  <c r="AA604" i="2"/>
  <c r="AA603" i="2"/>
  <c r="AA602" i="2"/>
  <c r="AA601" i="2"/>
  <c r="AA600" i="2"/>
  <c r="AA599" i="2"/>
  <c r="AA598" i="2"/>
  <c r="AA596" i="2"/>
  <c r="AA595" i="2"/>
  <c r="AA594" i="2"/>
  <c r="AA593" i="2"/>
  <c r="AA592" i="2"/>
  <c r="AA591" i="2"/>
  <c r="AA590" i="2"/>
  <c r="AA589" i="2"/>
  <c r="AA588" i="2"/>
  <c r="AA587" i="2"/>
  <c r="AA585" i="2"/>
  <c r="AA584" i="2"/>
  <c r="AA583" i="2"/>
  <c r="AA582" i="2"/>
  <c r="AA581" i="2"/>
  <c r="AA580" i="2"/>
  <c r="AA579" i="2"/>
  <c r="AA578" i="2"/>
  <c r="AA577" i="2"/>
  <c r="AA576" i="2"/>
  <c r="AA574" i="2"/>
  <c r="AA573" i="2"/>
  <c r="AA572" i="2"/>
  <c r="AA571" i="2"/>
  <c r="AA570" i="2"/>
  <c r="AA569" i="2"/>
  <c r="AA568" i="2"/>
  <c r="AA567" i="2"/>
  <c r="AA566" i="2"/>
  <c r="AA565" i="2"/>
  <c r="AA564" i="2"/>
  <c r="AA563" i="2"/>
  <c r="AA561" i="2"/>
  <c r="AA560" i="2"/>
  <c r="AA559" i="2"/>
  <c r="AA557" i="2"/>
  <c r="AA556" i="2"/>
  <c r="AA555" i="2"/>
  <c r="AA553" i="2"/>
  <c r="AA552" i="2"/>
  <c r="AA550" i="2"/>
  <c r="AA548" i="2"/>
  <c r="AA546" i="2"/>
  <c r="AA545" i="2"/>
  <c r="AA544" i="2"/>
  <c r="AA543" i="2"/>
  <c r="AA542" i="2"/>
  <c r="AA541" i="2"/>
  <c r="AA540" i="2"/>
  <c r="AA539" i="2"/>
  <c r="AA538" i="2"/>
  <c r="AA537" i="2"/>
  <c r="AA536" i="2"/>
  <c r="AA535" i="2"/>
  <c r="AA533" i="2"/>
  <c r="AA532" i="2"/>
  <c r="AA530" i="2"/>
  <c r="AA529" i="2"/>
  <c r="AA527" i="2"/>
  <c r="AA526" i="2"/>
  <c r="AA525" i="2"/>
  <c r="AA523" i="2"/>
  <c r="AA522" i="2"/>
  <c r="AA521" i="2"/>
  <c r="AA519" i="2"/>
  <c r="AA517" i="2"/>
  <c r="AA515" i="2"/>
  <c r="AA514" i="2"/>
  <c r="AA513" i="2"/>
  <c r="AA512" i="2"/>
  <c r="AA511" i="2"/>
  <c r="AA510" i="2"/>
  <c r="AA509" i="2"/>
  <c r="AA507" i="2"/>
  <c r="AA505" i="2"/>
  <c r="AA504" i="2"/>
  <c r="AA503" i="2"/>
  <c r="AA502" i="2"/>
  <c r="AA500" i="2"/>
  <c r="AA499" i="2"/>
  <c r="AA498" i="2"/>
  <c r="AA497" i="2"/>
  <c r="AA496" i="2"/>
  <c r="AA495" i="2"/>
  <c r="AA494" i="2"/>
  <c r="AA492" i="2"/>
  <c r="AA491" i="2"/>
  <c r="AA490" i="2"/>
  <c r="AA489" i="2"/>
  <c r="AA488" i="2"/>
  <c r="AA487" i="2"/>
  <c r="AA486" i="2"/>
  <c r="AA484" i="2"/>
  <c r="AA483" i="2"/>
  <c r="AA482" i="2"/>
  <c r="AA481" i="2"/>
  <c r="AA480" i="2"/>
  <c r="AA479" i="2"/>
  <c r="AA477" i="2"/>
  <c r="AA476" i="2"/>
  <c r="AA475" i="2"/>
  <c r="AA474" i="2"/>
  <c r="AA473" i="2"/>
  <c r="AA472" i="2"/>
  <c r="AA471" i="2"/>
  <c r="AA470" i="2"/>
  <c r="AA469" i="2"/>
  <c r="AA467" i="2"/>
  <c r="AA466" i="2"/>
  <c r="AA465" i="2"/>
  <c r="AA464" i="2"/>
  <c r="AA462" i="2"/>
  <c r="AA461" i="2"/>
  <c r="AA460" i="2"/>
  <c r="AA458" i="2"/>
  <c r="AA456" i="2"/>
  <c r="AA455" i="2"/>
  <c r="AA454" i="2"/>
  <c r="AA452" i="2"/>
  <c r="AA451" i="2"/>
  <c r="AA450" i="2"/>
  <c r="AA449" i="2"/>
  <c r="AA447" i="2"/>
  <c r="AA446" i="2"/>
  <c r="AA445" i="2"/>
  <c r="AA444" i="2"/>
  <c r="AA443" i="2"/>
  <c r="AA442" i="2"/>
  <c r="AA441" i="2"/>
  <c r="AA440" i="2"/>
  <c r="AA439" i="2"/>
  <c r="AA438" i="2"/>
  <c r="AA436" i="2"/>
  <c r="AA435" i="2"/>
  <c r="AA434" i="2"/>
  <c r="AA433" i="2"/>
  <c r="AA431" i="2"/>
  <c r="AA430" i="2"/>
  <c r="AA429" i="2"/>
  <c r="AA428" i="2"/>
  <c r="AA427" i="2"/>
  <c r="AA426" i="2"/>
  <c r="AA424" i="2"/>
  <c r="AA422" i="2"/>
  <c r="AA421" i="2"/>
  <c r="AA420" i="2"/>
  <c r="AA419" i="2"/>
  <c r="AA418" i="2"/>
  <c r="AA416" i="2"/>
  <c r="AA414" i="2"/>
  <c r="AA413" i="2"/>
  <c r="AA412" i="2"/>
  <c r="AA410" i="2"/>
  <c r="AA409" i="2"/>
  <c r="AA408" i="2"/>
  <c r="AA407" i="2"/>
  <c r="AA406" i="2"/>
  <c r="AA404" i="2"/>
  <c r="AA403" i="2"/>
  <c r="AA402" i="2"/>
  <c r="AA401" i="2"/>
  <c r="AA399" i="2"/>
  <c r="AA398" i="2"/>
  <c r="AA397" i="2"/>
  <c r="AA396" i="2"/>
  <c r="AA395" i="2"/>
  <c r="AA393" i="2"/>
  <c r="AA392" i="2"/>
  <c r="AA391" i="2"/>
  <c r="AA390" i="2"/>
  <c r="AA389" i="2"/>
  <c r="AA388" i="2"/>
  <c r="AA387" i="2"/>
  <c r="AA386" i="2"/>
  <c r="AA385" i="2"/>
  <c r="AA384" i="2"/>
  <c r="AA382" i="2"/>
  <c r="AA381" i="2"/>
  <c r="AA380" i="2"/>
  <c r="AA379" i="2"/>
  <c r="AA377" i="2"/>
  <c r="AA376" i="2"/>
  <c r="AA375" i="2"/>
  <c r="AA374" i="2"/>
  <c r="AA372" i="2"/>
  <c r="AA371" i="2"/>
  <c r="AA370" i="2"/>
  <c r="AA369" i="2"/>
  <c r="AA368" i="2"/>
  <c r="AA367" i="2"/>
  <c r="AA365" i="2"/>
  <c r="AA364" i="2"/>
  <c r="AA363" i="2"/>
  <c r="AA362" i="2"/>
  <c r="AA361" i="2"/>
  <c r="AA360" i="2"/>
  <c r="AA359" i="2"/>
  <c r="AA357" i="2"/>
  <c r="AA356" i="2"/>
  <c r="AA355" i="2"/>
  <c r="AA354" i="2"/>
  <c r="AA352" i="2"/>
  <c r="AA351" i="2"/>
  <c r="AA350" i="2"/>
  <c r="AA349" i="2"/>
  <c r="AA348" i="2"/>
  <c r="AA347" i="2"/>
  <c r="AA345" i="2"/>
  <c r="AA344" i="2"/>
  <c r="AA343" i="2"/>
  <c r="AA342" i="2"/>
  <c r="AA340" i="2"/>
  <c r="AA339" i="2"/>
  <c r="AA338" i="2"/>
  <c r="AA337" i="2"/>
  <c r="AA336" i="2"/>
  <c r="AA335" i="2"/>
  <c r="AA333" i="2"/>
  <c r="AA332" i="2"/>
  <c r="AA330" i="2"/>
  <c r="AA329" i="2"/>
  <c r="AA328" i="2"/>
  <c r="AA326" i="2"/>
  <c r="AA325" i="2"/>
  <c r="AA324" i="2"/>
  <c r="AA323" i="2"/>
  <c r="AA322" i="2"/>
  <c r="AA321" i="2"/>
  <c r="AA320" i="2"/>
  <c r="AA319" i="2"/>
  <c r="AA318" i="2"/>
  <c r="AA317" i="2"/>
  <c r="AA315" i="2"/>
  <c r="AA314" i="2"/>
  <c r="AA313" i="2"/>
  <c r="AA312" i="2"/>
  <c r="AA311" i="2"/>
  <c r="AA309" i="2"/>
  <c r="AA308" i="2"/>
  <c r="AA307" i="2"/>
  <c r="AA305" i="2"/>
  <c r="AA304" i="2"/>
  <c r="AA303" i="2"/>
  <c r="AA301" i="2"/>
  <c r="AA300" i="2"/>
  <c r="AA299" i="2"/>
  <c r="AA298" i="2"/>
  <c r="AA297" i="2"/>
  <c r="AA295" i="2"/>
  <c r="AA294" i="2"/>
  <c r="AA293" i="2"/>
  <c r="AA292" i="2"/>
  <c r="AA291" i="2"/>
  <c r="AA289" i="2"/>
  <c r="AA288" i="2"/>
  <c r="AA287" i="2"/>
  <c r="AA286" i="2"/>
  <c r="AA284" i="2"/>
  <c r="AA283" i="2"/>
  <c r="AA282" i="2"/>
  <c r="AA281" i="2"/>
  <c r="AA279" i="2"/>
  <c r="AA278" i="2"/>
  <c r="AA277" i="2"/>
  <c r="AA275" i="2"/>
  <c r="AA274" i="2"/>
  <c r="AA273" i="2"/>
  <c r="AA272" i="2"/>
  <c r="AA270" i="2"/>
  <c r="AA269" i="2"/>
  <c r="AA268" i="2"/>
  <c r="AA267" i="2"/>
  <c r="AA266" i="2"/>
  <c r="AA264" i="2"/>
  <c r="AA263" i="2"/>
  <c r="AA262" i="2"/>
  <c r="AA261" i="2"/>
  <c r="AA259" i="2"/>
  <c r="AA258" i="2"/>
  <c r="AA257" i="2"/>
  <c r="AA256" i="2"/>
  <c r="AA255" i="2"/>
  <c r="AA254" i="2"/>
  <c r="AA253" i="2"/>
  <c r="AA251" i="2"/>
  <c r="AA250" i="2"/>
  <c r="AA249" i="2"/>
  <c r="AA247" i="2"/>
  <c r="AA246" i="2"/>
  <c r="AA245" i="2"/>
  <c r="AA243" i="2"/>
  <c r="AA242" i="2"/>
  <c r="AA241" i="2"/>
  <c r="AA240" i="2"/>
  <c r="AA239" i="2"/>
  <c r="AA238" i="2"/>
  <c r="AA236" i="2"/>
  <c r="AA235" i="2"/>
  <c r="AA234" i="2"/>
  <c r="AA233" i="2"/>
  <c r="AA231" i="2"/>
  <c r="AA230" i="2"/>
  <c r="AA229" i="2"/>
  <c r="AA228" i="2"/>
  <c r="AA227" i="2"/>
  <c r="AA225" i="2"/>
  <c r="AA224" i="2"/>
  <c r="AA223" i="2"/>
  <c r="AA221" i="2"/>
  <c r="AA219" i="2"/>
  <c r="AA217" i="2"/>
  <c r="AA216" i="2"/>
  <c r="AA215" i="2"/>
  <c r="AA214" i="2"/>
  <c r="AA213" i="2"/>
  <c r="AA212" i="2"/>
  <c r="AA211" i="2"/>
  <c r="AA210" i="2"/>
  <c r="AA209" i="2"/>
  <c r="AA208" i="2"/>
  <c r="AA207" i="2"/>
  <c r="AA206" i="2"/>
  <c r="AA205" i="2"/>
  <c r="AA204" i="2"/>
  <c r="AA203" i="2"/>
  <c r="AA202" i="2"/>
  <c r="AA201" i="2"/>
  <c r="AA200" i="2"/>
  <c r="AA199" i="2"/>
  <c r="AA198" i="2"/>
  <c r="AA196" i="2"/>
  <c r="AA195" i="2"/>
  <c r="AA194" i="2"/>
  <c r="AA193" i="2"/>
  <c r="AA192" i="2"/>
  <c r="AA190" i="2"/>
  <c r="AA189" i="2"/>
  <c r="AA188" i="2"/>
  <c r="AA187" i="2"/>
  <c r="AA186" i="2"/>
  <c r="AA185" i="2"/>
  <c r="AA184" i="2"/>
  <c r="AA183" i="2"/>
  <c r="AA181" i="2"/>
  <c r="AA180" i="2"/>
  <c r="AA178" i="2"/>
  <c r="AA177" i="2"/>
  <c r="AA176" i="2"/>
  <c r="AA174" i="2"/>
  <c r="AA173" i="2"/>
  <c r="AA171" i="2"/>
  <c r="AA170" i="2"/>
  <c r="AA169" i="2"/>
  <c r="AA168" i="2"/>
  <c r="AA167" i="2"/>
  <c r="AA166" i="2"/>
  <c r="AA165" i="2"/>
  <c r="AA163" i="2"/>
  <c r="AA150" i="2"/>
  <c r="AA149" i="2"/>
  <c r="AA148" i="2"/>
  <c r="AA146" i="2"/>
  <c r="AA144" i="2"/>
  <c r="AA142" i="2"/>
  <c r="AA140" i="2"/>
  <c r="AA139" i="2"/>
  <c r="AA137" i="2"/>
  <c r="AA136" i="2"/>
  <c r="AA134" i="2"/>
  <c r="AA133" i="2"/>
  <c r="AA131" i="2"/>
  <c r="AA130" i="2"/>
  <c r="AA128" i="2"/>
  <c r="AA126" i="2"/>
  <c r="AA124" i="2"/>
  <c r="AA122" i="2"/>
  <c r="AA121" i="2"/>
  <c r="AA120" i="2"/>
  <c r="AA118" i="2"/>
  <c r="AA117" i="2"/>
  <c r="AA116" i="2"/>
  <c r="AA114" i="2"/>
  <c r="AA113" i="2"/>
  <c r="AA112" i="2"/>
  <c r="AA110" i="2"/>
  <c r="AA108" i="2"/>
  <c r="AA107" i="2"/>
  <c r="AA105" i="2"/>
  <c r="AA104" i="2"/>
  <c r="AA102" i="2"/>
  <c r="AA101" i="2"/>
  <c r="AA100" i="2"/>
  <c r="AA98" i="2"/>
  <c r="AA97" i="2"/>
  <c r="AA95" i="2"/>
  <c r="AA93" i="2"/>
  <c r="AA91" i="2"/>
  <c r="AA90" i="2"/>
  <c r="AA88" i="2"/>
  <c r="AA87" i="2"/>
  <c r="AA85" i="2"/>
  <c r="AA83" i="2"/>
  <c r="AA81" i="2"/>
  <c r="AA80" i="2"/>
  <c r="AA78" i="2"/>
  <c r="AA76" i="2"/>
  <c r="AA74" i="2"/>
  <c r="AA72" i="2"/>
  <c r="AA71" i="2"/>
  <c r="AA69" i="2"/>
  <c r="AA67" i="2"/>
  <c r="AA65" i="2"/>
  <c r="AA63" i="2"/>
  <c r="AA61" i="2"/>
  <c r="AA59" i="2"/>
  <c r="AA57" i="2"/>
  <c r="AA55" i="2"/>
  <c r="AA54" i="2"/>
  <c r="AA52" i="2"/>
  <c r="AA50" i="2"/>
  <c r="AA49" i="2"/>
  <c r="AA47" i="2"/>
  <c r="AA45" i="2"/>
  <c r="AA43" i="2"/>
  <c r="AA42" i="2"/>
  <c r="AA40" i="2"/>
  <c r="AA38" i="2"/>
  <c r="AA36" i="2"/>
  <c r="AA35" i="2"/>
  <c r="AA33" i="2"/>
  <c r="AA31" i="2"/>
  <c r="AA29" i="2"/>
  <c r="AA27" i="2"/>
  <c r="AA26" i="2"/>
  <c r="AA24" i="2"/>
  <c r="AA22" i="2"/>
  <c r="AA20" i="2"/>
  <c r="AA18" i="2"/>
  <c r="AA17" i="2"/>
  <c r="AA15" i="2"/>
  <c r="AA13" i="2"/>
  <c r="AA12" i="2"/>
  <c r="AA10" i="2"/>
  <c r="AA8" i="2"/>
  <c r="AA6" i="2"/>
  <c r="AA5" i="2"/>
  <c r="AA4" i="2"/>
  <c r="AA3" i="2"/>
  <c r="AG691" i="2"/>
  <c r="AG687" i="2"/>
  <c r="AG682" i="2"/>
  <c r="AG676" i="2"/>
  <c r="AG673" i="2"/>
  <c r="AG669" i="2"/>
  <c r="AG658" i="2"/>
  <c r="AG655" i="2"/>
  <c r="AG652" i="2"/>
  <c r="AG649" i="2"/>
  <c r="AG645" i="2"/>
  <c r="AG639" i="2"/>
  <c r="AG629" i="2"/>
  <c r="AG621" i="2"/>
  <c r="AG613" i="2"/>
  <c r="AG605" i="2"/>
  <c r="AG597" i="2"/>
  <c r="AG586" i="2"/>
  <c r="AG575" i="2"/>
  <c r="AG562" i="2"/>
  <c r="AG558" i="2"/>
  <c r="AG554" i="2"/>
  <c r="AG551" i="2"/>
  <c r="AG549" i="2"/>
  <c r="AG547" i="2"/>
  <c r="AG534" i="2"/>
  <c r="AG531" i="2"/>
  <c r="AG528" i="2"/>
  <c r="AG524" i="2"/>
  <c r="AG520" i="2"/>
  <c r="AG518" i="2"/>
  <c r="AG516" i="2"/>
  <c r="AG508" i="2"/>
  <c r="AG506" i="2"/>
  <c r="AG501" i="2"/>
  <c r="AG493" i="2"/>
  <c r="AG485" i="2"/>
  <c r="AG478" i="2"/>
  <c r="AG468" i="2"/>
  <c r="AG463" i="2"/>
  <c r="AG459" i="2"/>
  <c r="AG457" i="2"/>
  <c r="AG453" i="2"/>
  <c r="AG448" i="2"/>
  <c r="AG437" i="2"/>
  <c r="AG432" i="2"/>
  <c r="AG425" i="2"/>
  <c r="AG423" i="2"/>
  <c r="AG417" i="2"/>
  <c r="AG415" i="2"/>
  <c r="AG411" i="2"/>
  <c r="AG405" i="2"/>
  <c r="AG400" i="2"/>
  <c r="AG394" i="2"/>
  <c r="AG383" i="2"/>
  <c r="AG378" i="2"/>
  <c r="AG373" i="2"/>
  <c r="AG366" i="2"/>
  <c r="AG358" i="2"/>
  <c r="AG353" i="2"/>
  <c r="AG346" i="2"/>
  <c r="AG341" i="2"/>
  <c r="AG334" i="2"/>
  <c r="AG331" i="2"/>
  <c r="AG327" i="2"/>
  <c r="AG316" i="2"/>
  <c r="AG310" i="2"/>
  <c r="AG306" i="2"/>
  <c r="AG302" i="2"/>
  <c r="AG296" i="2"/>
  <c r="AI296" i="2" s="1"/>
  <c r="AG290" i="2"/>
  <c r="AI290" i="2" s="1"/>
  <c r="AG285" i="2"/>
  <c r="AG280" i="2"/>
  <c r="AG276" i="2"/>
  <c r="AG271" i="2"/>
  <c r="AG265" i="2"/>
  <c r="AG260" i="2"/>
  <c r="AG252" i="2"/>
  <c r="AG248" i="2"/>
  <c r="AG244" i="2"/>
  <c r="AG237" i="2"/>
  <c r="AG232" i="2"/>
  <c r="AG226" i="2"/>
  <c r="AG222" i="2"/>
  <c r="AG220" i="2"/>
  <c r="AG218" i="2"/>
  <c r="AG197" i="2"/>
  <c r="AG191" i="2"/>
  <c r="AG182" i="2"/>
  <c r="AG179" i="2"/>
  <c r="AG172" i="2"/>
  <c r="AG164" i="2"/>
  <c r="AA296" i="2"/>
  <c r="AA290" i="2"/>
  <c r="Y191" i="2"/>
  <c r="Y164" i="2"/>
  <c r="Y172" i="2"/>
  <c r="Y182" i="2"/>
  <c r="Y197" i="2"/>
  <c r="L172" i="2" l="1"/>
  <c r="L175" i="2"/>
  <c r="L179" i="2"/>
  <c r="L182" i="2"/>
  <c r="L191" i="2"/>
  <c r="L197" i="2"/>
  <c r="L218" i="2"/>
  <c r="L220" i="2"/>
  <c r="L222" i="2"/>
  <c r="L226" i="2"/>
  <c r="L232" i="2"/>
  <c r="L237" i="2"/>
  <c r="L244" i="2"/>
  <c r="L248" i="2"/>
  <c r="L252" i="2"/>
  <c r="L260" i="2"/>
  <c r="L265" i="2"/>
  <c r="L271" i="2"/>
  <c r="L276" i="2"/>
  <c r="L280" i="2"/>
  <c r="L296" i="2"/>
  <c r="L302" i="2"/>
  <c r="L306" i="2"/>
  <c r="L310" i="2"/>
  <c r="L316" i="2"/>
  <c r="L327" i="2"/>
  <c r="L331" i="2"/>
  <c r="L334" i="2"/>
  <c r="L341" i="2"/>
  <c r="L346" i="2"/>
  <c r="L353" i="2"/>
  <c r="L358" i="2"/>
  <c r="L366" i="2"/>
  <c r="L373" i="2"/>
  <c r="L378" i="2"/>
  <c r="L383" i="2"/>
  <c r="L394" i="2"/>
  <c r="L400" i="2"/>
  <c r="L405" i="2"/>
  <c r="L411" i="2"/>
  <c r="L415" i="2"/>
  <c r="L417" i="2"/>
  <c r="L423" i="2"/>
  <c r="L425" i="2"/>
  <c r="L432" i="2"/>
  <c r="L437" i="2"/>
  <c r="L448" i="2"/>
  <c r="L453" i="2"/>
  <c r="L457" i="2"/>
  <c r="L459" i="2"/>
  <c r="L463" i="2"/>
  <c r="L468" i="2"/>
  <c r="L478" i="2"/>
  <c r="L485" i="2"/>
  <c r="L493" i="2"/>
  <c r="L501" i="2"/>
  <c r="L506" i="2"/>
  <c r="L508" i="2"/>
  <c r="L516" i="2"/>
  <c r="L518" i="2"/>
  <c r="L520" i="2"/>
  <c r="L524" i="2"/>
  <c r="L528" i="2"/>
  <c r="L531" i="2"/>
  <c r="L534" i="2"/>
  <c r="L547" i="2"/>
  <c r="L549" i="2"/>
  <c r="L551" i="2"/>
  <c r="L554" i="2"/>
  <c r="L558" i="2"/>
  <c r="L562" i="2"/>
  <c r="L575" i="2"/>
  <c r="L586" i="2"/>
  <c r="L597" i="2"/>
  <c r="L605" i="2"/>
  <c r="L613" i="2"/>
  <c r="L621" i="2"/>
  <c r="L629" i="2"/>
  <c r="L632" i="2"/>
  <c r="L635" i="2"/>
  <c r="L639" i="2"/>
  <c r="L645" i="2"/>
  <c r="L649" i="2"/>
  <c r="L652" i="2"/>
  <c r="L655" i="2"/>
  <c r="L658" i="2"/>
  <c r="L669" i="2"/>
  <c r="L673" i="2"/>
  <c r="L676" i="2"/>
  <c r="L682" i="2"/>
  <c r="L687" i="2"/>
  <c r="L691" i="2"/>
  <c r="AD691" i="2" l="1"/>
  <c r="AD687" i="2"/>
  <c r="AD682" i="2"/>
  <c r="AD676" i="2"/>
  <c r="AD673" i="2"/>
  <c r="AD669" i="2"/>
  <c r="AD658" i="2"/>
  <c r="AD655" i="2"/>
  <c r="AD652" i="2"/>
  <c r="AD649" i="2"/>
  <c r="AD645" i="2"/>
  <c r="AD639" i="2"/>
  <c r="AD635" i="2"/>
  <c r="AD632" i="2"/>
  <c r="AD629" i="2"/>
  <c r="AD621" i="2"/>
  <c r="AD613" i="2"/>
  <c r="AD605" i="2"/>
  <c r="AD597" i="2"/>
  <c r="AD586" i="2"/>
  <c r="AD575" i="2"/>
  <c r="AD562" i="2"/>
  <c r="AD558" i="2"/>
  <c r="AD554" i="2"/>
  <c r="AD551" i="2"/>
  <c r="AD549" i="2"/>
  <c r="AD547" i="2"/>
  <c r="AD534" i="2"/>
  <c r="AD531" i="2"/>
  <c r="AD528" i="2"/>
  <c r="AD524" i="2"/>
  <c r="AD520" i="2"/>
  <c r="AD518" i="2"/>
  <c r="AD516" i="2"/>
  <c r="AD508" i="2"/>
  <c r="AD506" i="2"/>
  <c r="AD501" i="2"/>
  <c r="AD493" i="2"/>
  <c r="AD485" i="2"/>
  <c r="AD478" i="2"/>
  <c r="AD468" i="2"/>
  <c r="AD463" i="2"/>
  <c r="AD459" i="2"/>
  <c r="AD457" i="2"/>
  <c r="AD453" i="2"/>
  <c r="AD448" i="2"/>
  <c r="AD437" i="2"/>
  <c r="AD432" i="2"/>
  <c r="AD425" i="2"/>
  <c r="AD423" i="2"/>
  <c r="AD417" i="2"/>
  <c r="AD415" i="2"/>
  <c r="AD411" i="2"/>
  <c r="AD405" i="2"/>
  <c r="AD400" i="2"/>
  <c r="AD394" i="2"/>
  <c r="AD383" i="2"/>
  <c r="AD378" i="2"/>
  <c r="AD373" i="2"/>
  <c r="AD366" i="2"/>
  <c r="AD358" i="2"/>
  <c r="AD353" i="2"/>
  <c r="AD346" i="2"/>
  <c r="AD341" i="2"/>
  <c r="AD334" i="2"/>
  <c r="AD331" i="2"/>
  <c r="AD327" i="2"/>
  <c r="AD316" i="2"/>
  <c r="AD310" i="2"/>
  <c r="AD306" i="2"/>
  <c r="AD302" i="2"/>
  <c r="AD285" i="2"/>
  <c r="AD280" i="2"/>
  <c r="AD276" i="2"/>
  <c r="AD271" i="2"/>
  <c r="AD265" i="2"/>
  <c r="AD260" i="2"/>
  <c r="AD252" i="2"/>
  <c r="AD248" i="2"/>
  <c r="AD244" i="2"/>
  <c r="AD237" i="2"/>
  <c r="AD232" i="2"/>
  <c r="AD226" i="2"/>
  <c r="AD222" i="2"/>
  <c r="AD220" i="2"/>
  <c r="AD218" i="2"/>
  <c r="AD197" i="2"/>
  <c r="AD191" i="2"/>
  <c r="AD182" i="2"/>
  <c r="AD179" i="2"/>
  <c r="AD175" i="2"/>
  <c r="AD172" i="2"/>
  <c r="AD164" i="2"/>
  <c r="AD150" i="2"/>
  <c r="AD143" i="2"/>
  <c r="AD141" i="2"/>
  <c r="AD138" i="2"/>
  <c r="AD135" i="2"/>
  <c r="AD132" i="2"/>
  <c r="AD129" i="2"/>
  <c r="AD127" i="2"/>
  <c r="AD125" i="2"/>
  <c r="AD123" i="2"/>
  <c r="AD119" i="2"/>
  <c r="AD115" i="2"/>
  <c r="AD111" i="2"/>
  <c r="AD109" i="2"/>
  <c r="AD106" i="2"/>
  <c r="AD103" i="2"/>
  <c r="AD99" i="2"/>
  <c r="AD96" i="2"/>
  <c r="AD94" i="2"/>
  <c r="AD92" i="2"/>
  <c r="AD89" i="2"/>
  <c r="AD86" i="2"/>
  <c r="AD84" i="2"/>
  <c r="AD82" i="2"/>
  <c r="AD79" i="2"/>
  <c r="AD77" i="2"/>
  <c r="AD75" i="2"/>
  <c r="AD73" i="2"/>
  <c r="AD70" i="2"/>
  <c r="AD68" i="2"/>
  <c r="AD66" i="2"/>
  <c r="AD64" i="2"/>
  <c r="AD62" i="2"/>
  <c r="AD60" i="2"/>
  <c r="AD58" i="2"/>
  <c r="AD56" i="2"/>
  <c r="AD53" i="2"/>
  <c r="AD51" i="2"/>
  <c r="AD48" i="2"/>
  <c r="AD46" i="2"/>
  <c r="AD44" i="2"/>
  <c r="AD41" i="2"/>
  <c r="AD39" i="2"/>
  <c r="AD37" i="2"/>
  <c r="AD34" i="2"/>
  <c r="AD32" i="2"/>
  <c r="AD30" i="2"/>
  <c r="AD28" i="2"/>
  <c r="AD25" i="2"/>
  <c r="AD23" i="2"/>
  <c r="AD21" i="2"/>
  <c r="AD19" i="2"/>
  <c r="AD16" i="2"/>
  <c r="AD14" i="2"/>
  <c r="AD11" i="2"/>
  <c r="AD9" i="2"/>
  <c r="AD7" i="2"/>
  <c r="V691" i="2"/>
  <c r="V687" i="2"/>
  <c r="V682" i="2"/>
  <c r="V676" i="2"/>
  <c r="V673" i="2"/>
  <c r="V669" i="2"/>
  <c r="V658" i="2"/>
  <c r="V655" i="2"/>
  <c r="V652" i="2"/>
  <c r="V649" i="2"/>
  <c r="V645" i="2"/>
  <c r="V639" i="2"/>
  <c r="V629" i="2"/>
  <c r="V621" i="2"/>
  <c r="V613" i="2"/>
  <c r="V605" i="2"/>
  <c r="V597" i="2"/>
  <c r="V586" i="2"/>
  <c r="V575" i="2"/>
  <c r="V562" i="2"/>
  <c r="V558" i="2"/>
  <c r="V554" i="2"/>
  <c r="V551" i="2"/>
  <c r="V549" i="2"/>
  <c r="V547" i="2"/>
  <c r="V534" i="2"/>
  <c r="V531" i="2"/>
  <c r="V528" i="2"/>
  <c r="V524" i="2"/>
  <c r="V520" i="2"/>
  <c r="V518" i="2"/>
  <c r="V516" i="2"/>
  <c r="V508" i="2"/>
  <c r="V506" i="2"/>
  <c r="V501" i="2"/>
  <c r="V493" i="2"/>
  <c r="V485" i="2"/>
  <c r="V478" i="2"/>
  <c r="V468" i="2"/>
  <c r="V463" i="2"/>
  <c r="V459" i="2"/>
  <c r="V457" i="2"/>
  <c r="V453" i="2"/>
  <c r="V448" i="2"/>
  <c r="V437" i="2"/>
  <c r="V432" i="2"/>
  <c r="V425" i="2"/>
  <c r="V423" i="2"/>
  <c r="V417" i="2"/>
  <c r="V415" i="2"/>
  <c r="V411" i="2"/>
  <c r="V405" i="2"/>
  <c r="V400" i="2"/>
  <c r="V394" i="2"/>
  <c r="V383" i="2"/>
  <c r="V378" i="2"/>
  <c r="V373" i="2"/>
  <c r="V366" i="2"/>
  <c r="V358" i="2"/>
  <c r="V353" i="2"/>
  <c r="V346" i="2"/>
  <c r="V341" i="2"/>
  <c r="V334" i="2"/>
  <c r="V331" i="2"/>
  <c r="V327" i="2"/>
  <c r="V316" i="2"/>
  <c r="V310" i="2"/>
  <c r="V306" i="2"/>
  <c r="V302" i="2"/>
  <c r="V285" i="2"/>
  <c r="V280" i="2"/>
  <c r="V276" i="2"/>
  <c r="V271" i="2"/>
  <c r="V265" i="2"/>
  <c r="V260" i="2"/>
  <c r="V252" i="2"/>
  <c r="V248" i="2"/>
  <c r="V244" i="2"/>
  <c r="V237" i="2"/>
  <c r="V226" i="2"/>
  <c r="V222" i="2"/>
  <c r="V220" i="2"/>
  <c r="V218" i="2"/>
  <c r="V197" i="2"/>
  <c r="V191" i="2"/>
  <c r="V182" i="2"/>
  <c r="V179" i="2"/>
  <c r="V175" i="2"/>
  <c r="V172" i="2"/>
  <c r="V164" i="2"/>
  <c r="V147" i="2"/>
  <c r="V145" i="2"/>
  <c r="V143" i="2"/>
  <c r="V141" i="2"/>
  <c r="V138" i="2"/>
  <c r="V135" i="2"/>
  <c r="V132" i="2"/>
  <c r="V129" i="2"/>
  <c r="V127" i="2"/>
  <c r="V125" i="2"/>
  <c r="V123" i="2"/>
  <c r="V119" i="2"/>
  <c r="V115" i="2"/>
  <c r="V111" i="2"/>
  <c r="V109" i="2"/>
  <c r="V106" i="2"/>
  <c r="V103" i="2"/>
  <c r="V99" i="2"/>
  <c r="V96" i="2"/>
  <c r="V94" i="2"/>
  <c r="V92" i="2"/>
  <c r="V89" i="2"/>
  <c r="V86" i="2"/>
  <c r="V84" i="2"/>
  <c r="V82" i="2"/>
  <c r="V79" i="2"/>
  <c r="V77" i="2"/>
  <c r="V75" i="2"/>
  <c r="V73" i="2"/>
  <c r="V70" i="2"/>
  <c r="V68" i="2"/>
  <c r="V66" i="2"/>
  <c r="V64" i="2"/>
  <c r="V62" i="2"/>
  <c r="V60" i="2"/>
  <c r="V58" i="2"/>
  <c r="V56" i="2"/>
  <c r="V53" i="2"/>
  <c r="V51" i="2"/>
  <c r="V48" i="2"/>
  <c r="V46" i="2"/>
  <c r="V44" i="2"/>
  <c r="V41" i="2"/>
  <c r="V39" i="2"/>
  <c r="V37" i="2"/>
  <c r="V34" i="2"/>
  <c r="V32" i="2"/>
  <c r="V30" i="2"/>
  <c r="V28" i="2"/>
  <c r="V25" i="2"/>
  <c r="V23" i="2"/>
  <c r="V21" i="2"/>
  <c r="V19" i="2"/>
  <c r="V16" i="2"/>
  <c r="V14" i="2"/>
  <c r="V11" i="2"/>
  <c r="V9" i="2"/>
  <c r="V7" i="2"/>
  <c r="I691" i="2"/>
  <c r="I687" i="2"/>
  <c r="I682" i="2"/>
  <c r="I676" i="2"/>
  <c r="I673" i="2"/>
  <c r="I669" i="2"/>
  <c r="I658" i="2"/>
  <c r="I655" i="2"/>
  <c r="I652" i="2"/>
  <c r="I649" i="2"/>
  <c r="I645" i="2"/>
  <c r="I639" i="2"/>
  <c r="I635" i="2"/>
  <c r="I632" i="2"/>
  <c r="I629" i="2"/>
  <c r="I621" i="2"/>
  <c r="I613" i="2"/>
  <c r="I605" i="2"/>
  <c r="I597" i="2"/>
  <c r="I586" i="2"/>
  <c r="I575" i="2"/>
  <c r="I562" i="2"/>
  <c r="I558" i="2"/>
  <c r="I554" i="2"/>
  <c r="I551" i="2"/>
  <c r="I549" i="2"/>
  <c r="I547" i="2"/>
  <c r="I534" i="2"/>
  <c r="I531" i="2"/>
  <c r="I528" i="2"/>
  <c r="I524" i="2"/>
  <c r="I520" i="2"/>
  <c r="I518" i="2"/>
  <c r="I516" i="2"/>
  <c r="I508" i="2"/>
  <c r="I506" i="2"/>
  <c r="I501" i="2"/>
  <c r="I493" i="2"/>
  <c r="I485" i="2"/>
  <c r="I478" i="2"/>
  <c r="I468" i="2"/>
  <c r="I463" i="2"/>
  <c r="I459" i="2"/>
  <c r="I457" i="2"/>
  <c r="I453" i="2"/>
  <c r="I448" i="2"/>
  <c r="I437" i="2"/>
  <c r="I432" i="2"/>
  <c r="I425" i="2"/>
  <c r="I423" i="2"/>
  <c r="I417" i="2"/>
  <c r="I415" i="2"/>
  <c r="I411" i="2"/>
  <c r="I405" i="2"/>
  <c r="I400" i="2"/>
  <c r="I394" i="2"/>
  <c r="I383" i="2"/>
  <c r="I378" i="2"/>
  <c r="I373" i="2"/>
  <c r="I366" i="2"/>
  <c r="I358" i="2"/>
  <c r="I353" i="2"/>
  <c r="I346" i="2"/>
  <c r="I341" i="2"/>
  <c r="I334" i="2"/>
  <c r="I331" i="2"/>
  <c r="I327" i="2"/>
  <c r="I316" i="2"/>
  <c r="I310" i="2"/>
  <c r="I306" i="2"/>
  <c r="I302" i="2"/>
  <c r="I296" i="2"/>
  <c r="I290" i="2"/>
  <c r="I285" i="2"/>
  <c r="I280" i="2"/>
  <c r="I276" i="2"/>
  <c r="I271" i="2"/>
  <c r="I265" i="2"/>
  <c r="I260" i="2"/>
  <c r="I252" i="2"/>
  <c r="I248" i="2"/>
  <c r="I244" i="2"/>
  <c r="I237" i="2"/>
  <c r="I232" i="2"/>
  <c r="I226" i="2"/>
  <c r="I222" i="2"/>
  <c r="I220" i="2"/>
  <c r="I218" i="2"/>
  <c r="I197" i="2"/>
  <c r="I191" i="2"/>
  <c r="I182" i="2"/>
  <c r="I179" i="2"/>
  <c r="I175" i="2"/>
  <c r="I172" i="2"/>
  <c r="I164" i="2"/>
  <c r="I150" i="2"/>
  <c r="I147" i="2"/>
  <c r="I145" i="2"/>
  <c r="I143" i="2"/>
  <c r="I141" i="2"/>
  <c r="I138" i="2"/>
  <c r="I135" i="2"/>
  <c r="I132" i="2"/>
  <c r="I129" i="2"/>
  <c r="I127" i="2"/>
  <c r="I125" i="2"/>
  <c r="I123" i="2"/>
  <c r="I119" i="2"/>
  <c r="I115" i="2"/>
  <c r="I111" i="2"/>
  <c r="I109" i="2"/>
  <c r="I106" i="2"/>
  <c r="I103" i="2"/>
  <c r="I99" i="2"/>
  <c r="I96" i="2"/>
  <c r="I94" i="2"/>
  <c r="I92" i="2"/>
  <c r="I89" i="2"/>
  <c r="I86" i="2"/>
  <c r="I84" i="2"/>
  <c r="I82" i="2"/>
  <c r="I79" i="2"/>
  <c r="I77" i="2"/>
  <c r="I75" i="2"/>
  <c r="I73" i="2"/>
  <c r="I70" i="2"/>
  <c r="I68" i="2"/>
  <c r="I66" i="2"/>
  <c r="I64" i="2"/>
  <c r="I62" i="2"/>
  <c r="I60" i="2"/>
  <c r="I58" i="2"/>
  <c r="I56" i="2"/>
  <c r="I53" i="2"/>
  <c r="I51" i="2"/>
  <c r="I48" i="2"/>
  <c r="I46" i="2"/>
  <c r="I44" i="2"/>
  <c r="I41" i="2"/>
  <c r="I39" i="2"/>
  <c r="I37" i="2"/>
  <c r="I32" i="2"/>
  <c r="I30" i="2"/>
  <c r="I28" i="2"/>
  <c r="I25" i="2"/>
  <c r="I23" i="2"/>
  <c r="I21" i="2"/>
  <c r="I19" i="2"/>
  <c r="I16" i="2"/>
  <c r="I14" i="2"/>
  <c r="I11" i="2"/>
  <c r="I9" i="2"/>
  <c r="AG150" i="2"/>
  <c r="AG143" i="2"/>
  <c r="AG141" i="2"/>
  <c r="AG138" i="2"/>
  <c r="AG135" i="2"/>
  <c r="AG132" i="2"/>
  <c r="AG129" i="2"/>
  <c r="AG127" i="2"/>
  <c r="AG125" i="2"/>
  <c r="AG123" i="2"/>
  <c r="AG119" i="2"/>
  <c r="AG115" i="2"/>
  <c r="AG111" i="2"/>
  <c r="AG109" i="2"/>
  <c r="AG106" i="2"/>
  <c r="AG103" i="2"/>
  <c r="AG99" i="2"/>
  <c r="AG96" i="2"/>
  <c r="AG94" i="2"/>
  <c r="AG92" i="2"/>
  <c r="AG89" i="2"/>
  <c r="AG86" i="2"/>
  <c r="AG84" i="2"/>
  <c r="AG82" i="2"/>
  <c r="AG79" i="2"/>
  <c r="AG77" i="2"/>
  <c r="AG75" i="2"/>
  <c r="AG73" i="2"/>
  <c r="AG70" i="2"/>
  <c r="AG68" i="2"/>
  <c r="AG66" i="2"/>
  <c r="AG64" i="2"/>
  <c r="AG62" i="2"/>
  <c r="AG60" i="2"/>
  <c r="AG58" i="2"/>
  <c r="AG56" i="2"/>
  <c r="AG53" i="2"/>
  <c r="AG51" i="2"/>
  <c r="AG48" i="2"/>
  <c r="AG46" i="2"/>
  <c r="AG44" i="2"/>
  <c r="AG41" i="2"/>
  <c r="AG39" i="2"/>
  <c r="AG37" i="2"/>
  <c r="AG34" i="2"/>
  <c r="AG32" i="2"/>
  <c r="AG30" i="2"/>
  <c r="AG28" i="2"/>
  <c r="AG25" i="2"/>
  <c r="AG23" i="2"/>
  <c r="AG21" i="2"/>
  <c r="AG19" i="2"/>
  <c r="AG16" i="2"/>
  <c r="AG14" i="2"/>
  <c r="AG11" i="2"/>
  <c r="AG9" i="2"/>
  <c r="AG7" i="2"/>
  <c r="L150" i="2"/>
  <c r="L147" i="2"/>
  <c r="L145" i="2"/>
  <c r="L143" i="2"/>
  <c r="L141" i="2"/>
  <c r="L138" i="2"/>
  <c r="L135" i="2"/>
  <c r="L132" i="2"/>
  <c r="L129" i="2"/>
  <c r="L127" i="2"/>
  <c r="L125" i="2"/>
  <c r="L123" i="2"/>
  <c r="L119" i="2"/>
  <c r="L115" i="2"/>
  <c r="L111" i="2"/>
  <c r="L109" i="2"/>
  <c r="L106" i="2"/>
  <c r="L103" i="2"/>
  <c r="L99" i="2"/>
  <c r="L96" i="2"/>
  <c r="L94" i="2"/>
  <c r="L92" i="2"/>
  <c r="L89" i="2"/>
  <c r="L86" i="2"/>
  <c r="L84" i="2"/>
  <c r="L82" i="2"/>
  <c r="L79" i="2"/>
  <c r="L77" i="2"/>
  <c r="L75" i="2"/>
  <c r="L73" i="2"/>
  <c r="L70" i="2"/>
  <c r="L68" i="2"/>
  <c r="L66" i="2"/>
  <c r="L64" i="2"/>
  <c r="L62" i="2"/>
  <c r="L60" i="2"/>
  <c r="L58" i="2"/>
  <c r="L56" i="2"/>
  <c r="L53" i="2"/>
  <c r="L51" i="2"/>
  <c r="L48" i="2"/>
  <c r="L46" i="2"/>
  <c r="L44" i="2"/>
  <c r="L41" i="2"/>
  <c r="L39" i="2"/>
  <c r="L37" i="2"/>
  <c r="L32" i="2"/>
  <c r="L30" i="2"/>
  <c r="L28" i="2"/>
  <c r="L25" i="2"/>
  <c r="L23" i="2"/>
  <c r="L21" i="2"/>
  <c r="L19" i="2"/>
  <c r="L16" i="2"/>
  <c r="L14" i="2"/>
  <c r="L11" i="2"/>
  <c r="L9" i="2"/>
  <c r="M691" i="2" l="1"/>
  <c r="M687" i="2"/>
  <c r="M682" i="2"/>
  <c r="M676" i="2"/>
  <c r="M673" i="2"/>
  <c r="M669" i="2"/>
  <c r="M658" i="2"/>
  <c r="M655" i="2"/>
  <c r="M652" i="2"/>
  <c r="M649" i="2"/>
  <c r="M645" i="2"/>
  <c r="M639" i="2"/>
  <c r="M635" i="2"/>
  <c r="M632" i="2"/>
  <c r="M629" i="2"/>
  <c r="M621" i="2"/>
  <c r="M613" i="2"/>
  <c r="M605" i="2"/>
  <c r="M597" i="2"/>
  <c r="M586" i="2"/>
  <c r="M575" i="2"/>
  <c r="M562" i="2"/>
  <c r="M558" i="2"/>
  <c r="M554" i="2"/>
  <c r="M551" i="2"/>
  <c r="M549" i="2"/>
  <c r="M547" i="2"/>
  <c r="M534" i="2"/>
  <c r="M531" i="2"/>
  <c r="M528" i="2"/>
  <c r="M524" i="2"/>
  <c r="M520" i="2"/>
  <c r="M518" i="2"/>
  <c r="M516" i="2"/>
  <c r="M508" i="2"/>
  <c r="M506" i="2"/>
  <c r="M501" i="2"/>
  <c r="M493" i="2"/>
  <c r="M485" i="2"/>
  <c r="M478" i="2"/>
  <c r="M468" i="2"/>
  <c r="M463" i="2"/>
  <c r="M459" i="2"/>
  <c r="M457" i="2"/>
  <c r="M453" i="2"/>
  <c r="M448" i="2"/>
  <c r="M437" i="2"/>
  <c r="M432" i="2"/>
  <c r="M425" i="2"/>
  <c r="M423" i="2"/>
  <c r="M417" i="2"/>
  <c r="M415" i="2"/>
  <c r="M411" i="2"/>
  <c r="M405" i="2"/>
  <c r="M400" i="2"/>
  <c r="M394" i="2"/>
  <c r="M383" i="2"/>
  <c r="M378" i="2"/>
  <c r="M373" i="2"/>
  <c r="M366" i="2"/>
  <c r="M358" i="2"/>
  <c r="M353" i="2"/>
  <c r="M346" i="2"/>
  <c r="M341" i="2"/>
  <c r="M334" i="2"/>
  <c r="M331" i="2"/>
  <c r="M327" i="2"/>
  <c r="M316" i="2"/>
  <c r="M310" i="2"/>
  <c r="M306" i="2"/>
  <c r="M302" i="2"/>
  <c r="M296" i="2"/>
  <c r="M290" i="2"/>
  <c r="M285" i="2"/>
  <c r="M280" i="2"/>
  <c r="M276" i="2"/>
  <c r="M271" i="2"/>
  <c r="M265" i="2"/>
  <c r="M260" i="2"/>
  <c r="M252" i="2"/>
  <c r="M248" i="2"/>
  <c r="M244" i="2"/>
  <c r="M237" i="2"/>
  <c r="M232" i="2"/>
  <c r="M226" i="2"/>
  <c r="M222" i="2"/>
  <c r="M220" i="2"/>
  <c r="M218" i="2"/>
  <c r="M197" i="2"/>
  <c r="M191" i="2"/>
  <c r="M182" i="2"/>
  <c r="M179" i="2"/>
  <c r="M175" i="2"/>
  <c r="M172" i="2"/>
  <c r="M164" i="2"/>
  <c r="M150" i="2"/>
  <c r="M147" i="2"/>
  <c r="M145" i="2"/>
  <c r="M143" i="2"/>
  <c r="M141" i="2"/>
  <c r="M138" i="2"/>
  <c r="M135" i="2"/>
  <c r="M132" i="2"/>
  <c r="M129" i="2"/>
  <c r="M127" i="2"/>
  <c r="M125" i="2"/>
  <c r="M123" i="2"/>
  <c r="M119" i="2"/>
  <c r="M115" i="2"/>
  <c r="M111" i="2"/>
  <c r="M109" i="2"/>
  <c r="M106" i="2"/>
  <c r="M103" i="2"/>
  <c r="M99" i="2"/>
  <c r="M96" i="2"/>
  <c r="M94" i="2"/>
  <c r="M92" i="2"/>
  <c r="M89" i="2"/>
  <c r="M86" i="2"/>
  <c r="M84" i="2"/>
  <c r="M82" i="2"/>
  <c r="M79" i="2"/>
  <c r="M77" i="2"/>
  <c r="M75" i="2"/>
  <c r="M70" i="2"/>
  <c r="M68" i="2"/>
  <c r="M66" i="2"/>
  <c r="M64" i="2"/>
  <c r="M62" i="2"/>
  <c r="M60" i="2"/>
  <c r="M58" i="2"/>
  <c r="M56" i="2"/>
  <c r="M53" i="2"/>
  <c r="M51" i="2"/>
  <c r="M48" i="2"/>
  <c r="M46" i="2"/>
  <c r="M44" i="2"/>
  <c r="M41" i="2"/>
  <c r="M39" i="2"/>
  <c r="M37" i="2"/>
  <c r="M32" i="2"/>
  <c r="M30" i="2"/>
  <c r="M28" i="2"/>
  <c r="M25" i="2"/>
  <c r="M23" i="2"/>
  <c r="M21" i="2"/>
  <c r="M19" i="2"/>
  <c r="M16" i="2"/>
  <c r="M14" i="2"/>
  <c r="M11" i="2"/>
  <c r="M9" i="2"/>
  <c r="AT691" i="2"/>
  <c r="AS691" i="2"/>
  <c r="AR691" i="2"/>
  <c r="AQ691" i="2"/>
  <c r="AJ691" i="2"/>
  <c r="AH691" i="2"/>
  <c r="AF691" i="2"/>
  <c r="AE691" i="2"/>
  <c r="AC691" i="2"/>
  <c r="AB691" i="2"/>
  <c r="Z691" i="2"/>
  <c r="X691" i="2"/>
  <c r="W691" i="2"/>
  <c r="U691" i="2"/>
  <c r="O691" i="2"/>
  <c r="K691" i="2"/>
  <c r="J691" i="2"/>
  <c r="H691" i="2"/>
  <c r="AT687" i="2"/>
  <c r="AS687" i="2"/>
  <c r="AR687" i="2"/>
  <c r="AQ687" i="2"/>
  <c r="AH687" i="2"/>
  <c r="AF687" i="2"/>
  <c r="AE687" i="2"/>
  <c r="AC687" i="2"/>
  <c r="AB687" i="2"/>
  <c r="Z687" i="2"/>
  <c r="X687" i="2"/>
  <c r="W687" i="2"/>
  <c r="U687" i="2"/>
  <c r="O687" i="2"/>
  <c r="K687" i="2"/>
  <c r="J687" i="2"/>
  <c r="H687" i="2"/>
  <c r="AJ684" i="2"/>
  <c r="AJ687" i="2" s="1"/>
  <c r="AT682" i="2"/>
  <c r="AS682" i="2"/>
  <c r="AR682" i="2"/>
  <c r="AQ682" i="2"/>
  <c r="AJ682" i="2"/>
  <c r="AH682" i="2"/>
  <c r="AF682" i="2"/>
  <c r="AE682" i="2"/>
  <c r="AC682" i="2"/>
  <c r="AB682" i="2"/>
  <c r="Z682" i="2"/>
  <c r="X682" i="2"/>
  <c r="W682" i="2"/>
  <c r="U682" i="2"/>
  <c r="O682" i="2"/>
  <c r="K682" i="2"/>
  <c r="J682" i="2"/>
  <c r="H682" i="2"/>
  <c r="AT676" i="2"/>
  <c r="AS676" i="2"/>
  <c r="AR676" i="2"/>
  <c r="AQ676" i="2"/>
  <c r="AJ676" i="2"/>
  <c r="AH676" i="2"/>
  <c r="AF676" i="2"/>
  <c r="AE676" i="2"/>
  <c r="AC676" i="2"/>
  <c r="AB676" i="2"/>
  <c r="Z676" i="2"/>
  <c r="X676" i="2"/>
  <c r="W676" i="2"/>
  <c r="U676" i="2"/>
  <c r="O676" i="2"/>
  <c r="K676" i="2"/>
  <c r="J676" i="2"/>
  <c r="H676" i="2"/>
  <c r="AT673" i="2"/>
  <c r="AS673" i="2"/>
  <c r="AR673" i="2"/>
  <c r="AQ673" i="2"/>
  <c r="AJ673" i="2"/>
  <c r="AH673" i="2"/>
  <c r="AF673" i="2"/>
  <c r="AE673" i="2"/>
  <c r="AC673" i="2"/>
  <c r="AB673" i="2"/>
  <c r="Z673" i="2"/>
  <c r="X673" i="2"/>
  <c r="W673" i="2"/>
  <c r="U673" i="2"/>
  <c r="O673" i="2"/>
  <c r="K673" i="2"/>
  <c r="J673" i="2"/>
  <c r="H673" i="2"/>
  <c r="AT669" i="2"/>
  <c r="AS669" i="2"/>
  <c r="AR669" i="2"/>
  <c r="AQ669" i="2"/>
  <c r="AJ669" i="2"/>
  <c r="AH669" i="2"/>
  <c r="AF669" i="2"/>
  <c r="AE669" i="2"/>
  <c r="AC669" i="2"/>
  <c r="AB669" i="2"/>
  <c r="Z669" i="2"/>
  <c r="X669" i="2"/>
  <c r="W669" i="2"/>
  <c r="U669" i="2"/>
  <c r="O669" i="2"/>
  <c r="K669" i="2"/>
  <c r="J669" i="2"/>
  <c r="H669" i="2"/>
  <c r="AT658" i="2"/>
  <c r="AS658" i="2"/>
  <c r="AR658" i="2"/>
  <c r="AQ658" i="2"/>
  <c r="AJ658" i="2"/>
  <c r="AH658" i="2"/>
  <c r="AF658" i="2"/>
  <c r="AE658" i="2"/>
  <c r="AC658" i="2"/>
  <c r="AB658" i="2"/>
  <c r="Z658" i="2"/>
  <c r="X658" i="2"/>
  <c r="W658" i="2"/>
  <c r="U658" i="2"/>
  <c r="O658" i="2"/>
  <c r="K658" i="2"/>
  <c r="J658" i="2"/>
  <c r="H658" i="2"/>
  <c r="AT655" i="2"/>
  <c r="AS655" i="2"/>
  <c r="AR655" i="2"/>
  <c r="AQ655" i="2"/>
  <c r="AJ655" i="2"/>
  <c r="AH655" i="2"/>
  <c r="AF655" i="2"/>
  <c r="AE655" i="2"/>
  <c r="AC655" i="2"/>
  <c r="AB655" i="2"/>
  <c r="Z655" i="2"/>
  <c r="X655" i="2"/>
  <c r="W655" i="2"/>
  <c r="U655" i="2"/>
  <c r="O655" i="2"/>
  <c r="K655" i="2"/>
  <c r="J655" i="2"/>
  <c r="H655" i="2"/>
  <c r="AT652" i="2"/>
  <c r="AS652" i="2"/>
  <c r="AR652" i="2"/>
  <c r="AQ652" i="2"/>
  <c r="AJ652" i="2"/>
  <c r="AH652" i="2"/>
  <c r="AF652" i="2"/>
  <c r="AE652" i="2"/>
  <c r="AC652" i="2"/>
  <c r="AB652" i="2"/>
  <c r="Z652" i="2"/>
  <c r="X652" i="2"/>
  <c r="W652" i="2"/>
  <c r="U652" i="2"/>
  <c r="O652" i="2"/>
  <c r="K652" i="2"/>
  <c r="J652" i="2"/>
  <c r="H652" i="2"/>
  <c r="AT649" i="2"/>
  <c r="AS649" i="2"/>
  <c r="AR649" i="2"/>
  <c r="AQ649" i="2"/>
  <c r="AJ649" i="2"/>
  <c r="AH649" i="2"/>
  <c r="AF649" i="2"/>
  <c r="AE649" i="2"/>
  <c r="AC649" i="2"/>
  <c r="AB649" i="2"/>
  <c r="Z649" i="2"/>
  <c r="X649" i="2"/>
  <c r="W649" i="2"/>
  <c r="U649" i="2"/>
  <c r="O649" i="2"/>
  <c r="K649" i="2"/>
  <c r="J649" i="2"/>
  <c r="H649" i="2"/>
  <c r="AT645" i="2"/>
  <c r="AS645" i="2"/>
  <c r="AQ645" i="2"/>
  <c r="AM645" i="2"/>
  <c r="AJ645" i="2"/>
  <c r="AH645" i="2"/>
  <c r="AF645" i="2"/>
  <c r="AE645" i="2"/>
  <c r="AC645" i="2"/>
  <c r="AB645" i="2"/>
  <c r="Z645" i="2"/>
  <c r="X645" i="2"/>
  <c r="W645" i="2"/>
  <c r="U645" i="2"/>
  <c r="O645" i="2"/>
  <c r="K645" i="2"/>
  <c r="J645" i="2"/>
  <c r="H645" i="2"/>
  <c r="AR644" i="2"/>
  <c r="AR645" i="2" s="1"/>
  <c r="AT639" i="2"/>
  <c r="AS639" i="2"/>
  <c r="AR639" i="2"/>
  <c r="AQ639" i="2"/>
  <c r="AJ639" i="2"/>
  <c r="AH639" i="2"/>
  <c r="AF639" i="2"/>
  <c r="AE639" i="2"/>
  <c r="AC639" i="2"/>
  <c r="AB639" i="2"/>
  <c r="Z639" i="2"/>
  <c r="X639" i="2"/>
  <c r="W639" i="2"/>
  <c r="U639" i="2"/>
  <c r="O639" i="2"/>
  <c r="K639" i="2"/>
  <c r="J639" i="2"/>
  <c r="H639" i="2"/>
  <c r="AT635" i="2"/>
  <c r="AS635" i="2"/>
  <c r="AR635" i="2"/>
  <c r="AQ635" i="2"/>
  <c r="AJ635" i="2"/>
  <c r="AH635" i="2"/>
  <c r="AF635" i="2"/>
  <c r="AE635" i="2"/>
  <c r="AC635" i="2"/>
  <c r="AB635" i="2"/>
  <c r="U635" i="2"/>
  <c r="O635" i="2"/>
  <c r="K635" i="2"/>
  <c r="J635" i="2"/>
  <c r="H635" i="2"/>
  <c r="AT632" i="2"/>
  <c r="AS632" i="2"/>
  <c r="AR632" i="2"/>
  <c r="AQ632" i="2"/>
  <c r="AJ632" i="2"/>
  <c r="AH632" i="2"/>
  <c r="AF632" i="2"/>
  <c r="AE632" i="2"/>
  <c r="AC632" i="2"/>
  <c r="AB632" i="2"/>
  <c r="U632" i="2"/>
  <c r="O632" i="2"/>
  <c r="K632" i="2"/>
  <c r="J632" i="2"/>
  <c r="H632" i="2"/>
  <c r="AT629" i="2"/>
  <c r="AS629" i="2"/>
  <c r="AR629" i="2"/>
  <c r="AQ629" i="2"/>
  <c r="AJ629" i="2"/>
  <c r="AH629" i="2"/>
  <c r="AF629" i="2"/>
  <c r="AE629" i="2"/>
  <c r="AC629" i="2"/>
  <c r="AB629" i="2"/>
  <c r="Z629" i="2"/>
  <c r="X629" i="2"/>
  <c r="W629" i="2"/>
  <c r="U629" i="2"/>
  <c r="O629" i="2"/>
  <c r="K629" i="2"/>
  <c r="J629" i="2"/>
  <c r="H629" i="2"/>
  <c r="AT621" i="2"/>
  <c r="AS621" i="2"/>
  <c r="AR621" i="2"/>
  <c r="AQ621" i="2"/>
  <c r="AJ621" i="2"/>
  <c r="AH621" i="2"/>
  <c r="AF621" i="2"/>
  <c r="AE621" i="2"/>
  <c r="AC621" i="2"/>
  <c r="AB621" i="2"/>
  <c r="Z621" i="2"/>
  <c r="X621" i="2"/>
  <c r="W621" i="2"/>
  <c r="U621" i="2"/>
  <c r="O621" i="2"/>
  <c r="K621" i="2"/>
  <c r="J621" i="2"/>
  <c r="H621" i="2"/>
  <c r="AT613" i="2"/>
  <c r="AS613" i="2"/>
  <c r="AR613" i="2"/>
  <c r="AQ613" i="2"/>
  <c r="AJ613" i="2"/>
  <c r="AH613" i="2"/>
  <c r="AF613" i="2"/>
  <c r="AE613" i="2"/>
  <c r="AC613" i="2"/>
  <c r="AB613" i="2"/>
  <c r="Z613" i="2"/>
  <c r="X613" i="2"/>
  <c r="W613" i="2"/>
  <c r="U613" i="2"/>
  <c r="O613" i="2"/>
  <c r="K613" i="2"/>
  <c r="J613" i="2"/>
  <c r="H613" i="2"/>
  <c r="AT605" i="2"/>
  <c r="AS605" i="2"/>
  <c r="AR605" i="2"/>
  <c r="AQ605" i="2"/>
  <c r="AJ605" i="2"/>
  <c r="AH605" i="2"/>
  <c r="AF605" i="2"/>
  <c r="AE605" i="2"/>
  <c r="AC605" i="2"/>
  <c r="AB605" i="2"/>
  <c r="Z605" i="2"/>
  <c r="X605" i="2"/>
  <c r="W605" i="2"/>
  <c r="U605" i="2"/>
  <c r="O605" i="2"/>
  <c r="K605" i="2"/>
  <c r="J605" i="2"/>
  <c r="H605" i="2"/>
  <c r="AT597" i="2"/>
  <c r="AS597" i="2"/>
  <c r="AR597" i="2"/>
  <c r="AQ597" i="2"/>
  <c r="AJ597" i="2"/>
  <c r="AH597" i="2"/>
  <c r="AF597" i="2"/>
  <c r="AE597" i="2"/>
  <c r="AC597" i="2"/>
  <c r="AB597" i="2"/>
  <c r="Z597" i="2"/>
  <c r="X597" i="2"/>
  <c r="W597" i="2"/>
  <c r="U597" i="2"/>
  <c r="O597" i="2"/>
  <c r="K597" i="2"/>
  <c r="J597" i="2"/>
  <c r="H597" i="2"/>
  <c r="AT586" i="2"/>
  <c r="AS586" i="2"/>
  <c r="AR586" i="2"/>
  <c r="AQ586" i="2"/>
  <c r="AJ586" i="2"/>
  <c r="AH586" i="2"/>
  <c r="AF586" i="2"/>
  <c r="AE586" i="2"/>
  <c r="AC586" i="2"/>
  <c r="AB586" i="2"/>
  <c r="Z586" i="2"/>
  <c r="X586" i="2"/>
  <c r="W586" i="2"/>
  <c r="U586" i="2"/>
  <c r="O586" i="2"/>
  <c r="K586" i="2"/>
  <c r="J586" i="2"/>
  <c r="H586" i="2"/>
  <c r="AT575" i="2"/>
  <c r="AS575" i="2"/>
  <c r="AR575" i="2"/>
  <c r="AQ575" i="2"/>
  <c r="AH575" i="2"/>
  <c r="AF575" i="2"/>
  <c r="AE575" i="2"/>
  <c r="AC575" i="2"/>
  <c r="Z575" i="2"/>
  <c r="X575" i="2"/>
  <c r="W575" i="2"/>
  <c r="U575" i="2"/>
  <c r="K575" i="2"/>
  <c r="J575" i="2"/>
  <c r="H575" i="2"/>
  <c r="AJ573" i="2"/>
  <c r="AJ571" i="2"/>
  <c r="AJ569" i="2"/>
  <c r="AJ567" i="2"/>
  <c r="AB565" i="2"/>
  <c r="O565" i="2"/>
  <c r="AB563" i="2"/>
  <c r="O563" i="2"/>
  <c r="AT562" i="2"/>
  <c r="AS562" i="2"/>
  <c r="AR562" i="2"/>
  <c r="AQ562" i="2"/>
  <c r="AH562" i="2"/>
  <c r="AF562" i="2"/>
  <c r="AE562" i="2"/>
  <c r="AC562" i="2"/>
  <c r="AB562" i="2"/>
  <c r="Z562" i="2"/>
  <c r="X562" i="2"/>
  <c r="W562" i="2"/>
  <c r="U562" i="2"/>
  <c r="O562" i="2"/>
  <c r="K562" i="2"/>
  <c r="J562" i="2"/>
  <c r="H562" i="2"/>
  <c r="AJ560" i="2"/>
  <c r="AJ559" i="2"/>
  <c r="AT558" i="2"/>
  <c r="AS558" i="2"/>
  <c r="AR558" i="2"/>
  <c r="AQ558" i="2"/>
  <c r="AJ558" i="2"/>
  <c r="AH558" i="2"/>
  <c r="AF558" i="2"/>
  <c r="AE558" i="2"/>
  <c r="AC558" i="2"/>
  <c r="AB558" i="2"/>
  <c r="Z558" i="2"/>
  <c r="X558" i="2"/>
  <c r="W558" i="2"/>
  <c r="U558" i="2"/>
  <c r="O558" i="2"/>
  <c r="K558" i="2"/>
  <c r="J558" i="2"/>
  <c r="H558" i="2"/>
  <c r="AS554" i="2"/>
  <c r="AR554" i="2"/>
  <c r="AH554" i="2"/>
  <c r="AF554" i="2"/>
  <c r="AE554" i="2"/>
  <c r="Z554" i="2"/>
  <c r="X554" i="2"/>
  <c r="W554" i="2"/>
  <c r="U554" i="2"/>
  <c r="O554" i="2"/>
  <c r="K554" i="2"/>
  <c r="J554" i="2"/>
  <c r="H554" i="2"/>
  <c r="AB553" i="2"/>
  <c r="AB554" i="2" s="1"/>
  <c r="AS551" i="2"/>
  <c r="AR551" i="2"/>
  <c r="AH551" i="2"/>
  <c r="AF551" i="2"/>
  <c r="AE551" i="2"/>
  <c r="AB551" i="2"/>
  <c r="Z551" i="2"/>
  <c r="X551" i="2"/>
  <c r="W551" i="2"/>
  <c r="U551" i="2"/>
  <c r="O551" i="2"/>
  <c r="K551" i="2"/>
  <c r="J551" i="2"/>
  <c r="H551" i="2"/>
  <c r="AT549" i="2"/>
  <c r="AS549" i="2"/>
  <c r="AR549" i="2"/>
  <c r="AQ549" i="2"/>
  <c r="AJ549" i="2"/>
  <c r="AH549" i="2"/>
  <c r="AF549" i="2"/>
  <c r="AE549" i="2"/>
  <c r="AC549" i="2"/>
  <c r="AB549" i="2"/>
  <c r="Z549" i="2"/>
  <c r="X549" i="2"/>
  <c r="W549" i="2"/>
  <c r="U549" i="2"/>
  <c r="O549" i="2"/>
  <c r="K549" i="2"/>
  <c r="J549" i="2"/>
  <c r="H549" i="2"/>
  <c r="AT547" i="2"/>
  <c r="AS547" i="2"/>
  <c r="AR547" i="2"/>
  <c r="AQ547" i="2"/>
  <c r="AJ547" i="2"/>
  <c r="AH547" i="2"/>
  <c r="AF547" i="2"/>
  <c r="AE547" i="2"/>
  <c r="AC547" i="2"/>
  <c r="AB547" i="2"/>
  <c r="Z547" i="2"/>
  <c r="X547" i="2"/>
  <c r="W547" i="2"/>
  <c r="U547" i="2"/>
  <c r="O547" i="2"/>
  <c r="K547" i="2"/>
  <c r="J547" i="2"/>
  <c r="H547" i="2"/>
  <c r="AT534" i="2"/>
  <c r="AS534" i="2"/>
  <c r="AR534" i="2"/>
  <c r="AQ534" i="2"/>
  <c r="AJ534" i="2"/>
  <c r="AH534" i="2"/>
  <c r="AF534" i="2"/>
  <c r="AE534" i="2"/>
  <c r="AC534" i="2"/>
  <c r="AB534" i="2"/>
  <c r="Z534" i="2"/>
  <c r="X534" i="2"/>
  <c r="W534" i="2"/>
  <c r="U534" i="2"/>
  <c r="O534" i="2"/>
  <c r="K534" i="2"/>
  <c r="J534" i="2"/>
  <c r="H534" i="2"/>
  <c r="AT531" i="2"/>
  <c r="AS531" i="2"/>
  <c r="AR531" i="2"/>
  <c r="AQ531" i="2"/>
  <c r="AJ531" i="2"/>
  <c r="AH531" i="2"/>
  <c r="AF531" i="2"/>
  <c r="AE531" i="2"/>
  <c r="AC531" i="2"/>
  <c r="AB531" i="2"/>
  <c r="Z531" i="2"/>
  <c r="X531" i="2"/>
  <c r="W531" i="2"/>
  <c r="U531" i="2"/>
  <c r="O531" i="2"/>
  <c r="K531" i="2"/>
  <c r="J531" i="2"/>
  <c r="H531" i="2"/>
  <c r="AT528" i="2"/>
  <c r="AS528" i="2"/>
  <c r="AR528" i="2"/>
  <c r="AQ528" i="2"/>
  <c r="AJ528" i="2"/>
  <c r="AH528" i="2"/>
  <c r="AF528" i="2"/>
  <c r="AE528" i="2"/>
  <c r="AC528" i="2"/>
  <c r="AB528" i="2"/>
  <c r="Z528" i="2"/>
  <c r="X528" i="2"/>
  <c r="W528" i="2"/>
  <c r="U528" i="2"/>
  <c r="O528" i="2"/>
  <c r="K528" i="2"/>
  <c r="J528" i="2"/>
  <c r="H528" i="2"/>
  <c r="AT524" i="2"/>
  <c r="AS524" i="2"/>
  <c r="AR524" i="2"/>
  <c r="AQ524" i="2"/>
  <c r="AJ524" i="2"/>
  <c r="AH524" i="2"/>
  <c r="AF524" i="2"/>
  <c r="AE524" i="2"/>
  <c r="AC524" i="2"/>
  <c r="AB524" i="2"/>
  <c r="Z524" i="2"/>
  <c r="X524" i="2"/>
  <c r="W524" i="2"/>
  <c r="U524" i="2"/>
  <c r="O524" i="2"/>
  <c r="K524" i="2"/>
  <c r="J524" i="2"/>
  <c r="H524" i="2"/>
  <c r="AT520" i="2"/>
  <c r="AS520" i="2"/>
  <c r="AR520" i="2"/>
  <c r="AQ520" i="2"/>
  <c r="AJ520" i="2"/>
  <c r="AH520" i="2"/>
  <c r="AF520" i="2"/>
  <c r="AE520" i="2"/>
  <c r="AC520" i="2"/>
  <c r="AB520" i="2"/>
  <c r="Z520" i="2"/>
  <c r="X520" i="2"/>
  <c r="W520" i="2"/>
  <c r="U520" i="2"/>
  <c r="O520" i="2"/>
  <c r="K520" i="2"/>
  <c r="J520" i="2"/>
  <c r="H520" i="2"/>
  <c r="AT518" i="2"/>
  <c r="AS518" i="2"/>
  <c r="AR518" i="2"/>
  <c r="AQ518" i="2"/>
  <c r="AJ518" i="2"/>
  <c r="AH518" i="2"/>
  <c r="AF518" i="2"/>
  <c r="AE518" i="2"/>
  <c r="AC518" i="2"/>
  <c r="AB518" i="2"/>
  <c r="Z518" i="2"/>
  <c r="X518" i="2"/>
  <c r="W518" i="2"/>
  <c r="U518" i="2"/>
  <c r="O518" i="2"/>
  <c r="K518" i="2"/>
  <c r="J518" i="2"/>
  <c r="H518" i="2"/>
  <c r="AT516" i="2"/>
  <c r="AS516" i="2"/>
  <c r="AR516" i="2"/>
  <c r="AQ516" i="2"/>
  <c r="AJ516" i="2"/>
  <c r="AH516" i="2"/>
  <c r="AF516" i="2"/>
  <c r="AE516" i="2"/>
  <c r="AC516" i="2"/>
  <c r="AB516" i="2"/>
  <c r="Z516" i="2"/>
  <c r="X516" i="2"/>
  <c r="W516" i="2"/>
  <c r="U516" i="2"/>
  <c r="O516" i="2"/>
  <c r="K516" i="2"/>
  <c r="J516" i="2"/>
  <c r="H516" i="2"/>
  <c r="AT508" i="2"/>
  <c r="AS508" i="2"/>
  <c r="AR508" i="2"/>
  <c r="AQ508" i="2"/>
  <c r="AJ508" i="2"/>
  <c r="AH508" i="2"/>
  <c r="AF508" i="2"/>
  <c r="AE508" i="2"/>
  <c r="AC508" i="2"/>
  <c r="AB508" i="2"/>
  <c r="Z508" i="2"/>
  <c r="X508" i="2"/>
  <c r="W508" i="2"/>
  <c r="U508" i="2"/>
  <c r="O508" i="2"/>
  <c r="K508" i="2"/>
  <c r="J508" i="2"/>
  <c r="H508" i="2"/>
  <c r="AJ506" i="2"/>
  <c r="AH506" i="2"/>
  <c r="AF506" i="2"/>
  <c r="AE506" i="2"/>
  <c r="AC506" i="2"/>
  <c r="AB506" i="2"/>
  <c r="Z506" i="2"/>
  <c r="X506" i="2"/>
  <c r="W506" i="2"/>
  <c r="U506" i="2"/>
  <c r="O506" i="2"/>
  <c r="K506" i="2"/>
  <c r="J506" i="2"/>
  <c r="H506" i="2"/>
  <c r="AT501" i="2"/>
  <c r="AS501" i="2"/>
  <c r="AR501" i="2"/>
  <c r="AQ501" i="2"/>
  <c r="AH501" i="2"/>
  <c r="AF501" i="2"/>
  <c r="AE501" i="2"/>
  <c r="AC501" i="2"/>
  <c r="AB501" i="2"/>
  <c r="Z501" i="2"/>
  <c r="X501" i="2"/>
  <c r="W501" i="2"/>
  <c r="U501" i="2"/>
  <c r="O501" i="2"/>
  <c r="K501" i="2"/>
  <c r="J501" i="2"/>
  <c r="H501" i="2"/>
  <c r="AJ500" i="2"/>
  <c r="AJ499" i="2"/>
  <c r="AT493" i="2"/>
  <c r="AR493" i="2"/>
  <c r="AQ493" i="2"/>
  <c r="AH493" i="2"/>
  <c r="AF493" i="2"/>
  <c r="AE493" i="2"/>
  <c r="AC493" i="2"/>
  <c r="AB493" i="2"/>
  <c r="Z493" i="2"/>
  <c r="X493" i="2"/>
  <c r="W493" i="2"/>
  <c r="U493" i="2"/>
  <c r="O493" i="2"/>
  <c r="K493" i="2"/>
  <c r="J493" i="2"/>
  <c r="H493" i="2"/>
  <c r="AJ492" i="2"/>
  <c r="AJ491" i="2"/>
  <c r="AJ490" i="2"/>
  <c r="AS489" i="2"/>
  <c r="AS487" i="2"/>
  <c r="AT485" i="2"/>
  <c r="AR485" i="2"/>
  <c r="AQ485" i="2"/>
  <c r="AH485" i="2"/>
  <c r="AF485" i="2"/>
  <c r="AE485" i="2"/>
  <c r="AC485" i="2"/>
  <c r="AB485" i="2"/>
  <c r="Z485" i="2"/>
  <c r="X485" i="2"/>
  <c r="W485" i="2"/>
  <c r="U485" i="2"/>
  <c r="O485" i="2"/>
  <c r="K485" i="2"/>
  <c r="J485" i="2"/>
  <c r="H485" i="2"/>
  <c r="AS484" i="2"/>
  <c r="AJ484" i="2"/>
  <c r="AJ483" i="2"/>
  <c r="AJ482" i="2"/>
  <c r="AS481" i="2"/>
  <c r="AJ481" i="2"/>
  <c r="AS480" i="2"/>
  <c r="AJ480" i="2"/>
  <c r="AJ479" i="2"/>
  <c r="AT478" i="2"/>
  <c r="AS478" i="2"/>
  <c r="AR478" i="2"/>
  <c r="AQ478" i="2"/>
  <c r="AM478" i="2"/>
  <c r="AH478" i="2"/>
  <c r="AF478" i="2"/>
  <c r="AE478" i="2"/>
  <c r="AC478" i="2"/>
  <c r="AB478" i="2"/>
  <c r="Z478" i="2"/>
  <c r="X478" i="2"/>
  <c r="W478" i="2"/>
  <c r="U478" i="2"/>
  <c r="O478" i="2"/>
  <c r="K478" i="2"/>
  <c r="J478" i="2"/>
  <c r="H478" i="2"/>
  <c r="AJ475" i="2"/>
  <c r="AJ474" i="2"/>
  <c r="AJ469" i="2"/>
  <c r="AT468" i="2"/>
  <c r="AS468" i="2"/>
  <c r="AR468" i="2"/>
  <c r="AQ468" i="2"/>
  <c r="AM468" i="2"/>
  <c r="AJ468" i="2"/>
  <c r="AH468" i="2"/>
  <c r="AF468" i="2"/>
  <c r="AE468" i="2"/>
  <c r="AC468" i="2"/>
  <c r="AB468" i="2"/>
  <c r="Z468" i="2"/>
  <c r="X468" i="2"/>
  <c r="W468" i="2"/>
  <c r="U468" i="2"/>
  <c r="O468" i="2"/>
  <c r="K468" i="2"/>
  <c r="J468" i="2"/>
  <c r="H468" i="2"/>
  <c r="AT463" i="2"/>
  <c r="AS463" i="2"/>
  <c r="AR463" i="2"/>
  <c r="AQ463" i="2"/>
  <c r="AJ463" i="2"/>
  <c r="AH463" i="2"/>
  <c r="AF463" i="2"/>
  <c r="AE463" i="2"/>
  <c r="AC463" i="2"/>
  <c r="AB463" i="2"/>
  <c r="Z463" i="2"/>
  <c r="X463" i="2"/>
  <c r="W463" i="2"/>
  <c r="U463" i="2"/>
  <c r="O463" i="2"/>
  <c r="K463" i="2"/>
  <c r="J463" i="2"/>
  <c r="H463" i="2"/>
  <c r="AT459" i="2"/>
  <c r="AS459" i="2"/>
  <c r="AR459" i="2"/>
  <c r="AQ459" i="2"/>
  <c r="AJ459" i="2"/>
  <c r="AH459" i="2"/>
  <c r="AF459" i="2"/>
  <c r="AE459" i="2"/>
  <c r="AC459" i="2"/>
  <c r="AB459" i="2"/>
  <c r="Z459" i="2"/>
  <c r="X459" i="2"/>
  <c r="W459" i="2"/>
  <c r="U459" i="2"/>
  <c r="O459" i="2"/>
  <c r="K459" i="2"/>
  <c r="J459" i="2"/>
  <c r="H459" i="2"/>
  <c r="AT457" i="2"/>
  <c r="AS457" i="2"/>
  <c r="AR457" i="2"/>
  <c r="AQ457" i="2"/>
  <c r="AJ457" i="2"/>
  <c r="AH457" i="2"/>
  <c r="AF457" i="2"/>
  <c r="AE457" i="2"/>
  <c r="AC457" i="2"/>
  <c r="AB457" i="2"/>
  <c r="Z457" i="2"/>
  <c r="X457" i="2"/>
  <c r="W457" i="2"/>
  <c r="U457" i="2"/>
  <c r="O457" i="2"/>
  <c r="K457" i="2"/>
  <c r="J457" i="2"/>
  <c r="H457" i="2"/>
  <c r="AT453" i="2"/>
  <c r="AS453" i="2"/>
  <c r="AR453" i="2"/>
  <c r="AQ453" i="2"/>
  <c r="AM453" i="2"/>
  <c r="AJ453" i="2"/>
  <c r="AH453" i="2"/>
  <c r="AF453" i="2"/>
  <c r="AE453" i="2"/>
  <c r="AC453" i="2"/>
  <c r="AB453" i="2"/>
  <c r="Z453" i="2"/>
  <c r="X453" i="2"/>
  <c r="W453" i="2"/>
  <c r="U453" i="2"/>
  <c r="O453" i="2"/>
  <c r="K453" i="2"/>
  <c r="J453" i="2"/>
  <c r="H453" i="2"/>
  <c r="AT448" i="2"/>
  <c r="AS448" i="2"/>
  <c r="AR448" i="2"/>
  <c r="AQ448" i="2"/>
  <c r="AM448" i="2"/>
  <c r="AJ448" i="2"/>
  <c r="AH448" i="2"/>
  <c r="AF448" i="2"/>
  <c r="AE448" i="2"/>
  <c r="AC448" i="2"/>
  <c r="AB448" i="2"/>
  <c r="Z448" i="2"/>
  <c r="X448" i="2"/>
  <c r="W448" i="2"/>
  <c r="U448" i="2"/>
  <c r="O448" i="2"/>
  <c r="K448" i="2"/>
  <c r="J448" i="2"/>
  <c r="H448" i="2"/>
  <c r="AT437" i="2"/>
  <c r="AS437" i="2"/>
  <c r="AR437" i="2"/>
  <c r="AQ437" i="2"/>
  <c r="AM437" i="2"/>
  <c r="AJ437" i="2"/>
  <c r="AH437" i="2"/>
  <c r="AF437" i="2"/>
  <c r="AE437" i="2"/>
  <c r="AC437" i="2"/>
  <c r="AB437" i="2"/>
  <c r="Z437" i="2"/>
  <c r="X437" i="2"/>
  <c r="W437" i="2"/>
  <c r="U437" i="2"/>
  <c r="O437" i="2"/>
  <c r="K437" i="2"/>
  <c r="J437" i="2"/>
  <c r="H437" i="2"/>
  <c r="AT432" i="2"/>
  <c r="AS432" i="2"/>
  <c r="AR432" i="2"/>
  <c r="AQ432" i="2"/>
  <c r="AM432" i="2"/>
  <c r="AJ432" i="2"/>
  <c r="AH432" i="2"/>
  <c r="AF432" i="2"/>
  <c r="AE432" i="2"/>
  <c r="AC432" i="2"/>
  <c r="AB432" i="2"/>
  <c r="Z432" i="2"/>
  <c r="X432" i="2"/>
  <c r="W432" i="2"/>
  <c r="U432" i="2"/>
  <c r="O432" i="2"/>
  <c r="K432" i="2"/>
  <c r="J432" i="2"/>
  <c r="H432" i="2"/>
  <c r="AT425" i="2"/>
  <c r="AS425" i="2"/>
  <c r="AR425" i="2"/>
  <c r="AQ425" i="2"/>
  <c r="AJ425" i="2"/>
  <c r="AH425" i="2"/>
  <c r="AF425" i="2"/>
  <c r="AE425" i="2"/>
  <c r="AC425" i="2"/>
  <c r="AB425" i="2"/>
  <c r="Z425" i="2"/>
  <c r="X425" i="2"/>
  <c r="W425" i="2"/>
  <c r="U425" i="2"/>
  <c r="O425" i="2"/>
  <c r="K425" i="2"/>
  <c r="J425" i="2"/>
  <c r="H425" i="2"/>
  <c r="AT423" i="2"/>
  <c r="AS423" i="2"/>
  <c r="AR423" i="2"/>
  <c r="AQ423" i="2"/>
  <c r="AM423" i="2"/>
  <c r="AJ423" i="2"/>
  <c r="AH423" i="2"/>
  <c r="AF423" i="2"/>
  <c r="AE423" i="2"/>
  <c r="AC423" i="2"/>
  <c r="AB423" i="2"/>
  <c r="Z423" i="2"/>
  <c r="X423" i="2"/>
  <c r="W423" i="2"/>
  <c r="U423" i="2"/>
  <c r="O423" i="2"/>
  <c r="K423" i="2"/>
  <c r="J423" i="2"/>
  <c r="H423" i="2"/>
  <c r="AJ417" i="2"/>
  <c r="AH417" i="2"/>
  <c r="AF417" i="2"/>
  <c r="AE417" i="2"/>
  <c r="AC417" i="2"/>
  <c r="AB417" i="2"/>
  <c r="Z417" i="2"/>
  <c r="X417" i="2"/>
  <c r="W417" i="2"/>
  <c r="U417" i="2"/>
  <c r="O417" i="2"/>
  <c r="K417" i="2"/>
  <c r="J417" i="2"/>
  <c r="H417" i="2"/>
  <c r="AT415" i="2"/>
  <c r="AS415" i="2"/>
  <c r="AR415" i="2"/>
  <c r="AQ415" i="2"/>
  <c r="AH415" i="2"/>
  <c r="AF415" i="2"/>
  <c r="AE415" i="2"/>
  <c r="AC415" i="2"/>
  <c r="AB415" i="2"/>
  <c r="Z415" i="2"/>
  <c r="X415" i="2"/>
  <c r="W415" i="2"/>
  <c r="U415" i="2"/>
  <c r="O415" i="2"/>
  <c r="K415" i="2"/>
  <c r="J415" i="2"/>
  <c r="H415" i="2"/>
  <c r="AJ413" i="2"/>
  <c r="AJ412" i="2"/>
  <c r="AT411" i="2"/>
  <c r="AS411" i="2"/>
  <c r="AR411" i="2"/>
  <c r="AQ411" i="2"/>
  <c r="AJ411" i="2"/>
  <c r="AH411" i="2"/>
  <c r="AF411" i="2"/>
  <c r="AE411" i="2"/>
  <c r="AC411" i="2"/>
  <c r="AB411" i="2"/>
  <c r="Z411" i="2"/>
  <c r="X411" i="2"/>
  <c r="W411" i="2"/>
  <c r="U411" i="2"/>
  <c r="O411" i="2"/>
  <c r="K411" i="2"/>
  <c r="J411" i="2"/>
  <c r="H411" i="2"/>
  <c r="AT405" i="2"/>
  <c r="AS405" i="2"/>
  <c r="AR405" i="2"/>
  <c r="AQ405" i="2"/>
  <c r="AJ405" i="2"/>
  <c r="AH405" i="2"/>
  <c r="AF405" i="2"/>
  <c r="AE405" i="2"/>
  <c r="AC405" i="2"/>
  <c r="AB405" i="2"/>
  <c r="Z405" i="2"/>
  <c r="X405" i="2"/>
  <c r="W405" i="2"/>
  <c r="U405" i="2"/>
  <c r="O405" i="2"/>
  <c r="K405" i="2"/>
  <c r="J405" i="2"/>
  <c r="H405" i="2"/>
  <c r="AT400" i="2"/>
  <c r="AS400" i="2"/>
  <c r="AR400" i="2"/>
  <c r="AQ400" i="2"/>
  <c r="AJ400" i="2"/>
  <c r="AH400" i="2"/>
  <c r="AF400" i="2"/>
  <c r="AE400" i="2"/>
  <c r="AC400" i="2"/>
  <c r="AB400" i="2"/>
  <c r="Z400" i="2"/>
  <c r="X400" i="2"/>
  <c r="W400" i="2"/>
  <c r="U400" i="2"/>
  <c r="O400" i="2"/>
  <c r="K400" i="2"/>
  <c r="J400" i="2"/>
  <c r="H400" i="2"/>
  <c r="AT394" i="2"/>
  <c r="AS394" i="2"/>
  <c r="AR394" i="2"/>
  <c r="AQ394" i="2"/>
  <c r="AM394" i="2"/>
  <c r="AH394" i="2"/>
  <c r="AF394" i="2"/>
  <c r="AE394" i="2"/>
  <c r="AC394" i="2"/>
  <c r="AB394" i="2"/>
  <c r="Z394" i="2"/>
  <c r="X394" i="2"/>
  <c r="W394" i="2"/>
  <c r="U394" i="2"/>
  <c r="O394" i="2"/>
  <c r="K394" i="2"/>
  <c r="J394" i="2"/>
  <c r="H394" i="2"/>
  <c r="AJ392" i="2"/>
  <c r="AJ391" i="2"/>
  <c r="AJ384" i="2"/>
  <c r="AT383" i="2"/>
  <c r="AS383" i="2"/>
  <c r="AQ383" i="2"/>
  <c r="AM383" i="2"/>
  <c r="AH383" i="2"/>
  <c r="AF383" i="2"/>
  <c r="AE383" i="2"/>
  <c r="AC383" i="2"/>
  <c r="AB383" i="2"/>
  <c r="Z383" i="2"/>
  <c r="X383" i="2"/>
  <c r="W383" i="2"/>
  <c r="U383" i="2"/>
  <c r="O383" i="2"/>
  <c r="K383" i="2"/>
  <c r="J383" i="2"/>
  <c r="H383" i="2"/>
  <c r="AJ382" i="2"/>
  <c r="AJ383" i="2" s="1"/>
  <c r="AR380" i="2"/>
  <c r="AR383" i="2" s="1"/>
  <c r="AT378" i="2"/>
  <c r="AQ378" i="2"/>
  <c r="AH378" i="2"/>
  <c r="AF378" i="2"/>
  <c r="AE378" i="2"/>
  <c r="AC378" i="2"/>
  <c r="AB378" i="2"/>
  <c r="Z378" i="2"/>
  <c r="X378" i="2"/>
  <c r="W378" i="2"/>
  <c r="U378" i="2"/>
  <c r="O378" i="2"/>
  <c r="K378" i="2"/>
  <c r="J378" i="2"/>
  <c r="H378" i="2"/>
  <c r="AJ377" i="2"/>
  <c r="AS376" i="2"/>
  <c r="AS378" i="2" s="1"/>
  <c r="AR376" i="2"/>
  <c r="AR378" i="2" s="1"/>
  <c r="AJ376" i="2"/>
  <c r="AJ375" i="2"/>
  <c r="AJ374" i="2"/>
  <c r="AT373" i="2"/>
  <c r="AS373" i="2"/>
  <c r="AR373" i="2"/>
  <c r="AQ373" i="2"/>
  <c r="AJ373" i="2"/>
  <c r="AH373" i="2"/>
  <c r="AF373" i="2"/>
  <c r="AE373" i="2"/>
  <c r="AC373" i="2"/>
  <c r="AB373" i="2"/>
  <c r="Z373" i="2"/>
  <c r="X373" i="2"/>
  <c r="W373" i="2"/>
  <c r="U373" i="2"/>
  <c r="O373" i="2"/>
  <c r="K373" i="2"/>
  <c r="J373" i="2"/>
  <c r="H373" i="2"/>
  <c r="AT366" i="2"/>
  <c r="AR366" i="2"/>
  <c r="AQ366" i="2"/>
  <c r="AM366" i="2"/>
  <c r="AH366" i="2"/>
  <c r="AF366" i="2"/>
  <c r="AE366" i="2"/>
  <c r="AC366" i="2"/>
  <c r="AB366" i="2"/>
  <c r="Z366" i="2"/>
  <c r="X366" i="2"/>
  <c r="W366" i="2"/>
  <c r="U366" i="2"/>
  <c r="O366" i="2"/>
  <c r="K366" i="2"/>
  <c r="J366" i="2"/>
  <c r="H366" i="2"/>
  <c r="AJ365" i="2"/>
  <c r="AJ364" i="2"/>
  <c r="AJ363" i="2"/>
  <c r="AJ362" i="2"/>
  <c r="AS361" i="2"/>
  <c r="AS366" i="2" s="1"/>
  <c r="AJ361" i="2"/>
  <c r="AJ360" i="2"/>
  <c r="AJ359" i="2"/>
  <c r="AT358" i="2"/>
  <c r="AS358" i="2"/>
  <c r="AR358" i="2"/>
  <c r="AQ358" i="2"/>
  <c r="AJ358" i="2"/>
  <c r="AH358" i="2"/>
  <c r="AF358" i="2"/>
  <c r="AE358" i="2"/>
  <c r="AC358" i="2"/>
  <c r="AB358" i="2"/>
  <c r="Z358" i="2"/>
  <c r="X358" i="2"/>
  <c r="W358" i="2"/>
  <c r="U358" i="2"/>
  <c r="O358" i="2"/>
  <c r="K358" i="2"/>
  <c r="J358" i="2"/>
  <c r="H358" i="2"/>
  <c r="AT353" i="2"/>
  <c r="AS353" i="2"/>
  <c r="AR353" i="2"/>
  <c r="AQ353" i="2"/>
  <c r="AJ353" i="2"/>
  <c r="AH353" i="2"/>
  <c r="AF353" i="2"/>
  <c r="AE353" i="2"/>
  <c r="AC353" i="2"/>
  <c r="AB353" i="2"/>
  <c r="Z353" i="2"/>
  <c r="X353" i="2"/>
  <c r="W353" i="2"/>
  <c r="U353" i="2"/>
  <c r="O353" i="2"/>
  <c r="K353" i="2"/>
  <c r="J353" i="2"/>
  <c r="H353" i="2"/>
  <c r="AT346" i="2"/>
  <c r="AQ346" i="2"/>
  <c r="AH346" i="2"/>
  <c r="AF346" i="2"/>
  <c r="AE346" i="2"/>
  <c r="AC346" i="2"/>
  <c r="AB346" i="2"/>
  <c r="Z346" i="2"/>
  <c r="X346" i="2"/>
  <c r="W346" i="2"/>
  <c r="U346" i="2"/>
  <c r="O346" i="2"/>
  <c r="K346" i="2"/>
  <c r="J346" i="2"/>
  <c r="H346" i="2"/>
  <c r="AJ344" i="2"/>
  <c r="AJ343" i="2"/>
  <c r="AS342" i="2"/>
  <c r="AS346" i="2" s="1"/>
  <c r="AR342" i="2"/>
  <c r="AR346" i="2" s="1"/>
  <c r="AJ342" i="2"/>
  <c r="AT341" i="2"/>
  <c r="AS341" i="2"/>
  <c r="AR341" i="2"/>
  <c r="AQ341" i="2"/>
  <c r="AJ341" i="2"/>
  <c r="AH341" i="2"/>
  <c r="AF341" i="2"/>
  <c r="AE341" i="2"/>
  <c r="AC341" i="2"/>
  <c r="AB341" i="2"/>
  <c r="Z341" i="2"/>
  <c r="X341" i="2"/>
  <c r="W341" i="2"/>
  <c r="U341" i="2"/>
  <c r="O341" i="2"/>
  <c r="K341" i="2"/>
  <c r="J341" i="2"/>
  <c r="H341" i="2"/>
  <c r="AT334" i="2"/>
  <c r="AS334" i="2"/>
  <c r="AR334" i="2"/>
  <c r="AQ334" i="2"/>
  <c r="AH334" i="2"/>
  <c r="AF334" i="2"/>
  <c r="AE334" i="2"/>
  <c r="AC334" i="2"/>
  <c r="AB334" i="2"/>
  <c r="Z334" i="2"/>
  <c r="X334" i="2"/>
  <c r="W334" i="2"/>
  <c r="U334" i="2"/>
  <c r="O334" i="2"/>
  <c r="K334" i="2"/>
  <c r="J334" i="2"/>
  <c r="H334" i="2"/>
  <c r="AJ333" i="2"/>
  <c r="AJ334" i="2" s="1"/>
  <c r="AT331" i="2"/>
  <c r="AS331" i="2"/>
  <c r="AR331" i="2"/>
  <c r="AQ331" i="2"/>
  <c r="AM331" i="2"/>
  <c r="AJ331" i="2"/>
  <c r="AH331" i="2"/>
  <c r="AF331" i="2"/>
  <c r="AE331" i="2"/>
  <c r="AC331" i="2"/>
  <c r="AB331" i="2"/>
  <c r="Z331" i="2"/>
  <c r="X331" i="2"/>
  <c r="W331" i="2"/>
  <c r="U331" i="2"/>
  <c r="O331" i="2"/>
  <c r="K331" i="2"/>
  <c r="J331" i="2"/>
  <c r="H331" i="2"/>
  <c r="AT327" i="2"/>
  <c r="AS327" i="2"/>
  <c r="AR327" i="2"/>
  <c r="AQ327" i="2"/>
  <c r="AM327" i="2"/>
  <c r="AH327" i="2"/>
  <c r="AF327" i="2"/>
  <c r="AE327" i="2"/>
  <c r="AC327" i="2"/>
  <c r="AB327" i="2"/>
  <c r="Z327" i="2"/>
  <c r="X327" i="2"/>
  <c r="W327" i="2"/>
  <c r="U327" i="2"/>
  <c r="O327" i="2"/>
  <c r="K327" i="2"/>
  <c r="J327" i="2"/>
  <c r="H327" i="2"/>
  <c r="AJ319" i="2"/>
  <c r="AJ327" i="2" s="1"/>
  <c r="AT316" i="2"/>
  <c r="AS316" i="2"/>
  <c r="AR316" i="2"/>
  <c r="AQ316" i="2"/>
  <c r="AJ316" i="2"/>
  <c r="AH316" i="2"/>
  <c r="AF316" i="2"/>
  <c r="AE316" i="2"/>
  <c r="AC316" i="2"/>
  <c r="AB316" i="2"/>
  <c r="Z316" i="2"/>
  <c r="X316" i="2"/>
  <c r="W316" i="2"/>
  <c r="U316" i="2"/>
  <c r="O316" i="2"/>
  <c r="K316" i="2"/>
  <c r="J316" i="2"/>
  <c r="H316" i="2"/>
  <c r="AT310" i="2"/>
  <c r="AR310" i="2"/>
  <c r="AQ310" i="2"/>
  <c r="AH310" i="2"/>
  <c r="AF310" i="2"/>
  <c r="AE310" i="2"/>
  <c r="AC310" i="2"/>
  <c r="Z310" i="2"/>
  <c r="X310" i="2"/>
  <c r="W310" i="2"/>
  <c r="U310" i="2"/>
  <c r="O310" i="2"/>
  <c r="K310" i="2"/>
  <c r="J310" i="2"/>
  <c r="H310" i="2"/>
  <c r="AJ309" i="2"/>
  <c r="AS308" i="2"/>
  <c r="AS310" i="2" s="1"/>
  <c r="AJ308" i="2"/>
  <c r="AB308" i="2"/>
  <c r="AB307" i="2"/>
  <c r="AT306" i="2"/>
  <c r="AS306" i="2"/>
  <c r="AR306" i="2"/>
  <c r="AQ306" i="2"/>
  <c r="AJ306" i="2"/>
  <c r="AH306" i="2"/>
  <c r="AF306" i="2"/>
  <c r="AE306" i="2"/>
  <c r="AC306" i="2"/>
  <c r="AB306" i="2"/>
  <c r="Z306" i="2"/>
  <c r="X306" i="2"/>
  <c r="W306" i="2"/>
  <c r="U306" i="2"/>
  <c r="O306" i="2"/>
  <c r="K306" i="2"/>
  <c r="J306" i="2"/>
  <c r="H306" i="2"/>
  <c r="AT302" i="2"/>
  <c r="AS302" i="2"/>
  <c r="AR302" i="2"/>
  <c r="AQ302" i="2"/>
  <c r="AJ302" i="2"/>
  <c r="AH302" i="2"/>
  <c r="AF302" i="2"/>
  <c r="AE302" i="2"/>
  <c r="AC302" i="2"/>
  <c r="AB302" i="2"/>
  <c r="Z302" i="2"/>
  <c r="X302" i="2"/>
  <c r="W302" i="2"/>
  <c r="U302" i="2"/>
  <c r="O302" i="2"/>
  <c r="K302" i="2"/>
  <c r="J302" i="2"/>
  <c r="H302" i="2"/>
  <c r="AT296" i="2"/>
  <c r="AS296" i="2"/>
  <c r="AR296" i="2"/>
  <c r="AQ296" i="2"/>
  <c r="AC296" i="2"/>
  <c r="U296" i="2"/>
  <c r="K296" i="2"/>
  <c r="J296" i="2"/>
  <c r="H296" i="2"/>
  <c r="AJ295" i="2"/>
  <c r="AJ294" i="2"/>
  <c r="AJ293" i="2"/>
  <c r="AB292" i="2"/>
  <c r="AB296" i="2" s="1"/>
  <c r="O292" i="2"/>
  <c r="O296" i="2" s="1"/>
  <c r="AT290" i="2"/>
  <c r="AS290" i="2"/>
  <c r="AR290" i="2"/>
  <c r="AQ290" i="2"/>
  <c r="AJ290" i="2"/>
  <c r="AC290" i="2"/>
  <c r="U290" i="2"/>
  <c r="K290" i="2"/>
  <c r="J290" i="2"/>
  <c r="H290" i="2"/>
  <c r="AB289" i="2"/>
  <c r="AB290" i="2" s="1"/>
  <c r="O289" i="2"/>
  <c r="O290" i="2" s="1"/>
  <c r="AT285" i="2"/>
  <c r="AS285" i="2"/>
  <c r="AR285" i="2"/>
  <c r="AQ285" i="2"/>
  <c r="AJ285" i="2"/>
  <c r="AH285" i="2"/>
  <c r="AF285" i="2"/>
  <c r="AE285" i="2"/>
  <c r="AC285" i="2"/>
  <c r="AB285" i="2"/>
  <c r="Z285" i="2"/>
  <c r="X285" i="2"/>
  <c r="W285" i="2"/>
  <c r="U285" i="2"/>
  <c r="O285" i="2"/>
  <c r="K285" i="2"/>
  <c r="J285" i="2"/>
  <c r="H285" i="2"/>
  <c r="AT280" i="2"/>
  <c r="AS280" i="2"/>
  <c r="AR280" i="2"/>
  <c r="AQ280" i="2"/>
  <c r="AH280" i="2"/>
  <c r="AF280" i="2"/>
  <c r="AE280" i="2"/>
  <c r="AC280" i="2"/>
  <c r="Z280" i="2"/>
  <c r="X280" i="2"/>
  <c r="W280" i="2"/>
  <c r="U280" i="2"/>
  <c r="K280" i="2"/>
  <c r="J280" i="2"/>
  <c r="H280" i="2"/>
  <c r="AJ279" i="2"/>
  <c r="AJ280" i="2" s="1"/>
  <c r="AB278" i="2"/>
  <c r="AB280" i="2" s="1"/>
  <c r="O278" i="2"/>
  <c r="O280" i="2" s="1"/>
  <c r="AT276" i="2"/>
  <c r="AS276" i="2"/>
  <c r="AR276" i="2"/>
  <c r="AQ276" i="2"/>
  <c r="AJ276" i="2"/>
  <c r="AH276" i="2"/>
  <c r="AF276" i="2"/>
  <c r="AE276" i="2"/>
  <c r="AC276" i="2"/>
  <c r="AB276" i="2"/>
  <c r="Z276" i="2"/>
  <c r="X276" i="2"/>
  <c r="W276" i="2"/>
  <c r="U276" i="2"/>
  <c r="O276" i="2"/>
  <c r="K276" i="2"/>
  <c r="J276" i="2"/>
  <c r="H276" i="2"/>
  <c r="AT271" i="2"/>
  <c r="AS271" i="2"/>
  <c r="AR271" i="2"/>
  <c r="AQ271" i="2"/>
  <c r="AH271" i="2"/>
  <c r="AF271" i="2"/>
  <c r="AE271" i="2"/>
  <c r="AC271" i="2"/>
  <c r="AB271" i="2"/>
  <c r="Z271" i="2"/>
  <c r="X271" i="2"/>
  <c r="W271" i="2"/>
  <c r="U271" i="2"/>
  <c r="O271" i="2"/>
  <c r="K271" i="2"/>
  <c r="J271" i="2"/>
  <c r="H271" i="2"/>
  <c r="AJ270" i="2"/>
  <c r="AJ269" i="2"/>
  <c r="AJ267" i="2"/>
  <c r="AT265" i="2"/>
  <c r="AR265" i="2"/>
  <c r="AQ265" i="2"/>
  <c r="AH265" i="2"/>
  <c r="AF265" i="2"/>
  <c r="AE265" i="2"/>
  <c r="AC265" i="2"/>
  <c r="AB265" i="2"/>
  <c r="Z265" i="2"/>
  <c r="X265" i="2"/>
  <c r="W265" i="2"/>
  <c r="U265" i="2"/>
  <c r="O265" i="2"/>
  <c r="K265" i="2"/>
  <c r="J265" i="2"/>
  <c r="H265" i="2"/>
  <c r="AJ264" i="2"/>
  <c r="AJ263" i="2"/>
  <c r="AJ262" i="2"/>
  <c r="AS261" i="2"/>
  <c r="AS265" i="2" s="1"/>
  <c r="AJ261" i="2"/>
  <c r="AT260" i="2"/>
  <c r="AS260" i="2"/>
  <c r="AR260" i="2"/>
  <c r="AQ260" i="2"/>
  <c r="AJ260" i="2"/>
  <c r="AH260" i="2"/>
  <c r="AF260" i="2"/>
  <c r="AE260" i="2"/>
  <c r="AC260" i="2"/>
  <c r="AB260" i="2"/>
  <c r="Z260" i="2"/>
  <c r="X260" i="2"/>
  <c r="W260" i="2"/>
  <c r="U260" i="2"/>
  <c r="O260" i="2"/>
  <c r="K260" i="2"/>
  <c r="J260" i="2"/>
  <c r="H260" i="2"/>
  <c r="AT252" i="2"/>
  <c r="AS252" i="2"/>
  <c r="AR252" i="2"/>
  <c r="AQ252" i="2"/>
  <c r="AJ252" i="2"/>
  <c r="AH252" i="2"/>
  <c r="AF252" i="2"/>
  <c r="AE252" i="2"/>
  <c r="AC252" i="2"/>
  <c r="AB252" i="2"/>
  <c r="Z252" i="2"/>
  <c r="X252" i="2"/>
  <c r="W252" i="2"/>
  <c r="U252" i="2"/>
  <c r="O252" i="2"/>
  <c r="K252" i="2"/>
  <c r="J252" i="2"/>
  <c r="H252" i="2"/>
  <c r="AT248" i="2"/>
  <c r="AS248" i="2"/>
  <c r="AR248" i="2"/>
  <c r="AQ248" i="2"/>
  <c r="AJ248" i="2"/>
  <c r="AH248" i="2"/>
  <c r="AF248" i="2"/>
  <c r="AE248" i="2"/>
  <c r="AC248" i="2"/>
  <c r="AB248" i="2"/>
  <c r="Z248" i="2"/>
  <c r="X248" i="2"/>
  <c r="W248" i="2"/>
  <c r="U248" i="2"/>
  <c r="O248" i="2"/>
  <c r="K248" i="2"/>
  <c r="J248" i="2"/>
  <c r="H248" i="2"/>
  <c r="AT244" i="2"/>
  <c r="AS244" i="2"/>
  <c r="AR244" i="2"/>
  <c r="AQ244" i="2"/>
  <c r="AJ244" i="2"/>
  <c r="AH244" i="2"/>
  <c r="AF244" i="2"/>
  <c r="AE244" i="2"/>
  <c r="AC244" i="2"/>
  <c r="AB244" i="2"/>
  <c r="Z244" i="2"/>
  <c r="X244" i="2"/>
  <c r="W244" i="2"/>
  <c r="U244" i="2"/>
  <c r="O244" i="2"/>
  <c r="K244" i="2"/>
  <c r="J244" i="2"/>
  <c r="H244" i="2"/>
  <c r="AT237" i="2"/>
  <c r="AR237" i="2"/>
  <c r="AQ237" i="2"/>
  <c r="AH237" i="2"/>
  <c r="AF237" i="2"/>
  <c r="AE237" i="2"/>
  <c r="AC237" i="2"/>
  <c r="Z237" i="2"/>
  <c r="X237" i="2"/>
  <c r="W237" i="2"/>
  <c r="U237" i="2"/>
  <c r="O237" i="2"/>
  <c r="K237" i="2"/>
  <c r="J237" i="2"/>
  <c r="H237" i="2"/>
  <c r="AJ236" i="2"/>
  <c r="AS235" i="2"/>
  <c r="AS237" i="2" s="1"/>
  <c r="AJ235" i="2"/>
  <c r="AB234" i="2"/>
  <c r="AB237" i="2" s="1"/>
  <c r="AT232" i="2"/>
  <c r="AS232" i="2"/>
  <c r="AR232" i="2"/>
  <c r="AQ232" i="2"/>
  <c r="AH232" i="2"/>
  <c r="AF232" i="2"/>
  <c r="AE232" i="2"/>
  <c r="AC232" i="2"/>
  <c r="AB232" i="2"/>
  <c r="Z232" i="2"/>
  <c r="X232" i="2"/>
  <c r="W232" i="2"/>
  <c r="U232" i="2"/>
  <c r="O232" i="2"/>
  <c r="K232" i="2"/>
  <c r="J232" i="2"/>
  <c r="H232" i="2"/>
  <c r="AJ230" i="2"/>
  <c r="AJ227" i="2"/>
  <c r="AT226" i="2"/>
  <c r="AS226" i="2"/>
  <c r="AR226" i="2"/>
  <c r="AQ226" i="2"/>
  <c r="AJ226" i="2"/>
  <c r="AH226" i="2"/>
  <c r="AF226" i="2"/>
  <c r="AE226" i="2"/>
  <c r="AC226" i="2"/>
  <c r="AB226" i="2"/>
  <c r="Z226" i="2"/>
  <c r="X226" i="2"/>
  <c r="W226" i="2"/>
  <c r="U226" i="2"/>
  <c r="O226" i="2"/>
  <c r="K226" i="2"/>
  <c r="J226" i="2"/>
  <c r="H226" i="2"/>
  <c r="AT222" i="2"/>
  <c r="AS222" i="2"/>
  <c r="AR222" i="2"/>
  <c r="AQ222" i="2"/>
  <c r="AJ222" i="2"/>
  <c r="AH222" i="2"/>
  <c r="AF222" i="2"/>
  <c r="AE222" i="2"/>
  <c r="AC222" i="2"/>
  <c r="AB222" i="2"/>
  <c r="Z222" i="2"/>
  <c r="X222" i="2"/>
  <c r="W222" i="2"/>
  <c r="U222" i="2"/>
  <c r="O222" i="2"/>
  <c r="K222" i="2"/>
  <c r="J222" i="2"/>
  <c r="H222" i="2"/>
  <c r="AT220" i="2"/>
  <c r="AS220" i="2"/>
  <c r="AR220" i="2"/>
  <c r="AQ220" i="2"/>
  <c r="AJ220" i="2"/>
  <c r="AH220" i="2"/>
  <c r="AF220" i="2"/>
  <c r="AE220" i="2"/>
  <c r="AC220" i="2"/>
  <c r="AB220" i="2"/>
  <c r="Z220" i="2"/>
  <c r="X220" i="2"/>
  <c r="W220" i="2"/>
  <c r="U220" i="2"/>
  <c r="O220" i="2"/>
  <c r="K220" i="2"/>
  <c r="J220" i="2"/>
  <c r="H220" i="2"/>
  <c r="AT218" i="2"/>
  <c r="AS218" i="2"/>
  <c r="AR218" i="2"/>
  <c r="AQ218" i="2"/>
  <c r="AM218" i="2"/>
  <c r="AK218" i="2"/>
  <c r="AJ218" i="2"/>
  <c r="AH218" i="2"/>
  <c r="AF218" i="2"/>
  <c r="AE218" i="2"/>
  <c r="AC218" i="2"/>
  <c r="AB218" i="2"/>
  <c r="Z218" i="2"/>
  <c r="X218" i="2"/>
  <c r="W218" i="2"/>
  <c r="O218" i="2"/>
  <c r="K218" i="2"/>
  <c r="J218" i="2"/>
  <c r="H218" i="2"/>
  <c r="AT197" i="2"/>
  <c r="AS197" i="2"/>
  <c r="AR197" i="2"/>
  <c r="AQ197" i="2"/>
  <c r="AJ197" i="2"/>
  <c r="AH197" i="2"/>
  <c r="AF197" i="2"/>
  <c r="AE197" i="2"/>
  <c r="AC197" i="2"/>
  <c r="AB197" i="2"/>
  <c r="Z197" i="2"/>
  <c r="X197" i="2"/>
  <c r="W197" i="2"/>
  <c r="U197" i="2"/>
  <c r="O197" i="2"/>
  <c r="K197" i="2"/>
  <c r="J197" i="2"/>
  <c r="H197" i="2"/>
  <c r="AT191" i="2"/>
  <c r="AS191" i="2"/>
  <c r="AR191" i="2"/>
  <c r="AQ191" i="2"/>
  <c r="AJ191" i="2"/>
  <c r="AH191" i="2"/>
  <c r="AF191" i="2"/>
  <c r="AE191" i="2"/>
  <c r="AC191" i="2"/>
  <c r="AB191" i="2"/>
  <c r="Z191" i="2"/>
  <c r="X191" i="2"/>
  <c r="W191" i="2"/>
  <c r="U191" i="2"/>
  <c r="O191" i="2"/>
  <c r="K191" i="2"/>
  <c r="J191" i="2"/>
  <c r="H191" i="2"/>
  <c r="AT182" i="2"/>
  <c r="AS182" i="2"/>
  <c r="AR182" i="2"/>
  <c r="AQ182" i="2"/>
  <c r="AH182" i="2"/>
  <c r="AF182" i="2"/>
  <c r="AE182" i="2"/>
  <c r="AC182" i="2"/>
  <c r="AB182" i="2"/>
  <c r="Z182" i="2"/>
  <c r="X182" i="2"/>
  <c r="W182" i="2"/>
  <c r="U182" i="2"/>
  <c r="O182" i="2"/>
  <c r="K182" i="2"/>
  <c r="J182" i="2"/>
  <c r="H182" i="2"/>
  <c r="AJ180" i="2"/>
  <c r="AJ182" i="2" s="1"/>
  <c r="AT179" i="2"/>
  <c r="AS179" i="2"/>
  <c r="AR179" i="2"/>
  <c r="AQ179" i="2"/>
  <c r="AH179" i="2"/>
  <c r="AF179" i="2"/>
  <c r="AE179" i="2"/>
  <c r="AC179" i="2"/>
  <c r="AB179" i="2"/>
  <c r="Z179" i="2"/>
  <c r="X179" i="2"/>
  <c r="W179" i="2"/>
  <c r="U179" i="2"/>
  <c r="O179" i="2"/>
  <c r="K179" i="2"/>
  <c r="J179" i="2"/>
  <c r="H179" i="2"/>
  <c r="AJ177" i="2"/>
  <c r="AJ179" i="2" s="1"/>
  <c r="AJ175" i="2"/>
  <c r="AH175" i="2"/>
  <c r="AF175" i="2"/>
  <c r="AE175" i="2"/>
  <c r="AC175" i="2"/>
  <c r="AB175" i="2"/>
  <c r="Z175" i="2"/>
  <c r="X175" i="2"/>
  <c r="W175" i="2"/>
  <c r="U175" i="2"/>
  <c r="O175" i="2"/>
  <c r="K175" i="2"/>
  <c r="J175" i="2"/>
  <c r="H175" i="2"/>
  <c r="AT172" i="2"/>
  <c r="AS172" i="2"/>
  <c r="AR172" i="2"/>
  <c r="AQ172" i="2"/>
  <c r="AK172" i="2"/>
  <c r="AJ172" i="2"/>
  <c r="AH172" i="2"/>
  <c r="AF172" i="2"/>
  <c r="AE172" i="2"/>
  <c r="AC172" i="2"/>
  <c r="AB172" i="2"/>
  <c r="Z172" i="2"/>
  <c r="X172" i="2"/>
  <c r="W172" i="2"/>
  <c r="U172" i="2"/>
  <c r="O172" i="2"/>
  <c r="K172" i="2"/>
  <c r="J172" i="2"/>
  <c r="H172" i="2"/>
  <c r="AT164" i="2"/>
  <c r="AS164" i="2"/>
  <c r="AR164" i="2"/>
  <c r="AQ164" i="2"/>
  <c r="AH164" i="2"/>
  <c r="AF164" i="2"/>
  <c r="AE164" i="2"/>
  <c r="AC164" i="2"/>
  <c r="Z164" i="2"/>
  <c r="X164" i="2"/>
  <c r="W164" i="2"/>
  <c r="U164" i="2"/>
  <c r="O164" i="2"/>
  <c r="L164" i="2"/>
  <c r="K164" i="2"/>
  <c r="J164" i="2"/>
  <c r="H164" i="2"/>
  <c r="AJ162" i="2"/>
  <c r="AB162" i="2"/>
  <c r="AJ159" i="2"/>
  <c r="AB159" i="2"/>
  <c r="AJ156" i="2"/>
  <c r="AB156" i="2"/>
  <c r="AJ153" i="2"/>
  <c r="AB153" i="2"/>
  <c r="AT150" i="2"/>
  <c r="AS150" i="2"/>
  <c r="AR150" i="2"/>
  <c r="AQ150" i="2"/>
  <c r="AJ150" i="2"/>
  <c r="AH150" i="2"/>
  <c r="AF150" i="2"/>
  <c r="AE150" i="2"/>
  <c r="AC150" i="2"/>
  <c r="AB150" i="2"/>
  <c r="U150" i="2"/>
  <c r="P150" i="2"/>
  <c r="O150" i="2"/>
  <c r="K150" i="2"/>
  <c r="J150" i="2"/>
  <c r="H150" i="2"/>
  <c r="AT147" i="2"/>
  <c r="AS147" i="2"/>
  <c r="AR147" i="2"/>
  <c r="AQ147" i="2"/>
  <c r="AJ147" i="2"/>
  <c r="AC147" i="2"/>
  <c r="AB147" i="2"/>
  <c r="Z147" i="2"/>
  <c r="Y147" i="2"/>
  <c r="X147" i="2"/>
  <c r="W147" i="2"/>
  <c r="U147" i="2"/>
  <c r="P147" i="2"/>
  <c r="O147" i="2"/>
  <c r="K147" i="2"/>
  <c r="J147" i="2"/>
  <c r="H147" i="2"/>
  <c r="AT145" i="2"/>
  <c r="AS145" i="2"/>
  <c r="AR145" i="2"/>
  <c r="AQ145" i="2"/>
  <c r="AJ145" i="2"/>
  <c r="AC145" i="2"/>
  <c r="AB145" i="2"/>
  <c r="Z145" i="2"/>
  <c r="Y145" i="2"/>
  <c r="X145" i="2"/>
  <c r="W145" i="2"/>
  <c r="U145" i="2"/>
  <c r="P145" i="2"/>
  <c r="O145" i="2"/>
  <c r="K145" i="2"/>
  <c r="J145" i="2"/>
  <c r="H145" i="2"/>
  <c r="AT143" i="2"/>
  <c r="AS143" i="2"/>
  <c r="AR143" i="2"/>
  <c r="AQ143" i="2"/>
  <c r="AJ143" i="2"/>
  <c r="AH143" i="2"/>
  <c r="AF143" i="2"/>
  <c r="AE143" i="2"/>
  <c r="AC143" i="2"/>
  <c r="AB143" i="2"/>
  <c r="Z143" i="2"/>
  <c r="Y143" i="2"/>
  <c r="X143" i="2"/>
  <c r="W143" i="2"/>
  <c r="U143" i="2"/>
  <c r="P143" i="2"/>
  <c r="O143" i="2"/>
  <c r="K143" i="2"/>
  <c r="J143" i="2"/>
  <c r="H143" i="2"/>
  <c r="AT141" i="2"/>
  <c r="AS141" i="2"/>
  <c r="AR141" i="2"/>
  <c r="AQ141" i="2"/>
  <c r="AJ141" i="2"/>
  <c r="AH141" i="2"/>
  <c r="AF141" i="2"/>
  <c r="AE141" i="2"/>
  <c r="AC141" i="2"/>
  <c r="AB141" i="2"/>
  <c r="Z141" i="2"/>
  <c r="Y141" i="2"/>
  <c r="X141" i="2"/>
  <c r="W141" i="2"/>
  <c r="U141" i="2"/>
  <c r="O141" i="2"/>
  <c r="K141" i="2"/>
  <c r="J141" i="2"/>
  <c r="H141" i="2"/>
  <c r="AT138" i="2"/>
  <c r="AS138" i="2"/>
  <c r="AR138" i="2"/>
  <c r="AQ138" i="2"/>
  <c r="AJ138" i="2"/>
  <c r="AH138" i="2"/>
  <c r="AF138" i="2"/>
  <c r="AE138" i="2"/>
  <c r="AC138" i="2"/>
  <c r="AB138" i="2"/>
  <c r="Z138" i="2"/>
  <c r="Y138" i="2"/>
  <c r="X138" i="2"/>
  <c r="W138" i="2"/>
  <c r="U138" i="2"/>
  <c r="P138" i="2"/>
  <c r="O138" i="2"/>
  <c r="K138" i="2"/>
  <c r="J138" i="2"/>
  <c r="H138" i="2"/>
  <c r="AT135" i="2"/>
  <c r="AS135" i="2"/>
  <c r="AR135" i="2"/>
  <c r="AQ135" i="2"/>
  <c r="AJ135" i="2"/>
  <c r="AH135" i="2"/>
  <c r="AF135" i="2"/>
  <c r="AE135" i="2"/>
  <c r="AC135" i="2"/>
  <c r="AB135" i="2"/>
  <c r="Z135" i="2"/>
  <c r="Y135" i="2"/>
  <c r="X135" i="2"/>
  <c r="W135" i="2"/>
  <c r="U135" i="2"/>
  <c r="P135" i="2"/>
  <c r="O135" i="2"/>
  <c r="K135" i="2"/>
  <c r="J135" i="2"/>
  <c r="H135" i="2"/>
  <c r="AT132" i="2"/>
  <c r="AS132" i="2"/>
  <c r="AR132" i="2"/>
  <c r="AQ132" i="2"/>
  <c r="AJ132" i="2"/>
  <c r="AH132" i="2"/>
  <c r="AF132" i="2"/>
  <c r="AE132" i="2"/>
  <c r="AC132" i="2"/>
  <c r="AB132" i="2"/>
  <c r="Z132" i="2"/>
  <c r="Y132" i="2"/>
  <c r="X132" i="2"/>
  <c r="W132" i="2"/>
  <c r="U132" i="2"/>
  <c r="P132" i="2"/>
  <c r="O132" i="2"/>
  <c r="K132" i="2"/>
  <c r="J132" i="2"/>
  <c r="H132" i="2"/>
  <c r="AT129" i="2"/>
  <c r="AS129" i="2"/>
  <c r="AR129" i="2"/>
  <c r="AQ129" i="2"/>
  <c r="AJ129" i="2"/>
  <c r="AH129" i="2"/>
  <c r="AF129" i="2"/>
  <c r="AE129" i="2"/>
  <c r="AC129" i="2"/>
  <c r="AB129" i="2"/>
  <c r="Z129" i="2"/>
  <c r="Y129" i="2"/>
  <c r="X129" i="2"/>
  <c r="W129" i="2"/>
  <c r="U129" i="2"/>
  <c r="P129" i="2"/>
  <c r="O129" i="2"/>
  <c r="K129" i="2"/>
  <c r="J129" i="2"/>
  <c r="H129" i="2"/>
  <c r="AT127" i="2"/>
  <c r="AS127" i="2"/>
  <c r="AR127" i="2"/>
  <c r="AQ127" i="2"/>
  <c r="AJ127" i="2"/>
  <c r="AH127" i="2"/>
  <c r="AF127" i="2"/>
  <c r="AE127" i="2"/>
  <c r="AC127" i="2"/>
  <c r="AB127" i="2"/>
  <c r="Z127" i="2"/>
  <c r="Y127" i="2"/>
  <c r="X127" i="2"/>
  <c r="W127" i="2"/>
  <c r="U127" i="2"/>
  <c r="P127" i="2"/>
  <c r="O127" i="2"/>
  <c r="K127" i="2"/>
  <c r="J127" i="2"/>
  <c r="H127" i="2"/>
  <c r="AT125" i="2"/>
  <c r="AS125" i="2"/>
  <c r="AR125" i="2"/>
  <c r="AQ125" i="2"/>
  <c r="AJ125" i="2"/>
  <c r="AH125" i="2"/>
  <c r="AF125" i="2"/>
  <c r="AE125" i="2"/>
  <c r="AC125" i="2"/>
  <c r="AB125" i="2"/>
  <c r="Z125" i="2"/>
  <c r="Y125" i="2"/>
  <c r="X125" i="2"/>
  <c r="W125" i="2"/>
  <c r="U125" i="2"/>
  <c r="P125" i="2"/>
  <c r="O125" i="2"/>
  <c r="K125" i="2"/>
  <c r="J125" i="2"/>
  <c r="H125" i="2"/>
  <c r="AT123" i="2"/>
  <c r="AS123" i="2"/>
  <c r="AR123" i="2"/>
  <c r="AQ123" i="2"/>
  <c r="AJ123" i="2"/>
  <c r="AH123" i="2"/>
  <c r="AF123" i="2"/>
  <c r="AE123" i="2"/>
  <c r="AC123" i="2"/>
  <c r="AB123" i="2"/>
  <c r="Z123" i="2"/>
  <c r="Y123" i="2"/>
  <c r="X123" i="2"/>
  <c r="W123" i="2"/>
  <c r="U123" i="2"/>
  <c r="P123" i="2"/>
  <c r="O123" i="2"/>
  <c r="K123" i="2"/>
  <c r="J123" i="2"/>
  <c r="H123" i="2"/>
  <c r="AT119" i="2"/>
  <c r="AS119" i="2"/>
  <c r="AR119" i="2"/>
  <c r="AQ119" i="2"/>
  <c r="AJ119" i="2"/>
  <c r="AH119" i="2"/>
  <c r="AF119" i="2"/>
  <c r="AE119" i="2"/>
  <c r="AC119" i="2"/>
  <c r="AB119" i="2"/>
  <c r="Z119" i="2"/>
  <c r="Y119" i="2"/>
  <c r="X119" i="2"/>
  <c r="W119" i="2"/>
  <c r="U119" i="2"/>
  <c r="P119" i="2"/>
  <c r="O119" i="2"/>
  <c r="K119" i="2"/>
  <c r="J119" i="2"/>
  <c r="H119" i="2"/>
  <c r="AT115" i="2"/>
  <c r="AS115" i="2"/>
  <c r="AR115" i="2"/>
  <c r="AQ115" i="2"/>
  <c r="AJ115" i="2"/>
  <c r="AH115" i="2"/>
  <c r="AF115" i="2"/>
  <c r="AE115" i="2"/>
  <c r="AC115" i="2"/>
  <c r="AB115" i="2"/>
  <c r="Z115" i="2"/>
  <c r="Y115" i="2"/>
  <c r="X115" i="2"/>
  <c r="W115" i="2"/>
  <c r="U115" i="2"/>
  <c r="P115" i="2"/>
  <c r="O115" i="2"/>
  <c r="K115" i="2"/>
  <c r="J115" i="2"/>
  <c r="H115" i="2"/>
  <c r="AT111" i="2"/>
  <c r="AS111" i="2"/>
  <c r="AR111" i="2"/>
  <c r="AQ111" i="2"/>
  <c r="AJ111" i="2"/>
  <c r="AH111" i="2"/>
  <c r="AF111" i="2"/>
  <c r="AE111" i="2"/>
  <c r="AC111" i="2"/>
  <c r="AB111" i="2"/>
  <c r="Z111" i="2"/>
  <c r="Y111" i="2"/>
  <c r="X111" i="2"/>
  <c r="W111" i="2"/>
  <c r="U111" i="2"/>
  <c r="O111" i="2"/>
  <c r="K111" i="2"/>
  <c r="J111" i="2"/>
  <c r="H111" i="2"/>
  <c r="AT109" i="2"/>
  <c r="AS109" i="2"/>
  <c r="AR109" i="2"/>
  <c r="AQ109" i="2"/>
  <c r="AJ109" i="2"/>
  <c r="AH109" i="2"/>
  <c r="AF109" i="2"/>
  <c r="AE109" i="2"/>
  <c r="AC109" i="2"/>
  <c r="AB109" i="2"/>
  <c r="Z109" i="2"/>
  <c r="Y109" i="2"/>
  <c r="X109" i="2"/>
  <c r="W109" i="2"/>
  <c r="U109" i="2"/>
  <c r="P109" i="2"/>
  <c r="O109" i="2"/>
  <c r="K109" i="2"/>
  <c r="J109" i="2"/>
  <c r="H109" i="2"/>
  <c r="AT106" i="2"/>
  <c r="AS106" i="2"/>
  <c r="AR106" i="2"/>
  <c r="AQ106" i="2"/>
  <c r="AJ106" i="2"/>
  <c r="AH106" i="2"/>
  <c r="AF106" i="2"/>
  <c r="AE106" i="2"/>
  <c r="AC106" i="2"/>
  <c r="AB106" i="2"/>
  <c r="Z106" i="2"/>
  <c r="Y106" i="2"/>
  <c r="X106" i="2"/>
  <c r="W106" i="2"/>
  <c r="U106" i="2"/>
  <c r="P106" i="2"/>
  <c r="O106" i="2"/>
  <c r="K106" i="2"/>
  <c r="J106" i="2"/>
  <c r="H106" i="2"/>
  <c r="AT103" i="2"/>
  <c r="AS103" i="2"/>
  <c r="AR103" i="2"/>
  <c r="AQ103" i="2"/>
  <c r="AM103" i="2"/>
  <c r="AJ103" i="2"/>
  <c r="AH103" i="2"/>
  <c r="AF103" i="2"/>
  <c r="AE103" i="2"/>
  <c r="AC103" i="2"/>
  <c r="AB103" i="2"/>
  <c r="Z103" i="2"/>
  <c r="Y103" i="2"/>
  <c r="X103" i="2"/>
  <c r="W103" i="2"/>
  <c r="U103" i="2"/>
  <c r="P103" i="2"/>
  <c r="O103" i="2"/>
  <c r="K103" i="2"/>
  <c r="J103" i="2"/>
  <c r="H103" i="2"/>
  <c r="AT99" i="2"/>
  <c r="AS99" i="2"/>
  <c r="AR99" i="2"/>
  <c r="AQ99" i="2"/>
  <c r="AJ99" i="2"/>
  <c r="AH99" i="2"/>
  <c r="AF99" i="2"/>
  <c r="AE99" i="2"/>
  <c r="AC99" i="2"/>
  <c r="AB99" i="2"/>
  <c r="Z99" i="2"/>
  <c r="Y99" i="2"/>
  <c r="X99" i="2"/>
  <c r="W99" i="2"/>
  <c r="U99" i="2"/>
  <c r="P99" i="2"/>
  <c r="O99" i="2"/>
  <c r="K99" i="2"/>
  <c r="J99" i="2"/>
  <c r="H99" i="2"/>
  <c r="AT96" i="2"/>
  <c r="AS96" i="2"/>
  <c r="AR96" i="2"/>
  <c r="AQ96" i="2"/>
  <c r="AJ96" i="2"/>
  <c r="AH96" i="2"/>
  <c r="AF96" i="2"/>
  <c r="AE96" i="2"/>
  <c r="AC96" i="2"/>
  <c r="AB96" i="2"/>
  <c r="Z96" i="2"/>
  <c r="Y96" i="2"/>
  <c r="X96" i="2"/>
  <c r="W96" i="2"/>
  <c r="U96" i="2"/>
  <c r="O96" i="2"/>
  <c r="K96" i="2"/>
  <c r="J96" i="2"/>
  <c r="H96" i="2"/>
  <c r="AT94" i="2"/>
  <c r="AS94" i="2"/>
  <c r="AR94" i="2"/>
  <c r="AQ94" i="2"/>
  <c r="AJ94" i="2"/>
  <c r="AH94" i="2"/>
  <c r="AF94" i="2"/>
  <c r="AE94" i="2"/>
  <c r="AC94" i="2"/>
  <c r="AB94" i="2"/>
  <c r="Z94" i="2"/>
  <c r="Y94" i="2"/>
  <c r="X94" i="2"/>
  <c r="W94" i="2"/>
  <c r="U94" i="2"/>
  <c r="P94" i="2"/>
  <c r="O94" i="2"/>
  <c r="K94" i="2"/>
  <c r="J94" i="2"/>
  <c r="H94" i="2"/>
  <c r="AT92" i="2"/>
  <c r="AS92" i="2"/>
  <c r="AR92" i="2"/>
  <c r="AQ92" i="2"/>
  <c r="AJ92" i="2"/>
  <c r="AH92" i="2"/>
  <c r="AF92" i="2"/>
  <c r="AE92" i="2"/>
  <c r="AC92" i="2"/>
  <c r="AB92" i="2"/>
  <c r="Z92" i="2"/>
  <c r="Y92" i="2"/>
  <c r="X92" i="2"/>
  <c r="W92" i="2"/>
  <c r="U92" i="2"/>
  <c r="P92" i="2"/>
  <c r="O92" i="2"/>
  <c r="K92" i="2"/>
  <c r="J92" i="2"/>
  <c r="H92" i="2"/>
  <c r="AT89" i="2"/>
  <c r="AS89" i="2"/>
  <c r="AR89" i="2"/>
  <c r="AQ89" i="2"/>
  <c r="AJ89" i="2"/>
  <c r="AH89" i="2"/>
  <c r="AF89" i="2"/>
  <c r="AE89" i="2"/>
  <c r="AC89" i="2"/>
  <c r="AB89" i="2"/>
  <c r="Z89" i="2"/>
  <c r="Y89" i="2"/>
  <c r="X89" i="2"/>
  <c r="W89" i="2"/>
  <c r="U89" i="2"/>
  <c r="O89" i="2"/>
  <c r="K89" i="2"/>
  <c r="J89" i="2"/>
  <c r="H89" i="2"/>
  <c r="AT86" i="2"/>
  <c r="AS86" i="2"/>
  <c r="AR86" i="2"/>
  <c r="AQ86" i="2"/>
  <c r="AJ86" i="2"/>
  <c r="AH86" i="2"/>
  <c r="AF86" i="2"/>
  <c r="AE86" i="2"/>
  <c r="AC86" i="2"/>
  <c r="AB86" i="2"/>
  <c r="Z86" i="2"/>
  <c r="Y86" i="2"/>
  <c r="X86" i="2"/>
  <c r="W86" i="2"/>
  <c r="U86" i="2"/>
  <c r="P86" i="2"/>
  <c r="O86" i="2"/>
  <c r="K86" i="2"/>
  <c r="J86" i="2"/>
  <c r="H86" i="2"/>
  <c r="AJ84" i="2"/>
  <c r="AH84" i="2"/>
  <c r="AF84" i="2"/>
  <c r="AE84" i="2"/>
  <c r="AC84" i="2"/>
  <c r="AB84" i="2"/>
  <c r="Z84" i="2"/>
  <c r="Y84" i="2"/>
  <c r="X84" i="2"/>
  <c r="W84" i="2"/>
  <c r="U84" i="2"/>
  <c r="O84" i="2"/>
  <c r="K84" i="2"/>
  <c r="J84" i="2"/>
  <c r="H84" i="2"/>
  <c r="AT82" i="2"/>
  <c r="AS82" i="2"/>
  <c r="AR82" i="2"/>
  <c r="AQ82" i="2"/>
  <c r="AJ82" i="2"/>
  <c r="AH82" i="2"/>
  <c r="AF82" i="2"/>
  <c r="AE82" i="2"/>
  <c r="AC82" i="2"/>
  <c r="AB82" i="2"/>
  <c r="Z82" i="2"/>
  <c r="Y82" i="2"/>
  <c r="X82" i="2"/>
  <c r="W82" i="2"/>
  <c r="U82" i="2"/>
  <c r="P82" i="2"/>
  <c r="O82" i="2"/>
  <c r="K82" i="2"/>
  <c r="J82" i="2"/>
  <c r="H82" i="2"/>
  <c r="AT79" i="2"/>
  <c r="AS79" i="2"/>
  <c r="AR79" i="2"/>
  <c r="AQ79" i="2"/>
  <c r="AJ79" i="2"/>
  <c r="AH79" i="2"/>
  <c r="AF79" i="2"/>
  <c r="AE79" i="2"/>
  <c r="AC79" i="2"/>
  <c r="AB79" i="2"/>
  <c r="Z79" i="2"/>
  <c r="Y79" i="2"/>
  <c r="X79" i="2"/>
  <c r="W79" i="2"/>
  <c r="U79" i="2"/>
  <c r="O79" i="2"/>
  <c r="K79" i="2"/>
  <c r="J79" i="2"/>
  <c r="H79" i="2"/>
  <c r="AJ77" i="2"/>
  <c r="AH77" i="2"/>
  <c r="AF77" i="2"/>
  <c r="AE77" i="2"/>
  <c r="AC77" i="2"/>
  <c r="AB77" i="2"/>
  <c r="Z77" i="2"/>
  <c r="Y77" i="2"/>
  <c r="X77" i="2"/>
  <c r="W77" i="2"/>
  <c r="U77" i="2"/>
  <c r="O77" i="2"/>
  <c r="K77" i="2"/>
  <c r="J77" i="2"/>
  <c r="H77" i="2"/>
  <c r="AJ75" i="2"/>
  <c r="AH75" i="2"/>
  <c r="AF75" i="2"/>
  <c r="AE75" i="2"/>
  <c r="AC75" i="2"/>
  <c r="AB75" i="2"/>
  <c r="Z75" i="2"/>
  <c r="Y75" i="2"/>
  <c r="X75" i="2"/>
  <c r="W75" i="2"/>
  <c r="U75" i="2"/>
  <c r="O75" i="2"/>
  <c r="K75" i="2"/>
  <c r="J75" i="2"/>
  <c r="H75" i="2"/>
  <c r="AT73" i="2"/>
  <c r="AS73" i="2"/>
  <c r="AR73" i="2"/>
  <c r="AQ73" i="2"/>
  <c r="AJ73" i="2"/>
  <c r="AH73" i="2"/>
  <c r="AF73" i="2"/>
  <c r="AE73" i="2"/>
  <c r="AC73" i="2"/>
  <c r="AB73" i="2"/>
  <c r="Z73" i="2"/>
  <c r="Y73" i="2"/>
  <c r="X73" i="2"/>
  <c r="W73" i="2"/>
  <c r="U73" i="2"/>
  <c r="O73" i="2"/>
  <c r="K73" i="2"/>
  <c r="J73" i="2"/>
  <c r="H73" i="2"/>
  <c r="AT70" i="2"/>
  <c r="AS70" i="2"/>
  <c r="AR70" i="2"/>
  <c r="AQ70" i="2"/>
  <c r="AJ70" i="2"/>
  <c r="AH70" i="2"/>
  <c r="AF70" i="2"/>
  <c r="AE70" i="2"/>
  <c r="AC70" i="2"/>
  <c r="AB70" i="2"/>
  <c r="Z70" i="2"/>
  <c r="Y70" i="2"/>
  <c r="X70" i="2"/>
  <c r="W70" i="2"/>
  <c r="U70" i="2"/>
  <c r="P70" i="2"/>
  <c r="O70" i="2"/>
  <c r="K70" i="2"/>
  <c r="J70" i="2"/>
  <c r="H70" i="2"/>
  <c r="AT68" i="2"/>
  <c r="AS68" i="2"/>
  <c r="AR68" i="2"/>
  <c r="AQ68" i="2"/>
  <c r="AJ68" i="2"/>
  <c r="AH68" i="2"/>
  <c r="AF68" i="2"/>
  <c r="AE68" i="2"/>
  <c r="AC68" i="2"/>
  <c r="AB68" i="2"/>
  <c r="Z68" i="2"/>
  <c r="Y68" i="2"/>
  <c r="X68" i="2"/>
  <c r="W68" i="2"/>
  <c r="U68" i="2"/>
  <c r="O68" i="2"/>
  <c r="K68" i="2"/>
  <c r="J68" i="2"/>
  <c r="H68" i="2"/>
  <c r="AT66" i="2"/>
  <c r="AS66" i="2"/>
  <c r="AR66" i="2"/>
  <c r="AQ66" i="2"/>
  <c r="AJ66" i="2"/>
  <c r="AF66" i="2"/>
  <c r="AE66" i="2"/>
  <c r="AC66" i="2"/>
  <c r="AB66" i="2"/>
  <c r="Z66" i="2"/>
  <c r="Y66" i="2"/>
  <c r="X66" i="2"/>
  <c r="W66" i="2"/>
  <c r="U66" i="2"/>
  <c r="P66" i="2"/>
  <c r="O66" i="2"/>
  <c r="K66" i="2"/>
  <c r="J66" i="2"/>
  <c r="H66" i="2"/>
  <c r="AT64" i="2"/>
  <c r="AS64" i="2"/>
  <c r="AR64" i="2"/>
  <c r="AQ64" i="2"/>
  <c r="AJ64" i="2"/>
  <c r="AH64" i="2"/>
  <c r="AF64" i="2"/>
  <c r="AE64" i="2"/>
  <c r="AC64" i="2"/>
  <c r="AB64" i="2"/>
  <c r="Z64" i="2"/>
  <c r="Y64" i="2"/>
  <c r="X64" i="2"/>
  <c r="W64" i="2"/>
  <c r="U64" i="2"/>
  <c r="P64" i="2"/>
  <c r="O64" i="2"/>
  <c r="K64" i="2"/>
  <c r="J64" i="2"/>
  <c r="H64" i="2"/>
  <c r="AT62" i="2"/>
  <c r="AS62" i="2"/>
  <c r="AR62" i="2"/>
  <c r="AQ62" i="2"/>
  <c r="AJ62" i="2"/>
  <c r="AH62" i="2"/>
  <c r="AF62" i="2"/>
  <c r="AE62" i="2"/>
  <c r="AC62" i="2"/>
  <c r="AB62" i="2"/>
  <c r="Z62" i="2"/>
  <c r="Y62" i="2"/>
  <c r="X62" i="2"/>
  <c r="W62" i="2"/>
  <c r="U62" i="2"/>
  <c r="O62" i="2"/>
  <c r="K62" i="2"/>
  <c r="J62" i="2"/>
  <c r="H62" i="2"/>
  <c r="AT60" i="2"/>
  <c r="AS60" i="2"/>
  <c r="AR60" i="2"/>
  <c r="AQ60" i="2"/>
  <c r="AJ60" i="2"/>
  <c r="AH60" i="2"/>
  <c r="AF60" i="2"/>
  <c r="AE60" i="2"/>
  <c r="AC60" i="2"/>
  <c r="AB60" i="2"/>
  <c r="Z60" i="2"/>
  <c r="Y60" i="2"/>
  <c r="X60" i="2"/>
  <c r="W60" i="2"/>
  <c r="U60" i="2"/>
  <c r="P60" i="2"/>
  <c r="O60" i="2"/>
  <c r="K60" i="2"/>
  <c r="J60" i="2"/>
  <c r="H60" i="2"/>
  <c r="AJ58" i="2"/>
  <c r="AH58" i="2"/>
  <c r="AF58" i="2"/>
  <c r="AE58" i="2"/>
  <c r="AC58" i="2"/>
  <c r="AB58" i="2"/>
  <c r="Z58" i="2"/>
  <c r="Y58" i="2"/>
  <c r="X58" i="2"/>
  <c r="W58" i="2"/>
  <c r="U58" i="2"/>
  <c r="O58" i="2"/>
  <c r="K58" i="2"/>
  <c r="J58" i="2"/>
  <c r="H58" i="2"/>
  <c r="AT56" i="2"/>
  <c r="AS56" i="2"/>
  <c r="AR56" i="2"/>
  <c r="AQ56" i="2"/>
  <c r="AM56" i="2"/>
  <c r="AJ56" i="2"/>
  <c r="AH56" i="2"/>
  <c r="AF56" i="2"/>
  <c r="AE56" i="2"/>
  <c r="AC56" i="2"/>
  <c r="AB56" i="2"/>
  <c r="Z56" i="2"/>
  <c r="Y56" i="2"/>
  <c r="X56" i="2"/>
  <c r="W56" i="2"/>
  <c r="U56" i="2"/>
  <c r="O56" i="2"/>
  <c r="K56" i="2"/>
  <c r="J56" i="2"/>
  <c r="H56" i="2"/>
  <c r="AJ53" i="2"/>
  <c r="AH53" i="2"/>
  <c r="AF53" i="2"/>
  <c r="AE53" i="2"/>
  <c r="AC53" i="2"/>
  <c r="AB53" i="2"/>
  <c r="Z53" i="2"/>
  <c r="Y53" i="2"/>
  <c r="X53" i="2"/>
  <c r="W53" i="2"/>
  <c r="U53" i="2"/>
  <c r="O53" i="2"/>
  <c r="K53" i="2"/>
  <c r="J53" i="2"/>
  <c r="H53" i="2"/>
  <c r="AT51" i="2"/>
  <c r="AS51" i="2"/>
  <c r="AR51" i="2"/>
  <c r="AQ51" i="2"/>
  <c r="AJ51" i="2"/>
  <c r="AH51" i="2"/>
  <c r="AF51" i="2"/>
  <c r="AE51" i="2"/>
  <c r="AC51" i="2"/>
  <c r="AB51" i="2"/>
  <c r="Z51" i="2"/>
  <c r="Y51" i="2"/>
  <c r="X51" i="2"/>
  <c r="W51" i="2"/>
  <c r="U51" i="2"/>
  <c r="P51" i="2"/>
  <c r="O51" i="2"/>
  <c r="K51" i="2"/>
  <c r="J51" i="2"/>
  <c r="H51" i="2"/>
  <c r="AT48" i="2"/>
  <c r="AS48" i="2"/>
  <c r="AR48" i="2"/>
  <c r="AQ48" i="2"/>
  <c r="AJ48" i="2"/>
  <c r="AH48" i="2"/>
  <c r="AF48" i="2"/>
  <c r="AE48" i="2"/>
  <c r="AC48" i="2"/>
  <c r="AB48" i="2"/>
  <c r="Z48" i="2"/>
  <c r="Y48" i="2"/>
  <c r="X48" i="2"/>
  <c r="W48" i="2"/>
  <c r="U48" i="2"/>
  <c r="P48" i="2"/>
  <c r="O48" i="2"/>
  <c r="K48" i="2"/>
  <c r="J48" i="2"/>
  <c r="H48" i="2"/>
  <c r="AT46" i="2"/>
  <c r="AS46" i="2"/>
  <c r="AR46" i="2"/>
  <c r="AQ46" i="2"/>
  <c r="AJ46" i="2"/>
  <c r="AH46" i="2"/>
  <c r="AF46" i="2"/>
  <c r="AE46" i="2"/>
  <c r="AC46" i="2"/>
  <c r="AB46" i="2"/>
  <c r="Z46" i="2"/>
  <c r="Y46" i="2"/>
  <c r="X46" i="2"/>
  <c r="W46" i="2"/>
  <c r="U46" i="2"/>
  <c r="P46" i="2"/>
  <c r="O46" i="2"/>
  <c r="K46" i="2"/>
  <c r="J46" i="2"/>
  <c r="H46" i="2"/>
  <c r="AT44" i="2"/>
  <c r="AS44" i="2"/>
  <c r="AR44" i="2"/>
  <c r="AQ44" i="2"/>
  <c r="AJ44" i="2"/>
  <c r="AH44" i="2"/>
  <c r="AF44" i="2"/>
  <c r="AE44" i="2"/>
  <c r="AC44" i="2"/>
  <c r="AB44" i="2"/>
  <c r="Z44" i="2"/>
  <c r="Y44" i="2"/>
  <c r="X44" i="2"/>
  <c r="W44" i="2"/>
  <c r="U44" i="2"/>
  <c r="P44" i="2"/>
  <c r="O44" i="2"/>
  <c r="K44" i="2"/>
  <c r="J44" i="2"/>
  <c r="H44" i="2"/>
  <c r="AJ41" i="2"/>
  <c r="AH41" i="2"/>
  <c r="AF41" i="2"/>
  <c r="AE41" i="2"/>
  <c r="AC41" i="2"/>
  <c r="AB41" i="2"/>
  <c r="Z41" i="2"/>
  <c r="Y41" i="2"/>
  <c r="X41" i="2"/>
  <c r="W41" i="2"/>
  <c r="U41" i="2"/>
  <c r="O41" i="2"/>
  <c r="K41" i="2"/>
  <c r="J41" i="2"/>
  <c r="H41" i="2"/>
  <c r="AJ39" i="2"/>
  <c r="AH39" i="2"/>
  <c r="AF39" i="2"/>
  <c r="AE39" i="2"/>
  <c r="AC39" i="2"/>
  <c r="AB39" i="2"/>
  <c r="Z39" i="2"/>
  <c r="Y39" i="2"/>
  <c r="X39" i="2"/>
  <c r="W39" i="2"/>
  <c r="U39" i="2"/>
  <c r="O39" i="2"/>
  <c r="K39" i="2"/>
  <c r="J39" i="2"/>
  <c r="H39" i="2"/>
  <c r="AT37" i="2"/>
  <c r="AS37" i="2"/>
  <c r="AR37" i="2"/>
  <c r="AQ37" i="2"/>
  <c r="AJ37" i="2"/>
  <c r="AH37" i="2"/>
  <c r="AF37" i="2"/>
  <c r="AE37" i="2"/>
  <c r="AC37" i="2"/>
  <c r="AB37" i="2"/>
  <c r="Z37" i="2"/>
  <c r="Y37" i="2"/>
  <c r="X37" i="2"/>
  <c r="W37" i="2"/>
  <c r="U37" i="2"/>
  <c r="P37" i="2"/>
  <c r="O37" i="2"/>
  <c r="K37" i="2"/>
  <c r="J37" i="2"/>
  <c r="H37" i="2"/>
  <c r="AT34" i="2"/>
  <c r="AS34" i="2"/>
  <c r="AR34" i="2"/>
  <c r="AQ34" i="2"/>
  <c r="AJ34" i="2"/>
  <c r="AH34" i="2"/>
  <c r="AF34" i="2"/>
  <c r="AE34" i="2"/>
  <c r="AC34" i="2"/>
  <c r="AB34" i="2"/>
  <c r="Z34" i="2"/>
  <c r="Y34" i="2"/>
  <c r="X34" i="2"/>
  <c r="W34" i="2"/>
  <c r="U34" i="2"/>
  <c r="P34" i="2"/>
  <c r="O34" i="2"/>
  <c r="H34" i="2"/>
  <c r="AT32" i="2"/>
  <c r="AS32" i="2"/>
  <c r="AR32" i="2"/>
  <c r="AQ32" i="2"/>
  <c r="AJ32" i="2"/>
  <c r="AH32" i="2"/>
  <c r="AF32" i="2"/>
  <c r="AE32" i="2"/>
  <c r="AC32" i="2"/>
  <c r="AB32" i="2"/>
  <c r="Z32" i="2"/>
  <c r="Y32" i="2"/>
  <c r="X32" i="2"/>
  <c r="W32" i="2"/>
  <c r="U32" i="2"/>
  <c r="P32" i="2"/>
  <c r="O32" i="2"/>
  <c r="K32" i="2"/>
  <c r="J32" i="2"/>
  <c r="H32" i="2"/>
  <c r="AT30" i="2"/>
  <c r="AS30" i="2"/>
  <c r="AR30" i="2"/>
  <c r="AQ30" i="2"/>
  <c r="AJ30" i="2"/>
  <c r="AH30" i="2"/>
  <c r="AF30" i="2"/>
  <c r="AE30" i="2"/>
  <c r="AC30" i="2"/>
  <c r="AB30" i="2"/>
  <c r="Z30" i="2"/>
  <c r="Y30" i="2"/>
  <c r="X30" i="2"/>
  <c r="W30" i="2"/>
  <c r="U30" i="2"/>
  <c r="O30" i="2"/>
  <c r="K30" i="2"/>
  <c r="J30" i="2"/>
  <c r="H30" i="2"/>
  <c r="AT28" i="2"/>
  <c r="AS28" i="2"/>
  <c r="AR28" i="2"/>
  <c r="AQ28" i="2"/>
  <c r="AJ28" i="2"/>
  <c r="AH28" i="2"/>
  <c r="AF28" i="2"/>
  <c r="AE28" i="2"/>
  <c r="AC28" i="2"/>
  <c r="AB28" i="2"/>
  <c r="Z28" i="2"/>
  <c r="Y28" i="2"/>
  <c r="X28" i="2"/>
  <c r="W28" i="2"/>
  <c r="U28" i="2"/>
  <c r="P28" i="2"/>
  <c r="O28" i="2"/>
  <c r="K28" i="2"/>
  <c r="J28" i="2"/>
  <c r="H28" i="2"/>
  <c r="AT25" i="2"/>
  <c r="AS25" i="2"/>
  <c r="AR25" i="2"/>
  <c r="AQ25" i="2"/>
  <c r="AJ25" i="2"/>
  <c r="AH25" i="2"/>
  <c r="AF25" i="2"/>
  <c r="AE25" i="2"/>
  <c r="AC25" i="2"/>
  <c r="AB25" i="2"/>
  <c r="Z25" i="2"/>
  <c r="Y25" i="2"/>
  <c r="X25" i="2"/>
  <c r="W25" i="2"/>
  <c r="U25" i="2"/>
  <c r="P25" i="2"/>
  <c r="O25" i="2"/>
  <c r="K25" i="2"/>
  <c r="J25" i="2"/>
  <c r="H25" i="2"/>
  <c r="AT23" i="2"/>
  <c r="AS23" i="2"/>
  <c r="AR23" i="2"/>
  <c r="AQ23" i="2"/>
  <c r="AJ23" i="2"/>
  <c r="AH23" i="2"/>
  <c r="AF23" i="2"/>
  <c r="AE23" i="2"/>
  <c r="AC23" i="2"/>
  <c r="AB23" i="2"/>
  <c r="Z23" i="2"/>
  <c r="Y23" i="2"/>
  <c r="X23" i="2"/>
  <c r="W23" i="2"/>
  <c r="U23" i="2"/>
  <c r="P23" i="2"/>
  <c r="O23" i="2"/>
  <c r="K23" i="2"/>
  <c r="J23" i="2"/>
  <c r="H23" i="2"/>
  <c r="AT21" i="2"/>
  <c r="AS21" i="2"/>
  <c r="AR21" i="2"/>
  <c r="AQ21" i="2"/>
  <c r="AJ21" i="2"/>
  <c r="AH21" i="2"/>
  <c r="AF21" i="2"/>
  <c r="AE21" i="2"/>
  <c r="AC21" i="2"/>
  <c r="AB21" i="2"/>
  <c r="Z21" i="2"/>
  <c r="Y21" i="2"/>
  <c r="X21" i="2"/>
  <c r="W21" i="2"/>
  <c r="U21" i="2"/>
  <c r="P21" i="2"/>
  <c r="O21" i="2"/>
  <c r="K21" i="2"/>
  <c r="J21" i="2"/>
  <c r="H21" i="2"/>
  <c r="AT19" i="2"/>
  <c r="AS19" i="2"/>
  <c r="AR19" i="2"/>
  <c r="AQ19" i="2"/>
  <c r="AJ19" i="2"/>
  <c r="AH19" i="2"/>
  <c r="AF19" i="2"/>
  <c r="AE19" i="2"/>
  <c r="AC19" i="2"/>
  <c r="AB19" i="2"/>
  <c r="Z19" i="2"/>
  <c r="Y19" i="2"/>
  <c r="X19" i="2"/>
  <c r="W19" i="2"/>
  <c r="U19" i="2"/>
  <c r="P19" i="2"/>
  <c r="O19" i="2"/>
  <c r="K19" i="2"/>
  <c r="J19" i="2"/>
  <c r="H19" i="2"/>
  <c r="AT16" i="2"/>
  <c r="AS16" i="2"/>
  <c r="AR16" i="2"/>
  <c r="AQ16" i="2"/>
  <c r="AJ16" i="2"/>
  <c r="AH16" i="2"/>
  <c r="AF16" i="2"/>
  <c r="AE16" i="2"/>
  <c r="AC16" i="2"/>
  <c r="AB16" i="2"/>
  <c r="Z16" i="2"/>
  <c r="Y16" i="2"/>
  <c r="X16" i="2"/>
  <c r="W16" i="2"/>
  <c r="U16" i="2"/>
  <c r="O16" i="2"/>
  <c r="K16" i="2"/>
  <c r="J16" i="2"/>
  <c r="H16" i="2"/>
  <c r="AT14" i="2"/>
  <c r="AS14" i="2"/>
  <c r="AR14" i="2"/>
  <c r="AQ14" i="2"/>
  <c r="AJ14" i="2"/>
  <c r="AH14" i="2"/>
  <c r="AF14" i="2"/>
  <c r="AE14" i="2"/>
  <c r="AC14" i="2"/>
  <c r="AB14" i="2"/>
  <c r="Z14" i="2"/>
  <c r="Y14" i="2"/>
  <c r="X14" i="2"/>
  <c r="W14" i="2"/>
  <c r="U14" i="2"/>
  <c r="O14" i="2"/>
  <c r="K14" i="2"/>
  <c r="J14" i="2"/>
  <c r="H14" i="2"/>
  <c r="AT11" i="2"/>
  <c r="AS11" i="2"/>
  <c r="AR11" i="2"/>
  <c r="AQ11" i="2"/>
  <c r="AJ11" i="2"/>
  <c r="AH11" i="2"/>
  <c r="AF11" i="2"/>
  <c r="AE11" i="2"/>
  <c r="AC11" i="2"/>
  <c r="AB11" i="2"/>
  <c r="Z11" i="2"/>
  <c r="Y11" i="2"/>
  <c r="X11" i="2"/>
  <c r="W11" i="2"/>
  <c r="U11" i="2"/>
  <c r="P11" i="2"/>
  <c r="O11" i="2"/>
  <c r="K11" i="2"/>
  <c r="J11" i="2"/>
  <c r="H11" i="2"/>
  <c r="AT9" i="2"/>
  <c r="AS9" i="2"/>
  <c r="AR9" i="2"/>
  <c r="AQ9" i="2"/>
  <c r="AJ9" i="2"/>
  <c r="AH9" i="2"/>
  <c r="AF9" i="2"/>
  <c r="AE9" i="2"/>
  <c r="AC9" i="2"/>
  <c r="AB9" i="2"/>
  <c r="Z9" i="2"/>
  <c r="Y9" i="2"/>
  <c r="X9" i="2"/>
  <c r="W9" i="2"/>
  <c r="U9" i="2"/>
  <c r="O9" i="2"/>
  <c r="K9" i="2"/>
  <c r="J9" i="2"/>
  <c r="H9" i="2"/>
  <c r="AT7" i="2"/>
  <c r="AS7" i="2"/>
  <c r="AR7" i="2"/>
  <c r="AQ7" i="2"/>
  <c r="AJ7" i="2"/>
  <c r="AH7" i="2"/>
  <c r="AF7" i="2"/>
  <c r="AE7" i="2"/>
  <c r="AC7" i="2"/>
  <c r="AB7" i="2"/>
  <c r="Z7" i="2"/>
  <c r="Y7" i="2"/>
  <c r="X7" i="2"/>
  <c r="W7" i="2"/>
  <c r="U7" i="2"/>
  <c r="P7" i="2"/>
  <c r="O7" i="2"/>
  <c r="H7" i="2"/>
  <c r="N534" i="2" l="1"/>
  <c r="N597" i="2"/>
  <c r="N232" i="2"/>
  <c r="N327" i="2"/>
  <c r="N639" i="2"/>
  <c r="AI164" i="2"/>
  <c r="N172" i="2"/>
  <c r="AA172" i="2"/>
  <c r="AA182" i="2"/>
  <c r="AA271" i="2"/>
  <c r="AI306" i="2"/>
  <c r="AI358" i="2"/>
  <c r="AI405" i="2"/>
  <c r="N423" i="2"/>
  <c r="AA516" i="2"/>
  <c r="AI658" i="2"/>
  <c r="N60" i="2"/>
  <c r="N143" i="2"/>
  <c r="N145" i="2"/>
  <c r="N191" i="2"/>
  <c r="N265" i="2"/>
  <c r="N285" i="2"/>
  <c r="N302" i="2"/>
  <c r="N353" i="2"/>
  <c r="N400" i="2"/>
  <c r="N463" i="2"/>
  <c r="N493" i="2"/>
  <c r="N649" i="2"/>
  <c r="N669" i="2"/>
  <c r="N237" i="2"/>
  <c r="AI197" i="2"/>
  <c r="N366" i="2"/>
  <c r="N415" i="2"/>
  <c r="N554" i="2"/>
  <c r="N218" i="2"/>
  <c r="N276" i="2"/>
  <c r="N432" i="2"/>
  <c r="N457" i="2"/>
  <c r="N478" i="2"/>
  <c r="N676" i="2"/>
  <c r="N19" i="2"/>
  <c r="N21" i="2"/>
  <c r="N23" i="2"/>
  <c r="N25" i="2"/>
  <c r="N28" i="2"/>
  <c r="N30" i="2"/>
  <c r="N41" i="2"/>
  <c r="N64" i="2"/>
  <c r="N66" i="2"/>
  <c r="N77" i="2"/>
  <c r="N92" i="2"/>
  <c r="N94" i="2"/>
  <c r="N96" i="2"/>
  <c r="N106" i="2"/>
  <c r="N109" i="2"/>
  <c r="N111" i="2"/>
  <c r="N141" i="2"/>
  <c r="N147" i="2"/>
  <c r="N150" i="2"/>
  <c r="N175" i="2"/>
  <c r="N179" i="2"/>
  <c r="AA179" i="2"/>
  <c r="N197" i="2"/>
  <c r="AA248" i="2"/>
  <c r="AA260" i="2"/>
  <c r="AI265" i="2"/>
  <c r="AI276" i="2"/>
  <c r="N306" i="2"/>
  <c r="AA331" i="2"/>
  <c r="N334" i="2"/>
  <c r="N341" i="2"/>
  <c r="AA346" i="2"/>
  <c r="N358" i="2"/>
  <c r="AI366" i="2"/>
  <c r="N378" i="2"/>
  <c r="N383" i="2"/>
  <c r="N394" i="2"/>
  <c r="AI400" i="2"/>
  <c r="N405" i="2"/>
  <c r="AA417" i="2"/>
  <c r="N425" i="2"/>
  <c r="AI432" i="2"/>
  <c r="N448" i="2"/>
  <c r="AA453" i="2"/>
  <c r="AI457" i="2"/>
  <c r="AI463" i="2"/>
  <c r="N468" i="2"/>
  <c r="AI493" i="2"/>
  <c r="N501" i="2"/>
  <c r="AA508" i="2"/>
  <c r="AA531" i="2"/>
  <c r="N551" i="2"/>
  <c r="AA551" i="2"/>
  <c r="AA558" i="2"/>
  <c r="AA562" i="2"/>
  <c r="N575" i="2"/>
  <c r="N586" i="2"/>
  <c r="N605" i="2"/>
  <c r="AA605" i="2"/>
  <c r="AI649" i="2"/>
  <c r="N652" i="2"/>
  <c r="AI655" i="2"/>
  <c r="AI669" i="2"/>
  <c r="N691" i="2"/>
  <c r="AI19" i="2"/>
  <c r="AI28" i="2"/>
  <c r="AI39" i="2"/>
  <c r="N44" i="2"/>
  <c r="N46" i="2"/>
  <c r="AI66" i="2"/>
  <c r="N79" i="2"/>
  <c r="AI92" i="2"/>
  <c r="N125" i="2"/>
  <c r="N673" i="2"/>
  <c r="AI79" i="2"/>
  <c r="AI143" i="2"/>
  <c r="AI21" i="2"/>
  <c r="N32" i="2"/>
  <c r="N51" i="2"/>
  <c r="AI64" i="2"/>
  <c r="AI94" i="2"/>
  <c r="N99" i="2"/>
  <c r="AI109" i="2"/>
  <c r="N115" i="2"/>
  <c r="N127" i="2"/>
  <c r="N11" i="2"/>
  <c r="N56" i="2"/>
  <c r="N58" i="2"/>
  <c r="N73" i="2"/>
  <c r="N75" i="2"/>
  <c r="N528" i="2"/>
  <c r="AI554" i="2"/>
  <c r="AA629" i="2"/>
  <c r="AA7" i="2"/>
  <c r="AI7" i="2"/>
  <c r="AA11" i="2"/>
  <c r="AI14" i="2"/>
  <c r="AA30" i="2"/>
  <c r="AA32" i="2"/>
  <c r="AI32" i="2"/>
  <c r="AA34" i="2"/>
  <c r="AI34" i="2"/>
  <c r="AA37" i="2"/>
  <c r="AI37" i="2"/>
  <c r="AA39" i="2"/>
  <c r="AA41" i="2"/>
  <c r="AA44" i="2"/>
  <c r="AI44" i="2"/>
  <c r="AA46" i="2"/>
  <c r="AA48" i="2"/>
  <c r="AI48" i="2"/>
  <c r="AA51" i="2"/>
  <c r="AI51" i="2"/>
  <c r="AA53" i="2"/>
  <c r="AI56" i="2"/>
  <c r="AI58" i="2"/>
  <c r="AA60" i="2"/>
  <c r="AI60" i="2"/>
  <c r="AA68" i="2"/>
  <c r="AA73" i="2"/>
  <c r="AI73" i="2"/>
  <c r="AA77" i="2"/>
  <c r="AI77" i="2"/>
  <c r="AA79" i="2"/>
  <c r="AA84" i="2"/>
  <c r="AI84" i="2"/>
  <c r="AI86" i="2"/>
  <c r="AA96" i="2"/>
  <c r="AA99" i="2"/>
  <c r="AA103" i="2"/>
  <c r="AI103" i="2"/>
  <c r="AA106" i="2"/>
  <c r="AA109" i="2"/>
  <c r="AA111" i="2"/>
  <c r="AI111" i="2"/>
  <c r="AA115" i="2"/>
  <c r="AA119" i="2"/>
  <c r="AI119" i="2"/>
  <c r="AA123" i="2"/>
  <c r="AA125" i="2"/>
  <c r="AI125" i="2"/>
  <c r="AA127" i="2"/>
  <c r="AA129" i="2"/>
  <c r="AI129" i="2"/>
  <c r="N132" i="2"/>
  <c r="AA132" i="2"/>
  <c r="AI132" i="2"/>
  <c r="AA135" i="2"/>
  <c r="AA138" i="2"/>
  <c r="AI138" i="2"/>
  <c r="AA141" i="2"/>
  <c r="AA143" i="2"/>
  <c r="AA145" i="2"/>
  <c r="AA147" i="2"/>
  <c r="N164" i="2"/>
  <c r="AI172" i="2"/>
  <c r="AA175" i="2"/>
  <c r="AI179" i="2"/>
  <c r="AA197" i="2"/>
  <c r="AI218" i="2"/>
  <c r="AI222" i="2"/>
  <c r="AI237" i="2"/>
  <c r="AI248" i="2"/>
  <c r="AI260" i="2"/>
  <c r="AA265" i="2"/>
  <c r="AI271" i="2"/>
  <c r="AA276" i="2"/>
  <c r="AA280" i="2"/>
  <c r="AA285" i="2"/>
  <c r="AA306" i="2"/>
  <c r="AI327" i="2"/>
  <c r="AI331" i="2"/>
  <c r="AI334" i="2"/>
  <c r="AA341" i="2"/>
  <c r="AI346" i="2"/>
  <c r="AA353" i="2"/>
  <c r="AA358" i="2"/>
  <c r="AA366" i="2"/>
  <c r="AI373" i="2"/>
  <c r="AI378" i="2"/>
  <c r="AA383" i="2"/>
  <c r="AA394" i="2"/>
  <c r="AA405" i="2"/>
  <c r="N417" i="2"/>
  <c r="AI417" i="2"/>
  <c r="AA425" i="2"/>
  <c r="AA448" i="2"/>
  <c r="AI453" i="2"/>
  <c r="AA457" i="2"/>
  <c r="N459" i="2"/>
  <c r="AA459" i="2"/>
  <c r="AA463" i="2"/>
  <c r="AA468" i="2"/>
  <c r="AA478" i="2"/>
  <c r="AA501" i="2"/>
  <c r="N508" i="2"/>
  <c r="AI508" i="2"/>
  <c r="AI518" i="2"/>
  <c r="AI520" i="2"/>
  <c r="AI524" i="2"/>
  <c r="AI531" i="2"/>
  <c r="AI547" i="2"/>
  <c r="AI549" i="2"/>
  <c r="AA554" i="2"/>
  <c r="N558" i="2"/>
  <c r="AI558" i="2"/>
  <c r="AI562" i="2"/>
  <c r="AB575" i="2"/>
  <c r="AI586" i="2"/>
  <c r="AI605" i="2"/>
  <c r="AI613" i="2"/>
  <c r="AI621" i="2"/>
  <c r="AI635" i="2"/>
  <c r="N645" i="2"/>
  <c r="AA645" i="2"/>
  <c r="AA649" i="2"/>
  <c r="AA652" i="2"/>
  <c r="N658" i="2"/>
  <c r="AA658" i="2"/>
  <c r="AA669" i="2"/>
  <c r="AA673" i="2"/>
  <c r="AA676" i="2"/>
  <c r="N682" i="2"/>
  <c r="AA682" i="2"/>
  <c r="AI687" i="2"/>
  <c r="AA691" i="2"/>
  <c r="N14" i="2"/>
  <c r="N70" i="2"/>
  <c r="N290" i="2"/>
  <c r="N411" i="2"/>
  <c r="AI9" i="2"/>
  <c r="AI11" i="2"/>
  <c r="N16" i="2"/>
  <c r="N37" i="2"/>
  <c r="N39" i="2"/>
  <c r="AI53" i="2"/>
  <c r="AI68" i="2"/>
  <c r="AI70" i="2"/>
  <c r="AI82" i="2"/>
  <c r="N86" i="2"/>
  <c r="N89" i="2"/>
  <c r="AI141" i="2"/>
  <c r="AA164" i="2"/>
  <c r="AI175" i="2"/>
  <c r="N182" i="2"/>
  <c r="AA218" i="2"/>
  <c r="N220" i="2"/>
  <c r="AA220" i="2"/>
  <c r="AA226" i="2"/>
  <c r="AA232" i="2"/>
  <c r="N244" i="2"/>
  <c r="AA244" i="2"/>
  <c r="N252" i="2"/>
  <c r="AA252" i="2"/>
  <c r="N296" i="2"/>
  <c r="AA327" i="2"/>
  <c r="AI341" i="2"/>
  <c r="AI383" i="2"/>
  <c r="AI394" i="2"/>
  <c r="AA423" i="2"/>
  <c r="AI425" i="2"/>
  <c r="N437" i="2"/>
  <c r="AA437" i="2"/>
  <c r="AI448" i="2"/>
  <c r="AI459" i="2"/>
  <c r="AI468" i="2"/>
  <c r="N485" i="2"/>
  <c r="AA485" i="2"/>
  <c r="AI501" i="2"/>
  <c r="N506" i="2"/>
  <c r="AA506" i="2"/>
  <c r="N516" i="2"/>
  <c r="N520" i="2"/>
  <c r="AA520" i="2"/>
  <c r="AA528" i="2"/>
  <c r="AA534" i="2"/>
  <c r="N549" i="2"/>
  <c r="AA549" i="2"/>
  <c r="AA597" i="2"/>
  <c r="AA613" i="2"/>
  <c r="N629" i="2"/>
  <c r="AI632" i="2"/>
  <c r="AA639" i="2"/>
  <c r="AI645" i="2"/>
  <c r="AI652" i="2"/>
  <c r="AI673" i="2"/>
  <c r="AI682" i="2"/>
  <c r="AI691" i="2"/>
  <c r="N84" i="2"/>
  <c r="N316" i="2"/>
  <c r="N655" i="2"/>
  <c r="AA19" i="2"/>
  <c r="AA21" i="2"/>
  <c r="AA25" i="2"/>
  <c r="N62" i="2"/>
  <c r="AA64" i="2"/>
  <c r="AA89" i="2"/>
  <c r="AA94" i="2"/>
  <c r="N226" i="2"/>
  <c r="N271" i="2"/>
  <c r="AA14" i="2"/>
  <c r="AI30" i="2"/>
  <c r="AA58" i="2"/>
  <c r="AA86" i="2"/>
  <c r="AI99" i="2"/>
  <c r="AI115" i="2"/>
  <c r="AI123" i="2"/>
  <c r="AA191" i="2"/>
  <c r="AI226" i="2"/>
  <c r="AA237" i="2"/>
  <c r="AI252" i="2"/>
  <c r="AA302" i="2"/>
  <c r="AA316" i="2"/>
  <c r="AA400" i="2"/>
  <c r="AA411" i="2"/>
  <c r="AA415" i="2"/>
  <c r="AI423" i="2"/>
  <c r="AA432" i="2"/>
  <c r="AI437" i="2"/>
  <c r="AI485" i="2"/>
  <c r="AA493" i="2"/>
  <c r="AI506" i="2"/>
  <c r="AI516" i="2"/>
  <c r="AI528" i="2"/>
  <c r="AI534" i="2"/>
  <c r="AI597" i="2"/>
  <c r="AI629" i="2"/>
  <c r="N635" i="2"/>
  <c r="AI639" i="2"/>
  <c r="AA655" i="2"/>
  <c r="AA16" i="2"/>
  <c r="AA23" i="2"/>
  <c r="AA28" i="2"/>
  <c r="AA62" i="2"/>
  <c r="AA66" i="2"/>
  <c r="AA75" i="2"/>
  <c r="AA92" i="2"/>
  <c r="N613" i="2"/>
  <c r="AI41" i="2"/>
  <c r="AI46" i="2"/>
  <c r="AA56" i="2"/>
  <c r="N82" i="2"/>
  <c r="AI96" i="2"/>
  <c r="AI127" i="2"/>
  <c r="AI135" i="2"/>
  <c r="AI182" i="2"/>
  <c r="AI220" i="2"/>
  <c r="AI232" i="2"/>
  <c r="AI244" i="2"/>
  <c r="AI280" i="2"/>
  <c r="N9" i="2"/>
  <c r="AA9" i="2"/>
  <c r="AI16" i="2"/>
  <c r="AI23" i="2"/>
  <c r="AI25" i="2"/>
  <c r="N48" i="2"/>
  <c r="N53" i="2"/>
  <c r="AI62" i="2"/>
  <c r="N68" i="2"/>
  <c r="AA70" i="2"/>
  <c r="AI75" i="2"/>
  <c r="AA82" i="2"/>
  <c r="AI89" i="2"/>
  <c r="N103" i="2"/>
  <c r="AI106" i="2"/>
  <c r="N119" i="2"/>
  <c r="N123" i="2"/>
  <c r="N129" i="2"/>
  <c r="N135" i="2"/>
  <c r="N138" i="2"/>
  <c r="AI150" i="2"/>
  <c r="AI191" i="2"/>
  <c r="N222" i="2"/>
  <c r="AA222" i="2"/>
  <c r="N248" i="2"/>
  <c r="N260" i="2"/>
  <c r="N280" i="2"/>
  <c r="AI285" i="2"/>
  <c r="AI302" i="2"/>
  <c r="N310" i="2"/>
  <c r="AA310" i="2"/>
  <c r="AI310" i="2"/>
  <c r="AI316" i="2"/>
  <c r="N331" i="2"/>
  <c r="AA334" i="2"/>
  <c r="N346" i="2"/>
  <c r="AI353" i="2"/>
  <c r="N373" i="2"/>
  <c r="AA373" i="2"/>
  <c r="AA378" i="2"/>
  <c r="AI411" i="2"/>
  <c r="AI415" i="2"/>
  <c r="N453" i="2"/>
  <c r="AI478" i="2"/>
  <c r="N518" i="2"/>
  <c r="AA518" i="2"/>
  <c r="N524" i="2"/>
  <c r="AA524" i="2"/>
  <c r="N531" i="2"/>
  <c r="N547" i="2"/>
  <c r="AA547" i="2"/>
  <c r="AI551" i="2"/>
  <c r="N562" i="2"/>
  <c r="AA575" i="2"/>
  <c r="AI575" i="2"/>
  <c r="AA586" i="2"/>
  <c r="N621" i="2"/>
  <c r="AA621" i="2"/>
  <c r="N632" i="2"/>
  <c r="AI676" i="2"/>
  <c r="N687" i="2"/>
  <c r="AA687" i="2"/>
  <c r="O575" i="2"/>
  <c r="AB164" i="2"/>
  <c r="AS485" i="2"/>
  <c r="AJ378" i="2"/>
  <c r="AJ265" i="2"/>
  <c r="AJ271" i="2"/>
  <c r="AB310" i="2"/>
  <c r="AJ164" i="2"/>
  <c r="AJ237" i="2"/>
  <c r="AJ296" i="2"/>
  <c r="AJ310" i="2"/>
  <c r="AJ346" i="2"/>
  <c r="AJ394" i="2"/>
  <c r="AJ485" i="2"/>
  <c r="AJ501" i="2"/>
  <c r="AJ562" i="2"/>
  <c r="AJ366" i="2"/>
  <c r="AS493" i="2"/>
  <c r="AJ232" i="2"/>
  <c r="AJ415" i="2"/>
  <c r="AJ478" i="2"/>
  <c r="AJ493" i="2"/>
  <c r="AJ57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Emilia Di Nocera</author>
  </authors>
  <commentList>
    <comment ref="AQ3" authorId="0" shapeId="0" xr:uid="{FC6EE102-E413-4995-ABBA-1EE1AAA1EC9F}">
      <text>
        <r>
          <rPr>
            <b/>
            <sz val="9"/>
            <color indexed="81"/>
            <rFont val="Tahoma"/>
            <family val="2"/>
          </rPr>
          <t>Emilia Di Nocera:</t>
        </r>
        <r>
          <rPr>
            <sz val="9"/>
            <color indexed="81"/>
            <rFont val="Tahoma"/>
            <family val="2"/>
          </rPr>
          <t xml:space="preserve">
</t>
        </r>
      </text>
    </comment>
    <comment ref="AQ139" authorId="0" shapeId="0" xr:uid="{21C320D3-406A-45C4-8D38-76ED91F7BC7D}">
      <text>
        <r>
          <rPr>
            <b/>
            <sz val="9"/>
            <color indexed="81"/>
            <rFont val="Tahoma"/>
            <family val="2"/>
          </rPr>
          <t>Emilia Di Nocera:</t>
        </r>
        <r>
          <rPr>
            <sz val="9"/>
            <color indexed="81"/>
            <rFont val="Tahoma"/>
            <family val="2"/>
          </rPr>
          <t xml:space="preserve">
</t>
        </r>
      </text>
    </comment>
  </commentList>
</comments>
</file>

<file path=xl/sharedStrings.xml><?xml version="1.0" encoding="utf-8"?>
<sst xmlns="http://schemas.openxmlformats.org/spreadsheetml/2006/main" count="6167" uniqueCount="483">
  <si>
    <t>11. Dati relativi all'indagine</t>
  </si>
  <si>
    <t>1. Anno 2023</t>
  </si>
  <si>
    <t>2. Organismo nocivo sottoposto a indagini di gruppo</t>
  </si>
  <si>
    <t>3.Organismo nocivo</t>
  </si>
  <si>
    <t>Classe tassonomica</t>
  </si>
  <si>
    <t>Priorità Working program</t>
  </si>
  <si>
    <t>4. Località geografica</t>
  </si>
  <si>
    <t>5. Siti di indagine descrizione</t>
  </si>
  <si>
    <t>6. Siti di indagine numero TOTALE</t>
  </si>
  <si>
    <t>6. Siti di indagine numero BN</t>
  </si>
  <si>
    <t>6. Siti di indagine numero CE</t>
  </si>
  <si>
    <t>6. Siti di indagine numero SA</t>
  </si>
  <si>
    <t>6. Siti di indagine numero SFR</t>
  </si>
  <si>
    <t>6. Siti di indagine numero URCoFi</t>
  </si>
  <si>
    <t>Ore destinate</t>
  </si>
  <si>
    <t>7. Zone a rischio</t>
  </si>
  <si>
    <t>8. Materiale vegetale/merce</t>
  </si>
  <si>
    <t>9. Elenco delle specie vegetali/vettori</t>
  </si>
  <si>
    <t>10. Calendario</t>
  </si>
  <si>
    <t>A) numero di esami visivi TOTALE</t>
  </si>
  <si>
    <t>A) numero di esami visivi BN</t>
  </si>
  <si>
    <t>A) numero di esami visivi CE</t>
  </si>
  <si>
    <t>A) numero di esami visivi SA</t>
  </si>
  <si>
    <t>A) numero di esami visivi SFR</t>
  </si>
  <si>
    <t>A) numero di esami visivi URCoFi</t>
  </si>
  <si>
    <t>B) numero totale di campioni TOTALE</t>
  </si>
  <si>
    <t>B) numero totale di campioni BN</t>
  </si>
  <si>
    <t>B) numero totale di campioni CE</t>
  </si>
  <si>
    <t>B) numero totale di campioni SA</t>
  </si>
  <si>
    <t>B) numero totale di campioni SFR</t>
  </si>
  <si>
    <t>B) numero totale di campioni URCoFi</t>
  </si>
  <si>
    <t>C) numero di campioni asintomatici, se del caso</t>
  </si>
  <si>
    <t>D) tipo di trappole (o altro metodo alternativo, ad esempio retino entomologico)</t>
  </si>
  <si>
    <t xml:space="preserve">E) numero di trappole (o altro metodo di raccolta) </t>
  </si>
  <si>
    <t xml:space="preserve">F) numero di siti di cattura (se diverso dai dati riportati alla lettera E) </t>
  </si>
  <si>
    <t>Ore destinate al controllo trappole</t>
  </si>
  <si>
    <t xml:space="preserve">G) tipo di prove </t>
  </si>
  <si>
    <t>H) numero di prove TOTALE</t>
  </si>
  <si>
    <t>FitoLab</t>
  </si>
  <si>
    <t>UNINA/CREA</t>
  </si>
  <si>
    <t>CNR</t>
  </si>
  <si>
    <t xml:space="preserve"> I) altre misure </t>
  </si>
  <si>
    <t xml:space="preserve">J) numero di altre misure </t>
  </si>
  <si>
    <t>12. Osservazioni</t>
  </si>
  <si>
    <t>Referente scientifico</t>
  </si>
  <si>
    <r>
      <t xml:space="preserve">Gruppo 1 - </t>
    </r>
    <r>
      <rPr>
        <b/>
        <sz val="14"/>
        <rFont val="Arial"/>
        <family val="2"/>
      </rPr>
      <t>Luoghi di produzione autorizzati (RUOP)</t>
    </r>
  </si>
  <si>
    <t>Candidatus Liberibacter spp</t>
  </si>
  <si>
    <t>Batteri</t>
  </si>
  <si>
    <t>PRIORITY 1</t>
  </si>
  <si>
    <t>Cofinanziato</t>
  </si>
  <si>
    <t xml:space="preserve">1.3. vivaio; </t>
  </si>
  <si>
    <t xml:space="preserve">Piante </t>
  </si>
  <si>
    <t>Citrus spp., Fortunella spp., Poncirus spp.</t>
  </si>
  <si>
    <t>Gennaio; Febbraio, Marzo; Aprile; Maggio; Giugno; Luglio; Agosto; Settembre; Ottobre; Novembre; Dicembre</t>
  </si>
  <si>
    <t>PCR, Real-time PCR, PCR+Sequencing</t>
  </si>
  <si>
    <t>Prof.ssa Alioto</t>
  </si>
  <si>
    <t>Vettore</t>
  </si>
  <si>
    <t>Diaphorina citri</t>
  </si>
  <si>
    <t>Morphological identification</t>
  </si>
  <si>
    <t>Prof.ssa Laudonia</t>
  </si>
  <si>
    <t xml:space="preserve">1.2. frutteto/vigneto; </t>
  </si>
  <si>
    <t>Totale</t>
  </si>
  <si>
    <t>Prof.ssa Alioto/Prof.ssa Laudonia</t>
  </si>
  <si>
    <t xml:space="preserve">Erwinia amylovora ZP e ZT </t>
  </si>
  <si>
    <t xml:space="preserve">PRIORITY 4 </t>
  </si>
  <si>
    <t>Malus spp., Pyrus spp., Rubus spp., Sorbus spp., Pyracantha spp., Cotoneaster spp., Crataegus spp., Cydonia spp., Eriobotrya spp., Photinia davidiana</t>
  </si>
  <si>
    <t>Maggio; Giugno; Luglio; Ottobre; Novembre</t>
  </si>
  <si>
    <t>Lateral flow = Serological Tests, Real-time PCR</t>
  </si>
  <si>
    <t>Dott.ssa Petriccione</t>
  </si>
  <si>
    <t>Ralstonia solanacearum (Smith) Yabuuchi et al. [RALSSL]</t>
  </si>
  <si>
    <t>PRIORITY 2</t>
  </si>
  <si>
    <t>3.1. serra;</t>
  </si>
  <si>
    <t>Solanum lycopersicum, Capsicum annum</t>
  </si>
  <si>
    <t>Marzo; Aprile; Maggio; Giugno; Luglio; Agosto; Settembre; Ottobre</t>
  </si>
  <si>
    <t>Ralstonia pseudosolanacearum Safni, Cleenwerck, de Vos, Fegan, Sly &amp; Kappler [RALSPS]</t>
  </si>
  <si>
    <t>PRIORITY 3</t>
  </si>
  <si>
    <t>Capsicum annuum; Solanum lycopersicum; Brassica oleracea; Capsicum frutescens; Cicer arietinum; Cucumis sativus; Cucurbita maxima; Fragaria x ananassa; Nicotiana tabacum; Phaseolus vulgaris; Solanum melongena; Vicia faba; Rosa; Hibiscus sp.; Pelargonium sp.; Bougainvillea sp.</t>
  </si>
  <si>
    <t>Gennaio; Febbraio; Marzo; Aprile; Maggio; Giugno; Luglio; Agosto; Settembre; Ottobre; Novembre; Dicembre</t>
  </si>
  <si>
    <t>Lateral flow = Serological Tests , Visual symptoms inspection = Other testing 1</t>
  </si>
  <si>
    <t>Ralstonia syzygii subsp. Indonesiesis [RALSSI]</t>
  </si>
  <si>
    <t>Solanum lycopersicum; Capsicum annuum</t>
  </si>
  <si>
    <t>Lateral flow = Serological Tests , Selective (Tissue) Culture Media</t>
  </si>
  <si>
    <t xml:space="preserve">Xylella fastidiosa  (Wells et al.) [XYLEFA] </t>
  </si>
  <si>
    <t>Rosmarinus officinalis, Citrus spp., Olea europea, Prunus spp., Vitis spp., Laurus nobilis, Nerium oleander, Polygala myrtifolia, Spartium junceum, Myrtus communis, Cistus spp., Lavandula spp., Hibiscus spp., Quercus spp., Robinia spp.</t>
  </si>
  <si>
    <t>Marzo; Aprile; Maggio; Giugno; Luglio; Agosto; Settembre; Ottobre; Novembre</t>
  </si>
  <si>
    <t>N/A</t>
  </si>
  <si>
    <t>LAMP = Molecular testing, Real-time PCR</t>
  </si>
  <si>
    <t>Dott.ssa Ruocco</t>
  </si>
  <si>
    <t xml:space="preserve">Ceratocystis platani (J. M. Walter) Engelbr. &amp; T. C. Harr [CERAFP] </t>
  </si>
  <si>
    <t>Funghi e Oomiceti</t>
  </si>
  <si>
    <t>Platanus spp.</t>
  </si>
  <si>
    <t>Microscopically Identification (Microscopy)</t>
  </si>
  <si>
    <t xml:space="preserve">Fusarium circinatum Nirenberg &amp; O'Donnell [GIBBCI] </t>
  </si>
  <si>
    <t>Pinus spp.</t>
  </si>
  <si>
    <t>Microscopically Identification (Microscopy), Selective (Tissue) Culture Media, PCR+Sequencing</t>
  </si>
  <si>
    <t>Geosmithia morbida Kolarík, Freeland, Utley &amp; Tisserat [GEOHMO]</t>
  </si>
  <si>
    <t>Juglans spp.</t>
  </si>
  <si>
    <t>Phyllosticta citricarpa (McAlpine) Van der Aa [GUIGCI]</t>
  </si>
  <si>
    <t>Citrus spp., Fortunella spp.</t>
  </si>
  <si>
    <t>Real-time PCR</t>
  </si>
  <si>
    <t>Citrus spp.</t>
  </si>
  <si>
    <t>LAMP=Molecular testing</t>
  </si>
  <si>
    <t>Phytophthora ramorum (non-EU isolates) Werres, De Cock &amp; Man in 't Veld [PHYTRA]</t>
  </si>
  <si>
    <t xml:space="preserve"> Tsuga spp., Abies spp., Acer spp., Aesculus spp., Alnus spp., Arbutus spp., Betula spp., Eucalyptus spp., Fagus spp., Fraxinus spp., Ilex spp., Larix spp., Pseudotsuga spp., Quercus spp., Taxus spp., Camelia spp., Eucalyptus spp., Euonymus spp., Magnolia spp., Nerium oleander, Photinia spp., Rhododendron spp., Pittosporum spp., Rosa spp., Viburnum spp.</t>
  </si>
  <si>
    <t>Microscopically Identification (Microscopy), Selective (Tissue) Culture Media, Real-time PCR</t>
  </si>
  <si>
    <t xml:space="preserve">Agrilus anxius Gory [AGRLAX] </t>
  </si>
  <si>
    <t>Insetti e acari</t>
  </si>
  <si>
    <t>Betula spp.</t>
  </si>
  <si>
    <t>Prof. Garonna</t>
  </si>
  <si>
    <t xml:space="preserve">Agrilus planipennis Fairmaire [AGRLPL] </t>
  </si>
  <si>
    <t>Fraxinus spp.</t>
  </si>
  <si>
    <t>Aleurocanthus spiniferus (Quaintance) [ALECSN]</t>
  </si>
  <si>
    <t>Citrus spp., Malus spp., Prunus spp., Pyrus spp., Rosa spp., Vitis spp.</t>
  </si>
  <si>
    <t>Aleurocanthus citriperdus Quaintance &amp; Baker [ALECCT]</t>
  </si>
  <si>
    <t>Piante</t>
  </si>
  <si>
    <t>Citrus sp.; Poncirus sp.; Fortunella sp.</t>
  </si>
  <si>
    <t>Aleurocanthus woglumi Ashby [ALECWO]</t>
  </si>
  <si>
    <t xml:space="preserve">Anoplophora chinensis (Thomson) [ANOLCN] </t>
  </si>
  <si>
    <t>Citrus spp., Malus spp., Prunus spp., Pyrus spp., Olea europea, Corylus avellana, Juglans spp.</t>
  </si>
  <si>
    <t xml:space="preserve">Anoplophora glabripennis (Motschulsky) [ANOLGL] </t>
  </si>
  <si>
    <t>Malus spp., Pyrus spp., Corylus spp., Acer spp., Aesculus spp., Alnus spp., Betula spp., Fagus spp., Platanus spp., Ulmus spp.,  Populus spp., Salix spp.</t>
  </si>
  <si>
    <t xml:space="preserve">Aromia bungii (Faldermann) [AROMBU]  </t>
  </si>
  <si>
    <t>Prunus spp.</t>
  </si>
  <si>
    <t xml:space="preserve">Bactericera cockerelli (Sulc.) [PARZCO] </t>
  </si>
  <si>
    <t>Solanum spp., Capsicum spp., Nicotiana tabacum</t>
  </si>
  <si>
    <t>Maggio; Giugno; Luglio; Agosto; Settembre; Ottobre</t>
  </si>
  <si>
    <t>Dott. Nugnes</t>
  </si>
  <si>
    <t>PCR+Sequencing</t>
  </si>
  <si>
    <t>Bretziella fagacearum (Bretz) Z.W de Beer, T.A. Duong &amp; M.J. Wingfield, comb. nov. [CERAFA]</t>
  </si>
  <si>
    <t>Quercus sp.; Castanea sp.</t>
  </si>
  <si>
    <t>Cicadellidae (non-European) [1CICDF]  vector di Pierce's disease (caused by Xylella fastidiosa), such as: (a) Carneocephala fulgida Nottingham [CARNFU] (b) Draeculacephala minerva Ball [DRAEMI]; (c)  Graphocephala atropunctata (Signoret) [GRCPAT]. (d)  Homalodisca vitripennis (Germar) [HOMLTR]</t>
  </si>
  <si>
    <t>Vitis vinifera, Citrus spp., Ficus spp., Juglans spp., Malus spp., Olea europea, Prunus dulcis, Pyrus spp., Nerium oleander, Polygala myrtifolia, Coffea spp., Lavandula spp.</t>
  </si>
  <si>
    <t>Aprile; maggio; Giugno; Luglio; Agosto; Settembre; Ottobre</t>
  </si>
  <si>
    <t>Trappole cromotropiche adesive</t>
  </si>
  <si>
    <t>Dott. Bernardo/Dott. Nugnes</t>
  </si>
  <si>
    <t>Coniferiporia weirii (Murrill) L.W. Zhou &amp; Y.C. Dai [INONWE]</t>
  </si>
  <si>
    <t>Abies sp.; Pinus sp.</t>
  </si>
  <si>
    <t>Gennaio; Febbraio; Marzo; Aprile; Maggio; Giugno; Luglio; Agosto; Settembre; Novembre; Dicembre</t>
  </si>
  <si>
    <t xml:space="preserve">Conotrachelus nenuphar (Herbst) [CONHNE] </t>
  </si>
  <si>
    <t>1.3. vivaio</t>
  </si>
  <si>
    <t>Malus spp., Prunus spp., Pyrus spp.</t>
  </si>
  <si>
    <t>Crisicoccus pini (Kuwana) [DACLPI]</t>
  </si>
  <si>
    <t>Pinus spp., Abies spp.</t>
  </si>
  <si>
    <t xml:space="preserve">Dendrolimus sibiricus Chetverikov [DENDSI] </t>
  </si>
  <si>
    <t>Abies spp., Larix spp., Picea spp., Pinus spp., Pseudotsuga spp., Tsuga spp.</t>
  </si>
  <si>
    <t>Epitrix cucumeris [EPIXCU]: 
Epitrix papa [EPIXPP]; 
Epitrix subcrinita [EPIXSU];
Epitrix  tuberis [EPIXTU]</t>
  </si>
  <si>
    <t>Maggio; Giugno; Luglio; Agosto; Settembre; Ottobre; Novembre</t>
  </si>
  <si>
    <t>Dott. Bernardo</t>
  </si>
  <si>
    <t>Garella musculana (Erschov) [ERSHMU]</t>
  </si>
  <si>
    <t>PRIORITY 4</t>
  </si>
  <si>
    <t>Helicoverpa zea (Boddie) [HELIZE]</t>
  </si>
  <si>
    <t>Capsicum annuum; Solanum lycopersicum; Solanum melongena</t>
  </si>
  <si>
    <t>Monochamus spp. (non-European populations) [1MONCG]</t>
  </si>
  <si>
    <t>Pinus spp., Picea spp., Abies spp., Larix spp.</t>
  </si>
  <si>
    <t>Extraction (including morphological identification for nematodes)</t>
  </si>
  <si>
    <t>Oemona hirta (Fabricius) [OEMOHI]</t>
  </si>
  <si>
    <t>Acer sp.; Betula sp.; Citrus sp.;Prunus armeniaca; Prunus avium; Prunus domestica; Prunus dulcis; Prunus persica;  Vitis vinifera</t>
  </si>
  <si>
    <t>Phyllosticta solitaria Ellis &amp; Everhart [PHYSSL]</t>
  </si>
  <si>
    <t>Citrus sp.</t>
  </si>
  <si>
    <t>Pissodes spp.(Pissodes fasciatus Leconte [PISOFA];Pissodes nemorensis Germar [PISONE];Pissodes nitidus Roelofs [PISONI];Pissodes punctatus Langor &amp; Zhang [PISOPU];Pissodes strobi Peck [PISOST]; Pissodes terminalis Hopping [PISOTE];Pissodes yunnanensis Langor &amp; Zhang [PISOYU];</t>
  </si>
  <si>
    <t>Pinus spp., Picea spp., Cedrus spp., Abies spp., Pseudotsuga menziesi</t>
  </si>
  <si>
    <t>Pityophthorus juglandis Blackman [PITOJU]</t>
  </si>
  <si>
    <t>Pseudocercospora pini-densiflorae (Hori &amp; Nambu) Deighton [CERSPD]</t>
  </si>
  <si>
    <t>Pinus sp.</t>
  </si>
  <si>
    <t xml:space="preserve">Popillia japonica Newman [POPIJA] </t>
  </si>
  <si>
    <t>Prunus spp., Vitis vinifera, Corylus spp., Juglans spp., Malus spp.</t>
  </si>
  <si>
    <t>Rhizoecus hibisci (Ripersiella hibisci) [RHIOHI]</t>
  </si>
  <si>
    <t>Cuphea hyssopifolia, Hibiscus rosa-sinensis, Pelargonium x hortorum, Phoenix canariensis, Serissa foetida</t>
  </si>
  <si>
    <t xml:space="preserve">Spodoptera frugiperda (Smith) [LAPHFR] </t>
  </si>
  <si>
    <t>Prunus persica, Malus domestica, Pyrus spp., Citrus spp., Vitis vinifera</t>
  </si>
  <si>
    <t>Solanum spp., Capsicum annuum</t>
  </si>
  <si>
    <t>Synchytrium endobioticum (Schilb.) Percival [SYNCEN]</t>
  </si>
  <si>
    <t>3.2. sito privato, diverso da una serra</t>
  </si>
  <si>
    <t>Tuberi</t>
  </si>
  <si>
    <t xml:space="preserve">Solanum tuberosum </t>
  </si>
  <si>
    <t>Gennaio; Febbraio; Marzo; Aprile; Maggio; Giugno</t>
  </si>
  <si>
    <t>Microscopically Identification (Microscopy), Visual symptoms inspection = Other testing 1</t>
  </si>
  <si>
    <t xml:space="preserve">Tephritidae (non-European) [1TEPHF] </t>
  </si>
  <si>
    <t>1.2. frutteto/vigneto</t>
  </si>
  <si>
    <t>Frutti</t>
  </si>
  <si>
    <t xml:space="preserve">Anastrepha ludens (Loew) [ANSTLU] </t>
  </si>
  <si>
    <t xml:space="preserve">Bactrocera dorsalis (Hendel) [DACUDO] </t>
  </si>
  <si>
    <t>Citrus sp.; Prunus sp.</t>
  </si>
  <si>
    <t>Trappola con attrattivi</t>
  </si>
  <si>
    <t>Morphological identification, PCR+Sequencing</t>
  </si>
  <si>
    <t>Gruppo 1 - Luoghi di produzione autorizzati (RUOP)</t>
  </si>
  <si>
    <t>Bactrocera zonata (Saunders) [DACUZO]</t>
  </si>
  <si>
    <t>Citrus spp., Prunus spp.</t>
  </si>
  <si>
    <t>Rhagoletis pomonella (Walsh) [RHAGPO]</t>
  </si>
  <si>
    <t>Prunus spp., Malus spp., Crataegus spp.</t>
  </si>
  <si>
    <t>Crataegus spp., Prunus spp.</t>
  </si>
  <si>
    <t>Toumeyella parvicornis [TOUMPA]</t>
  </si>
  <si>
    <t xml:space="preserve">Toxoptera citricida (Kirkaldy) [TOXOCI] </t>
  </si>
  <si>
    <t>Trioza erytreae Del Guercio [TRIZER]</t>
  </si>
  <si>
    <t xml:space="preserve">Thaumatotibia leucotreta (Meyrick) [ARGPLE] </t>
  </si>
  <si>
    <t>Solanum spp., Capsicum spp.</t>
  </si>
  <si>
    <t>Bursaphelenchus xylophilus (Steiner and Bührer) Nickle et al. [BURSXY]</t>
  </si>
  <si>
    <t>Nematodi</t>
  </si>
  <si>
    <t>Globodera pallida (Stone) Behrens [HETDPA]</t>
  </si>
  <si>
    <t>Solanum lycopersicum, Solanum melongena</t>
  </si>
  <si>
    <t>Visual symptoms inspection = Other testing 1, Extraction (including morphological identification for nematodes); Real-time PCR</t>
  </si>
  <si>
    <t>Dott. Troccoli/Dott.ssa Petriccione</t>
  </si>
  <si>
    <t>Globodera rostochiensis (Wollenweber) Behrens [HETDRO]</t>
  </si>
  <si>
    <t>Meloidogyne chitwoodi Golden et al. [MELGCH]</t>
  </si>
  <si>
    <t>Visual symptoms inspection = Other testing 1, Extraction (including morphological identification for nematodes)</t>
  </si>
  <si>
    <t>Meloidogyne fallax Karssen [MELGFA]</t>
  </si>
  <si>
    <t>Meloidogyne graminicola [Karssen]</t>
  </si>
  <si>
    <t xml:space="preserve">Citrus tristeza virus (non-EU isolates) [CTV000] </t>
  </si>
  <si>
    <t>Virus, viroidi e phytoplasmas</t>
  </si>
  <si>
    <r>
      <t xml:space="preserve">Grapevine flavescenze doreé and its vector </t>
    </r>
    <r>
      <rPr>
        <b/>
        <i/>
        <sz val="14"/>
        <rFont val="Arial"/>
        <family val="2"/>
      </rPr>
      <t xml:space="preserve">Scaphoideus titanus </t>
    </r>
    <r>
      <rPr>
        <b/>
        <sz val="14"/>
        <rFont val="Arial"/>
        <family val="2"/>
      </rPr>
      <t>[SCAPLI]</t>
    </r>
  </si>
  <si>
    <t>Vitis vinifera</t>
  </si>
  <si>
    <t>Marzo; Aprile; Maggio; Giugno; Luglio; Agosto; Settembre; Ottobre; Novembre; Dicembre</t>
  </si>
  <si>
    <t>Tomato brown rugose fruit virus [ToBRFV]</t>
  </si>
  <si>
    <t>Reverse Transcriptase (RT) - PCR = Molecular Testing 1</t>
  </si>
  <si>
    <t>Dott. Parrella</t>
  </si>
  <si>
    <t>Tomato leaf curl New Delhi virus [TOLCND]</t>
  </si>
  <si>
    <t>Solanum spp., Capsicum annuum, Cucumis spp., Cucurbita spp.</t>
  </si>
  <si>
    <t>PCR, LAMP = Molecular testing</t>
  </si>
  <si>
    <r>
      <t xml:space="preserve">Rose rosette virus and its vector </t>
    </r>
    <r>
      <rPr>
        <b/>
        <i/>
        <sz val="14"/>
        <rFont val="Arial"/>
        <family val="2"/>
      </rPr>
      <t xml:space="preserve">Phyllocoptes </t>
    </r>
    <r>
      <rPr>
        <b/>
        <sz val="14"/>
        <rFont val="Arial"/>
        <family val="2"/>
      </rPr>
      <t>[1PHYCG ]</t>
    </r>
  </si>
  <si>
    <t>Rosa spp.</t>
  </si>
  <si>
    <t xml:space="preserve">Reverse Transcriptase (RT) - PCR = Molecular Testing 1 </t>
  </si>
  <si>
    <t xml:space="preserve">Dott. Parrella </t>
  </si>
  <si>
    <t>Phyllocoptes fructiphilus</t>
  </si>
  <si>
    <t>Dott. Parrella/Dott. Bernardo</t>
  </si>
  <si>
    <t>Sorveglianza territorio indenne</t>
  </si>
  <si>
    <t>Candidatus Liberibacter spp.</t>
  </si>
  <si>
    <t>Citrus sp.; Fortunella sp.; Poncirus sp.</t>
  </si>
  <si>
    <t>2.1. giardini privati</t>
  </si>
  <si>
    <t>2.2. siti pubblici</t>
  </si>
  <si>
    <t>2.5.2 centro giardinaggio</t>
  </si>
  <si>
    <t>Clavibacter sepedonicus [CORBSE]</t>
  </si>
  <si>
    <t xml:space="preserve">1.1. campo (a seminativo, a pascolo) </t>
  </si>
  <si>
    <t>Solanum tuberosum</t>
  </si>
  <si>
    <t>Visual symptoms inspection = Other testing 1, Lateral flow= Serological Tests, Selective (Tissue) Culture Media</t>
  </si>
  <si>
    <t>3.1. serra</t>
  </si>
  <si>
    <t>3.4.2 centro per il giardinaggio</t>
  </si>
  <si>
    <t>2.5.7  altro - punti di ingresso (DM19/2021)</t>
  </si>
  <si>
    <t>1.4. foresta</t>
  </si>
  <si>
    <t>Malus sp.; Pyrus sp.; Rubus sp.; Sorbus sp.; Pyracantha sp.; Cotoneaster sp.; Crataegus sp.; Cydonia sp.; Eriobotrya sp.; Photinia davidadiana</t>
  </si>
  <si>
    <t>Lateral flow= Serological Tests, Real-time PCR</t>
  </si>
  <si>
    <t xml:space="preserve">Pantoea stewartii subsp. stewartii (Smith) Mergaert, Verdonck &amp; Kersters [ERWIST] </t>
  </si>
  <si>
    <t>Zea mays</t>
  </si>
  <si>
    <t>Aprile; Maggio; Giugno; Luglio; Agosto; Settembre; Ottobre</t>
  </si>
  <si>
    <t>Sementi</t>
  </si>
  <si>
    <t>Solanum lycopersicum, Capsicum annum, Solanum melongena</t>
  </si>
  <si>
    <t>Solanum sp., Capsicum annum, Solanum melongena</t>
  </si>
  <si>
    <t>Marzo; Aprile; Maggio; Giugno; Settembre; Ottobre</t>
  </si>
  <si>
    <t xml:space="preserve">altro, Lateral flow = Serological Tests </t>
  </si>
  <si>
    <t>Colonna 11 G: altro (Visual symptoms inspection = Other testing 1)</t>
  </si>
  <si>
    <t>Maggio; Giugno; Luglio; Agosto</t>
  </si>
  <si>
    <t>Febbraio; Marzo; Aprile; Maggio; Giugno; Luglio; Agosto; Settembre; Ottobre; Novembre</t>
  </si>
  <si>
    <t>Xylella fastidiosa  (Wells et al.) [XYLEFA] e il suo vettore Philaenus spumarius [PHILSU]</t>
  </si>
  <si>
    <t>Rosmarinus officinalis</t>
  </si>
  <si>
    <t>LAMP=Molecular testing, Real-time PCR</t>
  </si>
  <si>
    <t>Philaenus spumarius</t>
  </si>
  <si>
    <t>Giugno; Luglio; Agosto; Settembre; Ottobre</t>
  </si>
  <si>
    <t xml:space="preserve">Retini </t>
  </si>
  <si>
    <t>Citrus spp., Olea europea, Prunus spp., Vitis spp.</t>
  </si>
  <si>
    <t>Citrus spp., Olea europea, Prunus spp., Vitis spp., Rosmarinus officinalis, Laurus nobilis</t>
  </si>
  <si>
    <t>Nerium oleander, Polygala myrtifolia, Citrus spp., Olea europea, Rosmarinus officinalis</t>
  </si>
  <si>
    <t>2.3. zona di conservazione</t>
  </si>
  <si>
    <t>Spartium junceum, Cistus spp., Rosmarinus officinalis, Myrtus communis</t>
  </si>
  <si>
    <t>2.4. piante spontanee in zone diverse dalle zone di conservazione</t>
  </si>
  <si>
    <t>Lavandula spp., Polygala myrtifolia, Rosmarinus officinalis, Hibiscus spp., Nerium oleander</t>
  </si>
  <si>
    <t>Lavandula spp., Polygala myrtifolia, Rosmarinus officinalis, Hibiscus spp., Nerium oleander, Coffea spp.</t>
  </si>
  <si>
    <t>Dott.ssa Ruocco/Dott. Nugnes</t>
  </si>
  <si>
    <t>Sorveglianza territorio</t>
  </si>
  <si>
    <t>Pseudomonas syringae pv. actinidiae [PSDMAK]</t>
  </si>
  <si>
    <t>N.A.</t>
  </si>
  <si>
    <t>Foglie</t>
  </si>
  <si>
    <t>Actinidiae spp.</t>
  </si>
  <si>
    <t>Aprile; Maggio; Giugno; Luglio; Agosto; Settembre; Ottobre;</t>
  </si>
  <si>
    <t xml:space="preserve"> PCR; Molecolar testing 3 = LAMP</t>
  </si>
  <si>
    <t>Platanus sp.</t>
  </si>
  <si>
    <t>Ceratothripoides claratris [CRTZCL]</t>
  </si>
  <si>
    <t>Solanum lycopersicum</t>
  </si>
  <si>
    <t>Aprile; Maggio; Giugno; Luglio; Agosto; Settembre</t>
  </si>
  <si>
    <t>Juglans sp.</t>
  </si>
  <si>
    <t xml:space="preserve">2.5.5 piazzali di stoccaggio e/o di lavorazione di materiale da imballaggio o di legname </t>
  </si>
  <si>
    <t>Legname</t>
  </si>
  <si>
    <t>Citrus sp., Fortunella sp.</t>
  </si>
  <si>
    <t>PCR, PCR+sequencing, LAMP = Molecular testing</t>
  </si>
  <si>
    <t>2.5.2 altro - centri per il giardinaggio (garden center) all'aperto</t>
  </si>
  <si>
    <t xml:space="preserve">3.3.1 sito pubblico diverso da una serra </t>
  </si>
  <si>
    <t xml:space="preserve">3.4.2  altro-centri per il giardinaggio (garden center) al chiuso </t>
  </si>
  <si>
    <t>Malus domestica; Pyrus sp.</t>
  </si>
  <si>
    <t>Tsuga sp.; Abies sp.; Acer sp.; Aesculus sp.; Alnus sp.; Arbutus sp.; Betula sp; Eucalyptus sp; Fagus sp.; Fraxinus sp.; Ilex sp.; Larix sp.; Pseudotsuga sp.; Quercus sp.; Taxus sp.</t>
  </si>
  <si>
    <t>Visual symptoms inspection = Other testing 1, Microscopically Identification (Microscopy), Washing test = Other testing 3</t>
  </si>
  <si>
    <t>3.4.6  altro - industrie/centri di raccolta/lavorazione altri vegetali</t>
  </si>
  <si>
    <t>Betula sp.</t>
  </si>
  <si>
    <t>2.5.1 altro-siti commerciali all'aperto che utilizzano materiale da imballaggio in legno</t>
  </si>
  <si>
    <t>Materiale imballaggio</t>
  </si>
  <si>
    <t>2.5.5 altro- industrie di lavorazione del legno all'aperto</t>
  </si>
  <si>
    <t>Olea europea; Juglans sp.</t>
  </si>
  <si>
    <t>Fraxinus sp.</t>
  </si>
  <si>
    <t xml:space="preserve"> Citrus sp.; Citrus limon ; Citrus paradisi; Citrus reticulata; Citrus sinensis; Fortunella; Poncirus trifoliata</t>
  </si>
  <si>
    <t>Citrus sp.; Vitis vinifera; Prunus sp; Rosa sp.</t>
  </si>
  <si>
    <t>Citrus spp., Prunus spp., Rosa spp.</t>
  </si>
  <si>
    <t>Actinidia sp.; Anacardium occidentale; Annona sp.; Begonia sp.; Capsicum frutescens; Citrus aurantiifolia; Citrus aurantium; Citrus deliciosa; Citrus limon; Citrus maxima; Citrus medica; Citrus paradisi; Citrus reticulata; Citrus sinensis; Crataegus sp.; Cydonia oblonga; Diospyros kaki; Fortunella sp.; Fraxinus sp.; Hibiscus sp.; Laurus nobilis; Populus sp.; Prunus domestica; Punica granatum; Pyrus communis; Vitis sp.</t>
  </si>
  <si>
    <t>Citrus sp.; Prunus sp.; Malus sp.; Pyrus sp; Olea europea; Corylus avellana; Juglans sp.</t>
  </si>
  <si>
    <t>Fagus sp.; Quercus sp.; Acer sp.; Populus sp.</t>
  </si>
  <si>
    <t>Citrus sp.; Prunus sp; Malus sp.; Pyrus sp.; Olea europea</t>
  </si>
  <si>
    <t>Citrus sp.; Prunus sp.; Olea europea; Populus sp.; Quercus sp.</t>
  </si>
  <si>
    <t>Malus sp.; Pyrus sp.; Corylus sp.</t>
  </si>
  <si>
    <t>Acer sp.; Aesculus sp.; Alnus sp.; Betula sp.; Fagus sp.; Platanus sp.; Ulmus sp.; Populus sp.; Salix</t>
  </si>
  <si>
    <t>Platanus sp.; Populus sp.; Acer sp.; Ulmus sp.; Salix sp.</t>
  </si>
  <si>
    <t>Materiale imballaggio in legno</t>
  </si>
  <si>
    <t>Populus sp.</t>
  </si>
  <si>
    <t>Populus sp.; Betula sp.; Fagus sp.; Platanus sp.</t>
  </si>
  <si>
    <t xml:space="preserve">Anthonomus eugenii Cano [ANTHEU] </t>
  </si>
  <si>
    <t>Capsicum sp.; Solanum sp.</t>
  </si>
  <si>
    <t>2.5.9 mercati, rivenditori, negozi, rivendite all'ingrosso</t>
  </si>
  <si>
    <t>3.4.7 grossisti, mercati, rivenditori</t>
  </si>
  <si>
    <t>Anthonomus signatus Say [ANTHSI]</t>
  </si>
  <si>
    <t>Rubus sp.; Fragaria x ananassa; Rosa sp.; Vaccinium sp.</t>
  </si>
  <si>
    <t>Marzo; Aprile; Maggio; Giugno; Luglio</t>
  </si>
  <si>
    <t>Prunus sp.</t>
  </si>
  <si>
    <t>Arrhenodes minutus Drury [ARRHMI]</t>
  </si>
  <si>
    <t>Quercus sp.; Ulmus sp.</t>
  </si>
  <si>
    <t>2.5.1 siti commerciali che usano materiale di legno da imballaggio</t>
  </si>
  <si>
    <t>3.4.1 siti commerciali che utilizzano materiale da imballaggio in legno</t>
  </si>
  <si>
    <t>Solanum sp., Capsicum sp., Nicotiana tabacum</t>
  </si>
  <si>
    <t>Aprile; Maggio; Giugno; Luglio; Agosto; Settembre; Ottobre; Novembre</t>
  </si>
  <si>
    <t>Vitis vinifera; Citrus sp.; Ficus sp.; Juglans sp.; Malus sp; Olea sp; Prunus sp; Pyrus sp.</t>
  </si>
  <si>
    <t>Nerium oleander; Fraxinus sp.</t>
  </si>
  <si>
    <t>Malus sp., Prunus sp., Pyrus sp.</t>
  </si>
  <si>
    <t>Prof.Garonna</t>
  </si>
  <si>
    <t>Abies sp., Pinus sp.</t>
  </si>
  <si>
    <t>2.4.1 piante spontanee in zone diverse dalle zone di conservazione</t>
  </si>
  <si>
    <t>Dendrolimus sibiricus Chetverikov [DENDSI]</t>
  </si>
  <si>
    <t>Abies sp.; Larix sp.; Picea sp.; Pinus sp.; Pseudotsuga sp.; Tsuga sp.</t>
  </si>
  <si>
    <t>0</t>
  </si>
  <si>
    <t>Solanum sp., Capsicum sp.</t>
  </si>
  <si>
    <t>Marzo; Aprile; Maggio; Giugno</t>
  </si>
  <si>
    <t>Pinus sp.; Picea sp.; Abies sp.; Larix sp.</t>
  </si>
  <si>
    <t>Trappole a feromoni</t>
  </si>
  <si>
    <t>Acer sp.; Betula sp.; Citrus sp.; Diospyros kaki; Ficus carica; Fraxinus sp.; Juglans regia; Malus domestica; Prunus armeniaca; Prunus avium; Prunus domestica; Prunus dulcis; Prunus persica; Punica granatum ; Vitis vinifera</t>
  </si>
  <si>
    <t>Acer sp.; Betula sp.; Fraxinus sp.</t>
  </si>
  <si>
    <t>Pinus sp.; Picea sp; Cedrus sp.</t>
  </si>
  <si>
    <t>Zea mays, Solanum sp.</t>
  </si>
  <si>
    <t>Prunus sp., Vitis vinifera, Corylus sp., Juglans sp., Malus sp.</t>
  </si>
  <si>
    <t>Populus sp., Platanus sp., Quercus sp.</t>
  </si>
  <si>
    <t>Poaceae sp.</t>
  </si>
  <si>
    <t>altro</t>
  </si>
  <si>
    <t>Pseudopityophthorus pruinosus (Eichhoff) [PSDPPR]</t>
  </si>
  <si>
    <t>Quercus sp.</t>
  </si>
  <si>
    <t>Capsicum annuum; Solanum lycopersicum; Solanum tuberosum; Brassica oleracea; Capsicum frutescens; Cicer arietinum; Cucumis sativus; Cucurbita maxima; Fragaria x ananassa; Nicotiana tabacum; Phaseolus vulgaris; Solanum melongena; Vicia faba</t>
  </si>
  <si>
    <t>Colonna 11 G: Visual symptoms inspection = Other testing 0</t>
  </si>
  <si>
    <t>Cuphea hyssopifolia; Hibiscus rosa-sinensis; Pelargonium x hortorum; Phoenix canariensis; Serissa foetida</t>
  </si>
  <si>
    <t>Rhynchophorus palmarum (L.) [RHYCPA]</t>
  </si>
  <si>
    <t>Bactris gasipaes; Saccharum officinarum</t>
  </si>
  <si>
    <t>Zea mays; Solanum sp.; Capsicum annuum; Coriandrum sativum</t>
  </si>
  <si>
    <t>Citrus limon; Citrus sinensis; Citrus aurantium; Malus domestica; Diospyros kaki; Prunus persica; Vitis vinifera; Juglans regia</t>
  </si>
  <si>
    <t>Zea mays; Solanum sp.; Capsicum annuum</t>
  </si>
  <si>
    <t>Pinus sp; Eucalyptus sp; Rosa sp; Platanus sp.</t>
  </si>
  <si>
    <t>Sweet potato chlorotic stunt virus [SPCSV0]</t>
  </si>
  <si>
    <t>Virus, viroidi e fitoplasmi</t>
  </si>
  <si>
    <t>Ipomoea batatas</t>
  </si>
  <si>
    <t>Febbraio; Marzo; Aprile; Maggio; Giugno; Luglio</t>
  </si>
  <si>
    <t>Solanum sp., Cucurbita sp., Fragaria sp.</t>
  </si>
  <si>
    <t>Citrus sp., Prunus sp., Diospyros kaki, Vitis vinifera</t>
  </si>
  <si>
    <t>Citrus sp.; Prunus sp; Diospyros kaki; Vitis vinifera; Malus sp; Pyrus sp.</t>
  </si>
  <si>
    <t>Citrus sp., Prunus sp., Malus sp.</t>
  </si>
  <si>
    <t>Bactrocera dorsalis (Hendel) [DACUDO]</t>
  </si>
  <si>
    <t>Citrus sp.; Prunus sp.; Diospyros kaki; Vitis vinifera; Juglans regia</t>
  </si>
  <si>
    <t>Citrus sp.; Prunus sp.; Diospyros kaki; Vitis vinifera; Solanum sp.; Ficus carica; Juglans regia</t>
  </si>
  <si>
    <t>3.4.7 magazzini al chiuso di grande distribuzione</t>
  </si>
  <si>
    <t>Citrus sp.; Prunus sp.; Malus sp; Pyrus sp.</t>
  </si>
  <si>
    <t>Bemisia tabaci Genn. (non-European populations)  [BEMITA]</t>
  </si>
  <si>
    <t>Solanum lycopersicum; Nicotiana tabacum</t>
  </si>
  <si>
    <t>Black raspberry latent virus [TSVBL0]</t>
  </si>
  <si>
    <t>Rubus sp.</t>
  </si>
  <si>
    <t>Settembre; Ottobre; Novembre; Dicembre; Gennaio</t>
  </si>
  <si>
    <t>Piante, Frutti</t>
  </si>
  <si>
    <t>Citrus sp.; Prunus sp.; Olea europea; Vitis vinifera; Diospyros kaki</t>
  </si>
  <si>
    <t>Quercus sp.; Olea europea; Rosa sp.</t>
  </si>
  <si>
    <t>Solanum sp.; Capsicum annuum; Citrus sp.; Olea europea</t>
  </si>
  <si>
    <t>Citrus sp.; Solanum sp.</t>
  </si>
  <si>
    <t>Colonna 5: 2.5.6. Altri luoghi (alberi isolati, area urbana)</t>
  </si>
  <si>
    <t>Citrus sp., Fortunella sp., Poncirus sp.</t>
  </si>
  <si>
    <t>Morphological identification; PCR+Sequencing</t>
  </si>
  <si>
    <t>Trirachys sartus [AELSSA]</t>
  </si>
  <si>
    <t>Malus domestica; Juglans regia</t>
  </si>
  <si>
    <t>Platanus sp.; Populus sp.; Ulmus sp.</t>
  </si>
  <si>
    <t>Trogoderma granarium [TROGGA]</t>
  </si>
  <si>
    <t>Avena sativa; Cicer arietinum; Hordeum vulgare; Juglans regia; Lens culinaris; Medicago sativa; Pisum sativum; Prunus dulcis; Sorghum bicolor; Triticum aestivum; Zea mays</t>
  </si>
  <si>
    <t>Virus, viroidi e fitoplasmi di Solanum tuberosum L. e altre tuberifere Solanum
a) Andean potato latent virus [APLV00];
b) Andean potato mottle virus [APMOV0];
c) Arracacha virus B, oca strain [AVBO00];
d) Potato black ringspot virus [PBRSV0];
e) Potato virus T [PVT000];
f) Isolati non europei dei Potato virus A, M, S, V, X e Y (compresi Yo
, Yn and Yc
) e Potato leafroll virus
[PVA000, PVM000, PVS000, PVV000, PVX000, PVY000 (compresi Yo
, PVYN00, PVYC00)] e
[PLRV00].</t>
  </si>
  <si>
    <t>2.5.7 punti di ingresso</t>
  </si>
  <si>
    <t>Viruses, viroids and phytoplasmas of Cydonia Mill., Fragaria L., Malus Mill., Prunus L., Pyrus L., Ribes L., Rubus L. and Vitis L., such as:  b)   Cherry rasp leaf virus [CRLV00]; (c)   Peach mosaic virus [PCMV00]; (d)   Peach rosette mosaic virus [PRMV00]; (e)   American plum line pattern virus [APLPV0];</t>
  </si>
  <si>
    <t>Gennaio; Febbraio; Marzo; Aprile; Maggio; Giugno; Luglio; Settembre; Ottobre; Novembre; Dicembre</t>
  </si>
  <si>
    <t>Viruses, viroids and phytoplasmas of Cydonia Mill., Fragaria L., Malus Mill., Prunus L., Pyrus L., Ribes L., Rubus L. and Vitis L., such as: (a)   Blueberry leaf mottle virus [BLMOV0]; (f)    Raspberry leaf curl virus [RLCV00]; (g)    Strawberry witches' broom phytoplasma [SYWB00]; (h) Non-European viruses, viroids and phytoplasmas of Cydonia Mill., Fragaria L., Malus Mill., Prunus L., Pyrus L., Ribes L., Rubus L. and Vitis L.: Grapevine red blotch virus (GRBV); Grapevine berry inner necrosi virus; Grapevine geminivirus A</t>
  </si>
  <si>
    <t>Vitis vinifera; Fragaria x ananassa; Rubus sp.</t>
  </si>
  <si>
    <t>Xiphinema californicum Lamberti &amp; Bleve-Zacheo [XIPHCA]</t>
  </si>
  <si>
    <t>Suolo</t>
  </si>
  <si>
    <t>Citrus sp.; Zea mays</t>
  </si>
  <si>
    <t>Dott. Troccoli/Dott.ssa Alioto</t>
  </si>
  <si>
    <t>Xiphinema inaequale khan et Ahmad [XIPHNA]</t>
  </si>
  <si>
    <t>Citrus sp.; Prunus sp.; Vitis vinifera; Solanum sp.</t>
  </si>
  <si>
    <t>Apomyelois ceratoniae [MYELCE]</t>
  </si>
  <si>
    <t>Citrus spp., Ceratonia siliqua, Prunus dulcis, Pistaceo vera, Punica granatum, Juglans regia, Corylus avellana</t>
  </si>
  <si>
    <t>Carpophilus sp. [1CARHG]</t>
  </si>
  <si>
    <t xml:space="preserve">Juglans regia, Prunus dulcis, Corylus avellana </t>
  </si>
  <si>
    <t>Juglans regia, Prunus dulcis, Corylus avellana</t>
  </si>
  <si>
    <t xml:space="preserve">Altri vettori di Xylella fastidiosa </t>
  </si>
  <si>
    <t>Echinochloa spp., Poaceae, Asparagus spp., Medicago spp., Pisum spp., Zea mays</t>
  </si>
  <si>
    <t>Giugno; Luglio; Agosto; Settembre; Ottobre; Novembre; Dicembre</t>
  </si>
  <si>
    <t>Vitis vinifera, Citrus spp., Ficus spp., Juglans spp., Malus spp., Olea spp., Prunus spp., Pyrus spp.</t>
  </si>
  <si>
    <t>Vitis vinifera, Citrus spp., Ficus spp., Juglans spp., Malus spp., Olea spp., Prunus spp., Pyrus spp., Echinochloa spp., Asparagus spp., Pisum spp., Zea mays</t>
  </si>
  <si>
    <t>Cryptoblabes gnidiella [CRYBGN]</t>
  </si>
  <si>
    <t>N/D</t>
  </si>
  <si>
    <t>Drosophila suzukii [DROSSU]</t>
  </si>
  <si>
    <t>Prunus avium, Vitis vinifera, Malus spp., Rubus spp., Fragaria x ananassa</t>
  </si>
  <si>
    <t>Morphological identification, PCR+sequencing</t>
  </si>
  <si>
    <t>Dott. Giorgini</t>
  </si>
  <si>
    <t>Halyomorpha halys [HALYHA]</t>
  </si>
  <si>
    <t>Corylus avellana, Pyrus spp., Malus spp., Prunus spp.,Vitis vinifera, Actinidia deliciosa, Zea mays, Capsicum annuum, Solanum lycopersicum, Phaseolus spp.</t>
  </si>
  <si>
    <t>Megaplatypus mutatus [PLTPMU]</t>
  </si>
  <si>
    <t>1.4.4 foresta - impianti per produzione legno</t>
  </si>
  <si>
    <t>Fraxinus spp., Juglans spp., Malus spp., Platanus spp., Populus spp., Quercus spp.</t>
  </si>
  <si>
    <t>Prof. Garonna/Prof. Germinara</t>
  </si>
  <si>
    <t>2.5.5 industrie del legno</t>
  </si>
  <si>
    <t>Pseudococcidi invasivi: Phenacoccus peruvianus[PHENPR], Phenacoccus solenopsis [PHENSO]</t>
  </si>
  <si>
    <t>Hibiscus rosa-sinensis, Solanum spp., Capsicum annuum, Citrullus lanatus, Citrus limon, Vitis vinifera</t>
  </si>
  <si>
    <t>Pinus sp.; Pseudotsuga menziesii</t>
  </si>
  <si>
    <t>Monochamus spp.</t>
  </si>
  <si>
    <t>Pinus spp., Pseudotsuga menziesii</t>
  </si>
  <si>
    <t>Colonna 5: 2.5.6. Altri luoghi (Posti di controllo frontalieri)</t>
  </si>
  <si>
    <t>Tuberi, Suolo, Piante</t>
  </si>
  <si>
    <t>Tuberi, Piante</t>
  </si>
  <si>
    <t>Solanum spp., Capsicum annum</t>
  </si>
  <si>
    <t>Solanum sp., Capsicum annum</t>
  </si>
  <si>
    <t>Colonna 5: 3.4.4. Altri luoghi (Posti di controllo frontalieri)</t>
  </si>
  <si>
    <t>Visual symptoms inspection = Other testing 1, Extraction (including morphological identification for nematodes), PCR+Sequencing</t>
  </si>
  <si>
    <t>Solanum sp.</t>
  </si>
  <si>
    <t>Zea mays, Solanum sp., Capsicum annuum, Coriandrum sativum</t>
  </si>
  <si>
    <t>Zea mays, Solanum sp., Capsicum annuum</t>
  </si>
  <si>
    <t>Solanum sp., Capsicum annuum</t>
  </si>
  <si>
    <t>Ditylenchus destructor [DITYDE]</t>
  </si>
  <si>
    <t>Visual symptoms inspection = Other testing 1</t>
  </si>
  <si>
    <t>3.4.4 altri luoghi (specificare), es. altri rivenditori, mercati, area urbana, aree di rischio, siti di produzione forestale per materiale da piantare, aree di rischio, porti, aeroporti, centri per lo stoccaggio ed il trasporto, ecc</t>
  </si>
  <si>
    <t>Pomacea [1POMAG]</t>
  </si>
  <si>
    <t>Molluschi</t>
  </si>
  <si>
    <t>2.5.3 rete di irrigazione e drenaggio</t>
  </si>
  <si>
    <t>Colocasia esculenta, Typha sp.</t>
  </si>
  <si>
    <t>2.5.4 zone umide</t>
  </si>
  <si>
    <t>Candidatus Phytoplasma phoenicium (PHYPPH)</t>
  </si>
  <si>
    <t>PCR, PCR+Sequencing</t>
  </si>
  <si>
    <t>Citrus tristeza virus (non-EU isolates) [CTV000]</t>
  </si>
  <si>
    <t>DTBIA, PCR+Sequencing, LAMP = Molecular testing, Lateral flow = Serological Tests</t>
  </si>
  <si>
    <r>
      <t xml:space="preserve">Grapevine flavescenze doreé and its vector </t>
    </r>
    <r>
      <rPr>
        <b/>
        <i/>
        <sz val="14"/>
        <rFont val="Arial"/>
        <family val="2"/>
      </rPr>
      <t>Scaphoideus titanus</t>
    </r>
    <r>
      <rPr>
        <b/>
        <sz val="14"/>
        <rFont val="Arial"/>
        <family val="2"/>
      </rPr>
      <t xml:space="preserve"> [SCAPLI]</t>
    </r>
  </si>
  <si>
    <t>Scaphoideus titanus</t>
  </si>
  <si>
    <t>Dott.ssa Ruocco/Dott. Bernardo</t>
  </si>
  <si>
    <t>Grapholita inopinata [CYDIIN]</t>
  </si>
  <si>
    <t>Malus sp; Pyrus sp.</t>
  </si>
  <si>
    <t>Maggio; Giugno; Settembre; Ottobre; Novembre</t>
  </si>
  <si>
    <t>Grapholita packardi Zeller [LASPPA]</t>
  </si>
  <si>
    <t>Prunus avium</t>
  </si>
  <si>
    <t>Maggio; Giugno; Luglio; Agosto; Settembre</t>
  </si>
  <si>
    <t>Grapholita prunivora (Walsh) [LASPPR]</t>
  </si>
  <si>
    <t>Prunus avium; Prunus domestica; Malus domestica</t>
  </si>
  <si>
    <t>Capsicum annuum; Gossypium hirsutum; Nicotiana tabacum; Phaseolus vulgaris; Solanum lycopersicum; Solanum melongena; Sorghum bicolor; Zea mays</t>
  </si>
  <si>
    <r>
      <t xml:space="preserve">Rose rosette virus and its vector </t>
    </r>
    <r>
      <rPr>
        <b/>
        <i/>
        <sz val="14"/>
        <rFont val="Arial"/>
        <family val="2"/>
      </rPr>
      <t>Phyllocoptes [1PHYCG ]</t>
    </r>
  </si>
  <si>
    <t>Rosa sp.</t>
  </si>
  <si>
    <t>Saperda candida Fabricius [SAPECN]</t>
  </si>
  <si>
    <t>Cydonia oblonga; Malus domestica</t>
  </si>
  <si>
    <t>Septoria malagutii E.T. Cline [SEPTLM]</t>
  </si>
  <si>
    <t>Altro</t>
  </si>
  <si>
    <t>Sphaerulina musiva (Peck) Quaedvl, Verkley &amp; Crous. [MYCOPP]</t>
  </si>
  <si>
    <t>Real Time Reverse Transcriptasi - PCR = Molecular Testing 4</t>
  </si>
  <si>
    <t>Solanum sp., Capsicum annuum, Cucumis sp., Cucurbita sp.</t>
  </si>
  <si>
    <t xml:space="preserve"> </t>
  </si>
  <si>
    <t>LAMP = Molecular testing; Real-time PCR</t>
  </si>
  <si>
    <t>Erwinia amylovora ZP e ZT</t>
  </si>
  <si>
    <t>6. Siti di indagine numero NA (competenza CE)</t>
  </si>
  <si>
    <t>6. Siti di indagine numero AV (competenza BN)</t>
  </si>
  <si>
    <t>A) numero di esami visivi AV (competenza BN)</t>
  </si>
  <si>
    <t>A) numero di esami visivi NA (competenza CE)</t>
  </si>
  <si>
    <t>B) numero totale di campioni AV (competenza BN)</t>
  </si>
  <si>
    <t>B) numero totale di campioni NA (competenza CE)</t>
  </si>
  <si>
    <t>Prunus sp.; Malus sp.</t>
  </si>
  <si>
    <t xml:space="preserve"> Prunus sp.; Malus sp.</t>
  </si>
  <si>
    <t>Rosmarinus officinalis,  Lavandula spp., Pelargonium spp., Dimorphoteca spp., Vinca spp.</t>
  </si>
  <si>
    <t xml:space="preserve">Solanum sp.; Capsicum; sp.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</si>
</sst>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9C0006"/>
      <name val="Calibri"/>
      <family val="2"/>
      <scheme val="minor"/>
    </font>
    <font>
      <sz val="11"/>
      <color rgb="FF9C5700"/>
      <name val="Calibri"/>
      <family val="2"/>
      <scheme val="minor"/>
    </font>
    <font>
      <sz val="11"/>
      <color rgb="FFFF0000"/>
      <name val="Calibri"/>
      <family val="2"/>
      <scheme val="minor"/>
    </font>
    <font>
      <b/>
      <sz val="11"/>
      <color theme="1"/>
      <name val="Calibri"/>
      <family val="2"/>
      <scheme val="minor"/>
    </font>
    <font>
      <b/>
      <sz val="14"/>
      <name val="Arial"/>
      <family val="2"/>
    </font>
    <font>
      <sz val="14"/>
      <name val="Arial"/>
      <family val="2"/>
    </font>
    <font>
      <i/>
      <sz val="14"/>
      <name val="Arial"/>
      <family val="2"/>
    </font>
    <font>
      <b/>
      <i/>
      <sz val="14"/>
      <name val="Arial"/>
      <family val="2"/>
    </font>
    <font>
      <sz val="14"/>
      <color rgb="FFFF0000"/>
      <name val="Arial"/>
      <family val="2"/>
    </font>
    <font>
      <b/>
      <sz val="14"/>
      <color rgb="FFFF0000"/>
      <name val="Arial"/>
      <family val="2"/>
    </font>
    <font>
      <sz val="11"/>
      <name val="Arial"/>
      <family val="2"/>
    </font>
    <font>
      <b/>
      <sz val="9"/>
      <color indexed="81"/>
      <name val="Tahoma"/>
      <family val="2"/>
    </font>
    <font>
      <sz val="9"/>
      <color indexed="81"/>
      <name val="Tahoma"/>
      <family val="2"/>
    </font>
    <font>
      <sz val="11"/>
      <name val="Calibri"/>
      <family val="2"/>
      <scheme val="minor"/>
    </font>
  </fonts>
  <fills count="20">
    <fill>
      <patternFill patternType="none"/>
    </fill>
    <fill>
      <patternFill patternType="gray125"/>
    </fill>
    <fill>
      <patternFill patternType="solid">
        <fgColor rgb="FFFFC7CE"/>
      </patternFill>
    </fill>
    <fill>
      <patternFill patternType="solid">
        <fgColor rgb="FFFFEB9C"/>
      </patternFill>
    </fill>
    <fill>
      <patternFill patternType="solid">
        <fgColor theme="9" tint="0.7999816888943144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7" tint="-0.249977111117893"/>
        <bgColor indexed="64"/>
      </patternFill>
    </fill>
    <fill>
      <patternFill patternType="solid">
        <fgColor theme="4" tint="0.39997558519241921"/>
        <bgColor indexed="64"/>
      </patternFill>
    </fill>
    <fill>
      <patternFill patternType="solid">
        <fgColor rgb="FF92D050"/>
        <bgColor indexed="64"/>
      </patternFill>
    </fill>
    <fill>
      <patternFill patternType="solid">
        <fgColor rgb="FFFFC000"/>
        <bgColor indexed="64"/>
      </patternFill>
    </fill>
    <fill>
      <patternFill patternType="solid">
        <fgColor theme="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315">
    <xf numFmtId="0" fontId="0" fillId="0" borderId="0" xfId="0"/>
    <xf numFmtId="0" fontId="5" fillId="4" borderId="1" xfId="0" applyFont="1" applyFill="1" applyBorder="1" applyAlignment="1">
      <alignment horizontal="center" vertical="center" wrapText="1"/>
    </xf>
    <xf numFmtId="0" fontId="5" fillId="4" borderId="1" xfId="0" applyFont="1" applyFill="1" applyBorder="1" applyAlignment="1">
      <alignment horizontal="center" vertical="center" textRotation="1" wrapText="1"/>
    </xf>
    <xf numFmtId="0" fontId="5" fillId="4" borderId="2" xfId="0" applyFont="1" applyFill="1" applyBorder="1" applyAlignment="1">
      <alignment horizontal="center" vertical="center" textRotation="1" wrapText="1"/>
    </xf>
    <xf numFmtId="1" fontId="5" fillId="5" borderId="2"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0" xfId="0" applyFont="1" applyFill="1" applyAlignment="1">
      <alignment horizontal="center" vertical="center" wrapText="1"/>
    </xf>
    <xf numFmtId="0" fontId="5" fillId="4" borderId="3" xfId="0" applyFont="1" applyFill="1" applyBorder="1" applyAlignment="1">
      <alignment horizontal="center" vertical="center" wrapText="1"/>
    </xf>
    <xf numFmtId="0" fontId="5" fillId="4" borderId="0" xfId="0" applyFont="1" applyFill="1" applyAlignment="1">
      <alignment horizontal="center" vertical="center" wrapText="1"/>
    </xf>
    <xf numFmtId="0" fontId="6" fillId="0" borderId="0" xfId="0" applyFont="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5" fillId="11" borderId="2" xfId="0" applyFont="1" applyFill="1" applyBorder="1" applyAlignment="1">
      <alignment horizontal="center" vertical="center" wrapText="1"/>
    </xf>
    <xf numFmtId="1" fontId="5" fillId="5" borderId="5" xfId="0" applyNumberFormat="1"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5" fillId="9" borderId="3"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5" fillId="11" borderId="3" xfId="0" applyFont="1" applyFill="1" applyBorder="1" applyAlignment="1">
      <alignment horizontal="center" vertical="center" wrapText="1"/>
    </xf>
    <xf numFmtId="1" fontId="5" fillId="5" borderId="3" xfId="0" applyNumberFormat="1"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12" borderId="3" xfId="0" applyFont="1" applyFill="1" applyBorder="1" applyAlignment="1">
      <alignment horizontal="center" vertical="center" wrapText="1"/>
    </xf>
    <xf numFmtId="0" fontId="5" fillId="13" borderId="3" xfId="0" applyFont="1" applyFill="1" applyBorder="1" applyAlignment="1">
      <alignment horizontal="center" vertical="center" wrapText="1"/>
    </xf>
    <xf numFmtId="0" fontId="5" fillId="14" borderId="3" xfId="0" applyFont="1" applyFill="1" applyBorder="1" applyAlignment="1">
      <alignment horizontal="center" vertical="center" wrapText="1"/>
    </xf>
    <xf numFmtId="0" fontId="5" fillId="0" borderId="2" xfId="0" applyFont="1" applyBorder="1" applyAlignment="1">
      <alignment vertical="center" textRotation="255" wrapText="1"/>
    </xf>
    <xf numFmtId="0" fontId="6" fillId="15" borderId="3" xfId="0" applyFont="1" applyFill="1" applyBorder="1" applyAlignment="1">
      <alignment vertical="center" wrapText="1"/>
    </xf>
    <xf numFmtId="0" fontId="5" fillId="15" borderId="3" xfId="0" applyFont="1" applyFill="1" applyBorder="1" applyAlignment="1">
      <alignment vertical="center" wrapText="1"/>
    </xf>
    <xf numFmtId="0" fontId="5" fillId="15" borderId="3" xfId="0" applyFont="1" applyFill="1" applyBorder="1" applyAlignment="1">
      <alignment horizontal="center" vertical="center" wrapText="1"/>
    </xf>
    <xf numFmtId="0" fontId="6" fillId="15" borderId="3" xfId="0" applyFont="1" applyFill="1" applyBorder="1" applyAlignment="1">
      <alignment horizontal="center" vertical="center" wrapText="1"/>
    </xf>
    <xf numFmtId="1" fontId="6" fillId="5" borderId="3" xfId="0" applyNumberFormat="1" applyFont="1" applyFill="1" applyBorder="1" applyAlignment="1">
      <alignment horizontal="center" vertical="center" wrapText="1"/>
    </xf>
    <xf numFmtId="1" fontId="6" fillId="6" borderId="3" xfId="0" applyNumberFormat="1" applyFont="1" applyFill="1" applyBorder="1" applyAlignment="1">
      <alignment horizontal="center" vertical="center" wrapText="1"/>
    </xf>
    <xf numFmtId="0" fontId="7" fillId="15" borderId="3" xfId="0" applyFont="1" applyFill="1" applyBorder="1" applyAlignment="1">
      <alignment horizontal="center" vertical="center" wrapText="1"/>
    </xf>
    <xf numFmtId="1" fontId="6" fillId="7" borderId="3" xfId="0" applyNumberFormat="1" applyFont="1" applyFill="1" applyBorder="1" applyAlignment="1">
      <alignment horizontal="center" vertical="center" wrapText="1"/>
    </xf>
    <xf numFmtId="1" fontId="6" fillId="8" borderId="3" xfId="0" applyNumberFormat="1" applyFont="1" applyFill="1" applyBorder="1" applyAlignment="1">
      <alignment horizontal="center" vertical="center" wrapText="1"/>
    </xf>
    <xf numFmtId="1" fontId="6" fillId="9" borderId="3" xfId="0" applyNumberFormat="1" applyFont="1" applyFill="1" applyBorder="1" applyAlignment="1">
      <alignment horizontal="center" vertical="center" wrapText="1"/>
    </xf>
    <xf numFmtId="1" fontId="6" fillId="10" borderId="3" xfId="0" applyNumberFormat="1" applyFont="1" applyFill="1" applyBorder="1" applyAlignment="1">
      <alignment horizontal="center" vertical="center" wrapText="1"/>
    </xf>
    <xf numFmtId="1" fontId="6" fillId="11" borderId="3" xfId="0" applyNumberFormat="1" applyFont="1" applyFill="1" applyBorder="1" applyAlignment="1">
      <alignment horizontal="center" vertical="center" wrapText="1"/>
    </xf>
    <xf numFmtId="0" fontId="6" fillId="5" borderId="3" xfId="0" applyFont="1" applyFill="1" applyBorder="1" applyAlignment="1">
      <alignment horizontal="center" vertical="center" wrapText="1"/>
    </xf>
    <xf numFmtId="1" fontId="6" fillId="8" borderId="1" xfId="0" applyNumberFormat="1" applyFont="1" applyFill="1" applyBorder="1" applyAlignment="1">
      <alignment horizontal="center" vertical="center" wrapText="1"/>
    </xf>
    <xf numFmtId="1" fontId="6" fillId="9" borderId="1" xfId="0" applyNumberFormat="1" applyFont="1" applyFill="1" applyBorder="1" applyAlignment="1">
      <alignment horizontal="center" vertical="center" wrapText="1"/>
    </xf>
    <xf numFmtId="1" fontId="6" fillId="10" borderId="1"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3" borderId="3" xfId="0" applyFont="1" applyFill="1" applyBorder="1" applyAlignment="1">
      <alignment horizontal="center" vertical="center" wrapText="1"/>
    </xf>
    <xf numFmtId="0" fontId="6" fillId="14" borderId="3" xfId="0" applyFont="1" applyFill="1" applyBorder="1" applyAlignment="1">
      <alignment horizontal="center" vertical="center" wrapText="1"/>
    </xf>
    <xf numFmtId="0" fontId="5" fillId="0" borderId="7" xfId="0" applyFont="1" applyBorder="1" applyAlignment="1">
      <alignment vertical="center" textRotation="255" wrapText="1"/>
    </xf>
    <xf numFmtId="0" fontId="5" fillId="16" borderId="3" xfId="0" applyFont="1" applyFill="1" applyBorder="1" applyAlignment="1">
      <alignment horizontal="center" vertical="center" wrapText="1"/>
    </xf>
    <xf numFmtId="1" fontId="5" fillId="16" borderId="3" xfId="0" applyNumberFormat="1" applyFont="1" applyFill="1" applyBorder="1" applyAlignment="1">
      <alignment horizontal="center" vertical="center" wrapText="1"/>
    </xf>
    <xf numFmtId="0" fontId="8" fillId="16" borderId="3" xfId="0" applyFont="1" applyFill="1" applyBorder="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vertical="center"/>
    </xf>
    <xf numFmtId="0" fontId="5" fillId="16" borderId="0" xfId="0" applyFont="1" applyFill="1" applyAlignment="1">
      <alignment horizontal="center" vertical="center" wrapText="1"/>
    </xf>
    <xf numFmtId="0" fontId="6" fillId="8" borderId="3" xfId="0" applyFont="1" applyFill="1" applyBorder="1" applyAlignment="1">
      <alignment horizontal="center" vertical="center" wrapText="1"/>
    </xf>
    <xf numFmtId="0" fontId="6" fillId="9" borderId="3"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6" fillId="11" borderId="4" xfId="0" applyFont="1" applyFill="1" applyBorder="1" applyAlignment="1">
      <alignment horizontal="center" vertical="center" wrapText="1"/>
    </xf>
    <xf numFmtId="0" fontId="6" fillId="9" borderId="4" xfId="0" applyFont="1" applyFill="1" applyBorder="1" applyAlignment="1">
      <alignment horizontal="center" vertical="center" wrapText="1"/>
    </xf>
    <xf numFmtId="1" fontId="6" fillId="11" borderId="4" xfId="0" applyNumberFormat="1" applyFont="1" applyFill="1" applyBorder="1" applyAlignment="1">
      <alignment horizontal="center" vertical="center"/>
    </xf>
    <xf numFmtId="0" fontId="6" fillId="0" borderId="7" xfId="0" applyFont="1" applyBorder="1" applyAlignment="1">
      <alignment horizontal="center" vertical="center" wrapText="1"/>
    </xf>
    <xf numFmtId="0" fontId="5" fillId="0" borderId="2" xfId="0" applyFont="1" applyBorder="1" applyAlignment="1">
      <alignment vertical="center" textRotation="255"/>
    </xf>
    <xf numFmtId="0" fontId="6" fillId="15" borderId="3" xfId="0" applyFont="1" applyFill="1" applyBorder="1" applyAlignment="1">
      <alignment horizontal="center" vertical="center"/>
    </xf>
    <xf numFmtId="1" fontId="6" fillId="7" borderId="4" xfId="0" applyNumberFormat="1" applyFont="1" applyFill="1" applyBorder="1" applyAlignment="1">
      <alignment horizontal="center" vertical="center"/>
    </xf>
    <xf numFmtId="1" fontId="6" fillId="8" borderId="4" xfId="0" applyNumberFormat="1" applyFont="1" applyFill="1" applyBorder="1" applyAlignment="1">
      <alignment horizontal="center" vertical="center"/>
    </xf>
    <xf numFmtId="1" fontId="6" fillId="9" borderId="4" xfId="0" applyNumberFormat="1" applyFont="1" applyFill="1" applyBorder="1" applyAlignment="1">
      <alignment horizontal="center" vertical="center"/>
    </xf>
    <xf numFmtId="1" fontId="6" fillId="10" borderId="4" xfId="0" applyNumberFormat="1" applyFont="1" applyFill="1" applyBorder="1" applyAlignment="1">
      <alignment horizontal="center" vertical="center"/>
    </xf>
    <xf numFmtId="0" fontId="6" fillId="5" borderId="3" xfId="0" applyFont="1" applyFill="1" applyBorder="1" applyAlignment="1">
      <alignment horizontal="center" vertical="center"/>
    </xf>
    <xf numFmtId="1" fontId="6" fillId="6" borderId="3" xfId="0" applyNumberFormat="1" applyFont="1" applyFill="1" applyBorder="1" applyAlignment="1">
      <alignment horizontal="center" vertical="center"/>
    </xf>
    <xf numFmtId="0" fontId="6" fillId="6" borderId="3" xfId="0" applyFont="1" applyFill="1" applyBorder="1" applyAlignment="1">
      <alignment horizontal="center" vertical="center"/>
    </xf>
    <xf numFmtId="0" fontId="6" fillId="12" borderId="3" xfId="0" applyFont="1" applyFill="1" applyBorder="1" applyAlignment="1">
      <alignment horizontal="center" vertical="center"/>
    </xf>
    <xf numFmtId="0" fontId="6" fillId="13" borderId="3" xfId="0" applyFont="1" applyFill="1" applyBorder="1" applyAlignment="1">
      <alignment horizontal="center" vertical="center"/>
    </xf>
    <xf numFmtId="0" fontId="6" fillId="14" borderId="3" xfId="0" applyFont="1" applyFill="1" applyBorder="1" applyAlignment="1">
      <alignment horizontal="center" vertical="center"/>
    </xf>
    <xf numFmtId="0" fontId="6" fillId="15" borderId="3" xfId="0" applyFont="1" applyFill="1" applyBorder="1" applyAlignment="1">
      <alignment horizontal="center" wrapText="1"/>
    </xf>
    <xf numFmtId="0" fontId="6" fillId="0" borderId="0" xfId="0" applyFont="1" applyAlignment="1">
      <alignment horizontal="center" vertical="center"/>
    </xf>
    <xf numFmtId="0" fontId="5" fillId="0" borderId="7" xfId="0" applyFont="1" applyBorder="1" applyAlignment="1">
      <alignment vertical="center" textRotation="255"/>
    </xf>
    <xf numFmtId="0" fontId="6" fillId="16" borderId="0" xfId="0" applyFont="1" applyFill="1" applyAlignment="1">
      <alignment horizontal="center" vertical="center"/>
    </xf>
    <xf numFmtId="0" fontId="9" fillId="5" borderId="3" xfId="0" applyFont="1" applyFill="1" applyBorder="1" applyAlignment="1">
      <alignment horizontal="center" vertical="center"/>
    </xf>
    <xf numFmtId="1" fontId="6" fillId="11" borderId="3" xfId="0" applyNumberFormat="1" applyFont="1" applyFill="1" applyBorder="1" applyAlignment="1">
      <alignment horizontal="center" vertical="center"/>
    </xf>
    <xf numFmtId="0" fontId="6" fillId="0" borderId="0" xfId="0" applyFont="1" applyAlignment="1">
      <alignment horizontal="center" wrapText="1"/>
    </xf>
    <xf numFmtId="0" fontId="5" fillId="16" borderId="3" xfId="0" applyFont="1" applyFill="1" applyBorder="1" applyAlignment="1">
      <alignment horizontal="center" vertical="center"/>
    </xf>
    <xf numFmtId="1" fontId="5" fillId="16" borderId="3" xfId="0" applyNumberFormat="1" applyFont="1" applyFill="1" applyBorder="1" applyAlignment="1">
      <alignment horizontal="center" vertical="center"/>
    </xf>
    <xf numFmtId="0" fontId="6" fillId="16" borderId="3" xfId="0" applyFont="1" applyFill="1" applyBorder="1" applyAlignment="1">
      <alignment horizontal="center" vertical="center" wrapText="1"/>
    </xf>
    <xf numFmtId="0" fontId="8" fillId="16" borderId="3" xfId="0" applyFont="1" applyFill="1" applyBorder="1" applyAlignment="1">
      <alignment horizontal="center" vertical="center"/>
    </xf>
    <xf numFmtId="0" fontId="6" fillId="16" borderId="3" xfId="0" applyFont="1" applyFill="1" applyBorder="1" applyAlignment="1">
      <alignment horizontal="center" wrapText="1"/>
    </xf>
    <xf numFmtId="0" fontId="6" fillId="0" borderId="7" xfId="0" applyFont="1" applyBorder="1" applyAlignment="1">
      <alignment horizontal="center" vertical="center"/>
    </xf>
    <xf numFmtId="1" fontId="6" fillId="7" borderId="3" xfId="0" applyNumberFormat="1" applyFont="1" applyFill="1" applyBorder="1" applyAlignment="1">
      <alignment horizontal="center" vertical="center"/>
    </xf>
    <xf numFmtId="1" fontId="6" fillId="8" borderId="3" xfId="0" applyNumberFormat="1" applyFont="1" applyFill="1" applyBorder="1" applyAlignment="1">
      <alignment horizontal="center" vertical="center"/>
    </xf>
    <xf numFmtId="1" fontId="6" fillId="9" borderId="3" xfId="0" applyNumberFormat="1" applyFont="1" applyFill="1" applyBorder="1" applyAlignment="1">
      <alignment horizontal="center" vertical="center"/>
    </xf>
    <xf numFmtId="1" fontId="6" fillId="10" borderId="3" xfId="0" applyNumberFormat="1" applyFont="1" applyFill="1" applyBorder="1" applyAlignment="1">
      <alignment horizontal="center" vertical="center"/>
    </xf>
    <xf numFmtId="0" fontId="6" fillId="15" borderId="3" xfId="0" applyFont="1" applyFill="1" applyBorder="1" applyAlignment="1">
      <alignment vertical="center"/>
    </xf>
    <xf numFmtId="0" fontId="6" fillId="6" borderId="3" xfId="0" applyFont="1" applyFill="1" applyBorder="1" applyAlignment="1">
      <alignment vertical="center"/>
    </xf>
    <xf numFmtId="0" fontId="6" fillId="0" borderId="0" xfId="0" applyFont="1" applyAlignment="1">
      <alignment vertical="center"/>
    </xf>
    <xf numFmtId="0" fontId="5" fillId="16" borderId="3" xfId="0" applyFont="1" applyFill="1" applyBorder="1" applyAlignment="1">
      <alignment vertical="center"/>
    </xf>
    <xf numFmtId="0" fontId="6" fillId="16" borderId="0" xfId="0" applyFont="1" applyFill="1" applyAlignment="1">
      <alignment vertical="center"/>
    </xf>
    <xf numFmtId="0" fontId="6" fillId="13" borderId="0" xfId="0" applyFont="1" applyFill="1" applyAlignment="1">
      <alignment vertical="center"/>
    </xf>
    <xf numFmtId="1" fontId="10" fillId="16" borderId="3" xfId="0" applyNumberFormat="1" applyFont="1" applyFill="1" applyBorder="1" applyAlignment="1">
      <alignment horizontal="center" vertical="center"/>
    </xf>
    <xf numFmtId="0" fontId="6" fillId="11" borderId="3" xfId="0" applyFont="1" applyFill="1" applyBorder="1" applyAlignment="1">
      <alignment horizontal="center" vertical="center"/>
    </xf>
    <xf numFmtId="0" fontId="6" fillId="17" borderId="0" xfId="0" applyFont="1" applyFill="1" applyAlignment="1">
      <alignment vertical="center"/>
    </xf>
    <xf numFmtId="0" fontId="6" fillId="7" borderId="1" xfId="0" applyFont="1" applyFill="1" applyBorder="1" applyAlignment="1">
      <alignment horizontal="center" vertical="center"/>
    </xf>
    <xf numFmtId="1" fontId="6" fillId="8" borderId="1" xfId="0" applyNumberFormat="1" applyFont="1" applyFill="1" applyBorder="1" applyAlignment="1">
      <alignment horizontal="center" vertical="center"/>
    </xf>
    <xf numFmtId="1" fontId="6" fillId="9" borderId="1" xfId="0" applyNumberFormat="1" applyFont="1" applyFill="1" applyBorder="1" applyAlignment="1">
      <alignment horizontal="center" vertical="center"/>
    </xf>
    <xf numFmtId="1" fontId="6" fillId="10" borderId="1" xfId="0" applyNumberFormat="1" applyFont="1" applyFill="1" applyBorder="1" applyAlignment="1">
      <alignment horizontal="center" vertical="center"/>
    </xf>
    <xf numFmtId="1" fontId="6" fillId="11" borderId="1" xfId="0" applyNumberFormat="1" applyFont="1" applyFill="1" applyBorder="1" applyAlignment="1">
      <alignment horizontal="center" vertical="center"/>
    </xf>
    <xf numFmtId="1" fontId="6" fillId="7" borderId="1" xfId="0" applyNumberFormat="1" applyFont="1" applyFill="1" applyBorder="1" applyAlignment="1">
      <alignment horizontal="center" vertical="center"/>
    </xf>
    <xf numFmtId="0" fontId="5" fillId="15" borderId="3" xfId="0" applyFont="1" applyFill="1" applyBorder="1" applyAlignment="1">
      <alignment horizontal="center" vertical="center"/>
    </xf>
    <xf numFmtId="49" fontId="6" fillId="15" borderId="3" xfId="0" applyNumberFormat="1" applyFont="1" applyFill="1" applyBorder="1" applyAlignment="1">
      <alignment horizontal="center" vertical="center" wrapText="1"/>
    </xf>
    <xf numFmtId="0" fontId="6" fillId="16" borderId="0" xfId="0" applyFont="1" applyFill="1" applyAlignment="1">
      <alignment horizontal="center" vertical="center" wrapText="1"/>
    </xf>
    <xf numFmtId="0" fontId="7" fillId="16" borderId="3" xfId="0" applyFont="1" applyFill="1" applyBorder="1" applyAlignment="1">
      <alignment horizontal="center" vertical="center" wrapText="1"/>
    </xf>
    <xf numFmtId="0" fontId="6" fillId="8" borderId="4" xfId="0" applyFont="1" applyFill="1" applyBorder="1" applyAlignment="1">
      <alignment horizontal="center" vertical="center"/>
    </xf>
    <xf numFmtId="0" fontId="6" fillId="9" borderId="4" xfId="0" applyFont="1" applyFill="1" applyBorder="1" applyAlignment="1">
      <alignment horizontal="center" vertical="center"/>
    </xf>
    <xf numFmtId="0" fontId="6" fillId="11" borderId="4" xfId="0" applyFont="1" applyFill="1" applyBorder="1" applyAlignment="1">
      <alignment horizontal="center" vertical="center"/>
    </xf>
    <xf numFmtId="0" fontId="5" fillId="18" borderId="3" xfId="0" applyFont="1" applyFill="1" applyBorder="1" applyAlignment="1">
      <alignment vertical="center" wrapText="1"/>
    </xf>
    <xf numFmtId="0" fontId="5" fillId="0" borderId="3" xfId="0" applyFont="1" applyBorder="1" applyAlignment="1">
      <alignment vertical="center" wrapText="1"/>
    </xf>
    <xf numFmtId="0" fontId="5"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7" fillId="0" borderId="3" xfId="0" applyFont="1" applyBorder="1" applyAlignment="1">
      <alignment horizontal="center" vertical="center" wrapText="1"/>
    </xf>
    <xf numFmtId="1" fontId="6" fillId="0" borderId="3" xfId="0" applyNumberFormat="1" applyFont="1" applyBorder="1" applyAlignment="1">
      <alignment horizontal="center" vertical="center" wrapText="1"/>
    </xf>
    <xf numFmtId="1" fontId="6" fillId="12" borderId="3" xfId="0" applyNumberFormat="1" applyFont="1" applyFill="1" applyBorder="1" applyAlignment="1">
      <alignment horizontal="center" vertical="center" wrapText="1"/>
    </xf>
    <xf numFmtId="1" fontId="6" fillId="13" borderId="3" xfId="0" applyNumberFormat="1" applyFont="1" applyFill="1" applyBorder="1" applyAlignment="1">
      <alignment horizontal="center" vertical="center" wrapText="1"/>
    </xf>
    <xf numFmtId="1" fontId="6" fillId="14" borderId="3" xfId="0" applyNumberFormat="1" applyFont="1" applyFill="1" applyBorder="1" applyAlignment="1">
      <alignment horizontal="center" vertical="center" wrapText="1"/>
    </xf>
    <xf numFmtId="1" fontId="6" fillId="5" borderId="1" xfId="0" applyNumberFormat="1" applyFont="1" applyFill="1" applyBorder="1" applyAlignment="1">
      <alignment horizontal="center" vertical="center" wrapText="1"/>
    </xf>
    <xf numFmtId="1" fontId="6" fillId="6" borderId="1" xfId="0" applyNumberFormat="1" applyFont="1" applyFill="1" applyBorder="1" applyAlignment="1">
      <alignment horizontal="center" vertical="center" wrapText="1"/>
    </xf>
    <xf numFmtId="0" fontId="5" fillId="19" borderId="3" xfId="0" applyFont="1" applyFill="1" applyBorder="1" applyAlignment="1">
      <alignment horizontal="center" vertical="center" wrapText="1"/>
    </xf>
    <xf numFmtId="1" fontId="5" fillId="19" borderId="3" xfId="0" applyNumberFormat="1" applyFont="1" applyFill="1" applyBorder="1" applyAlignment="1">
      <alignment horizontal="center" vertical="center" wrapText="1"/>
    </xf>
    <xf numFmtId="0" fontId="6" fillId="19" borderId="3" xfId="0" applyFont="1" applyFill="1" applyBorder="1" applyAlignment="1">
      <alignment horizontal="center" vertical="center" wrapText="1"/>
    </xf>
    <xf numFmtId="49" fontId="5" fillId="19" borderId="3" xfId="0" applyNumberFormat="1" applyFont="1" applyFill="1" applyBorder="1" applyAlignment="1">
      <alignment horizontal="center" vertical="center" wrapText="1"/>
    </xf>
    <xf numFmtId="1" fontId="10" fillId="19" borderId="3" xfId="0" applyNumberFormat="1" applyFont="1" applyFill="1" applyBorder="1" applyAlignment="1">
      <alignment horizontal="center" vertical="center" wrapText="1"/>
    </xf>
    <xf numFmtId="0" fontId="6" fillId="0" borderId="3" xfId="0" applyFont="1" applyBorder="1" applyAlignment="1">
      <alignment vertical="center" wrapText="1"/>
    </xf>
    <xf numFmtId="1" fontId="6" fillId="5" borderId="3" xfId="0" applyNumberFormat="1" applyFont="1" applyFill="1" applyBorder="1" applyAlignment="1">
      <alignment horizontal="center" vertical="center"/>
    </xf>
    <xf numFmtId="0" fontId="6" fillId="0" borderId="3" xfId="2" applyFont="1" applyFill="1" applyBorder="1" applyAlignment="1">
      <alignment vertical="center"/>
    </xf>
    <xf numFmtId="49" fontId="6" fillId="0" borderId="3" xfId="0" applyNumberFormat="1" applyFont="1" applyBorder="1" applyAlignment="1">
      <alignment horizontal="center" vertical="center" wrapText="1"/>
    </xf>
    <xf numFmtId="0" fontId="6" fillId="0" borderId="3" xfId="0" applyFont="1" applyBorder="1" applyAlignment="1">
      <alignment horizontal="center" vertical="center"/>
    </xf>
    <xf numFmtId="0" fontId="6" fillId="0" borderId="3" xfId="0" applyFont="1" applyBorder="1" applyAlignment="1">
      <alignment vertical="center"/>
    </xf>
    <xf numFmtId="0" fontId="5" fillId="0" borderId="3" xfId="0" applyFont="1" applyBorder="1" applyAlignment="1">
      <alignment horizontal="center" vertical="center"/>
    </xf>
    <xf numFmtId="0" fontId="6" fillId="0" borderId="3" xfId="2" applyFont="1" applyFill="1" applyBorder="1" applyAlignment="1">
      <alignment horizontal="center" vertical="center"/>
    </xf>
    <xf numFmtId="0" fontId="7" fillId="0" borderId="3" xfId="0" applyFont="1" applyBorder="1" applyAlignment="1">
      <alignment horizontal="center" vertical="center"/>
    </xf>
    <xf numFmtId="1" fontId="6" fillId="18" borderId="3" xfId="0" applyNumberFormat="1" applyFont="1" applyFill="1" applyBorder="1" applyAlignment="1">
      <alignment horizontal="center" vertical="center" wrapText="1"/>
    </xf>
    <xf numFmtId="0" fontId="5" fillId="19" borderId="3" xfId="0" applyFont="1" applyFill="1" applyBorder="1" applyAlignment="1">
      <alignment horizontal="center" vertical="center"/>
    </xf>
    <xf numFmtId="1" fontId="5" fillId="19" borderId="3" xfId="0" applyNumberFormat="1" applyFont="1" applyFill="1" applyBorder="1" applyAlignment="1">
      <alignment horizontal="center" vertical="center"/>
    </xf>
    <xf numFmtId="0" fontId="5" fillId="0" borderId="0" xfId="0" applyFont="1" applyAlignment="1">
      <alignment horizontal="center" vertical="center"/>
    </xf>
    <xf numFmtId="0" fontId="5" fillId="0" borderId="1" xfId="0" applyFont="1" applyBorder="1" applyAlignment="1">
      <alignment horizontal="center" vertical="center"/>
    </xf>
    <xf numFmtId="0" fontId="5" fillId="18" borderId="3" xfId="0" applyFont="1" applyFill="1" applyBorder="1" applyAlignment="1">
      <alignment horizontal="center" vertical="center" wrapText="1"/>
    </xf>
    <xf numFmtId="0" fontId="6" fillId="18" borderId="3" xfId="0" applyFont="1" applyFill="1" applyBorder="1" applyAlignment="1">
      <alignment horizontal="center" vertical="center" wrapText="1"/>
    </xf>
    <xf numFmtId="1" fontId="5" fillId="0" borderId="3" xfId="0" applyNumberFormat="1" applyFont="1" applyBorder="1" applyAlignment="1">
      <alignment horizontal="center" vertical="center" wrapText="1"/>
    </xf>
    <xf numFmtId="1" fontId="6" fillId="19" borderId="3" xfId="0" applyNumberFormat="1" applyFont="1" applyFill="1" applyBorder="1" applyAlignment="1">
      <alignment horizontal="center" vertical="center" wrapText="1"/>
    </xf>
    <xf numFmtId="1" fontId="6" fillId="0" borderId="0" xfId="0" applyNumberFormat="1" applyFont="1" applyAlignment="1">
      <alignment horizontal="center" vertical="center"/>
    </xf>
    <xf numFmtId="1" fontId="6" fillId="0" borderId="3" xfId="0" applyNumberFormat="1" applyFont="1" applyBorder="1" applyAlignment="1">
      <alignment horizontal="center" vertical="center"/>
    </xf>
    <xf numFmtId="1" fontId="5" fillId="19" borderId="3" xfId="1" applyNumberFormat="1" applyFont="1" applyFill="1" applyBorder="1" applyAlignment="1">
      <alignment horizontal="center" vertical="center" wrapText="1"/>
    </xf>
    <xf numFmtId="1" fontId="5" fillId="19" borderId="3" xfId="1" applyNumberFormat="1" applyFont="1" applyFill="1" applyBorder="1" applyAlignment="1">
      <alignment horizontal="center" vertical="center"/>
    </xf>
    <xf numFmtId="1" fontId="8" fillId="19" borderId="3" xfId="1" applyNumberFormat="1" applyFont="1" applyFill="1" applyBorder="1" applyAlignment="1">
      <alignment horizontal="center" vertical="center" wrapText="1"/>
    </xf>
    <xf numFmtId="0" fontId="5" fillId="19" borderId="3" xfId="1" applyFont="1" applyFill="1" applyBorder="1" applyAlignment="1">
      <alignment horizontal="center" vertical="center" wrapText="1"/>
    </xf>
    <xf numFmtId="0" fontId="5" fillId="19" borderId="3" xfId="1" applyFont="1" applyFill="1" applyBorder="1" applyAlignment="1">
      <alignment horizontal="center" vertical="center"/>
    </xf>
    <xf numFmtId="0" fontId="8" fillId="19" borderId="3" xfId="1" applyFont="1" applyFill="1" applyBorder="1" applyAlignment="1">
      <alignment horizontal="center" vertical="center" wrapText="1"/>
    </xf>
    <xf numFmtId="49" fontId="5" fillId="19" borderId="3" xfId="1" applyNumberFormat="1" applyFont="1" applyFill="1" applyBorder="1" applyAlignment="1">
      <alignment horizontal="center" vertical="center" wrapText="1"/>
    </xf>
    <xf numFmtId="0" fontId="6" fillId="18" borderId="3" xfId="0" applyFont="1" applyFill="1" applyBorder="1" applyAlignment="1">
      <alignment horizontal="center" vertical="center"/>
    </xf>
    <xf numFmtId="0" fontId="7" fillId="18" borderId="3" xfId="0" applyFont="1" applyFill="1" applyBorder="1" applyAlignment="1">
      <alignment horizontal="center" vertical="center" wrapText="1"/>
    </xf>
    <xf numFmtId="1" fontId="6" fillId="12" borderId="3" xfId="0" applyNumberFormat="1" applyFont="1" applyFill="1" applyBorder="1" applyAlignment="1">
      <alignment horizontal="center" vertical="center"/>
    </xf>
    <xf numFmtId="1" fontId="6" fillId="13" borderId="3" xfId="0" applyNumberFormat="1" applyFont="1" applyFill="1" applyBorder="1" applyAlignment="1">
      <alignment horizontal="center" vertical="center"/>
    </xf>
    <xf numFmtId="1" fontId="6" fillId="14" borderId="3" xfId="0" applyNumberFormat="1" applyFont="1" applyFill="1" applyBorder="1" applyAlignment="1">
      <alignment horizontal="center" vertical="center"/>
    </xf>
    <xf numFmtId="49" fontId="6" fillId="6" borderId="3" xfId="0" applyNumberFormat="1" applyFont="1" applyFill="1" applyBorder="1" applyAlignment="1">
      <alignment horizontal="center" vertical="center" wrapText="1"/>
    </xf>
    <xf numFmtId="0" fontId="5" fillId="18" borderId="3" xfId="0" applyFont="1" applyFill="1" applyBorder="1" applyAlignment="1">
      <alignment horizontal="center" vertical="center"/>
    </xf>
    <xf numFmtId="0" fontId="6" fillId="18" borderId="0" xfId="0" applyFont="1" applyFill="1" applyAlignment="1">
      <alignment horizontal="center" vertical="center"/>
    </xf>
    <xf numFmtId="0" fontId="5" fillId="0" borderId="3" xfId="2" applyFont="1" applyFill="1" applyBorder="1" applyAlignment="1">
      <alignment horizontal="center" vertical="center" wrapText="1"/>
    </xf>
    <xf numFmtId="49" fontId="6" fillId="0" borderId="3" xfId="0" applyNumberFormat="1" applyFont="1" applyBorder="1" applyAlignment="1">
      <alignment horizontal="center" vertical="center"/>
    </xf>
    <xf numFmtId="49" fontId="7" fillId="0" borderId="3" xfId="0" applyNumberFormat="1" applyFont="1" applyBorder="1" applyAlignment="1">
      <alignment horizontal="center" vertical="center" wrapText="1"/>
    </xf>
    <xf numFmtId="49" fontId="6" fillId="6" borderId="3" xfId="0" applyNumberFormat="1" applyFont="1" applyFill="1" applyBorder="1" applyAlignment="1">
      <alignment horizontal="center" vertical="center"/>
    </xf>
    <xf numFmtId="0" fontId="11" fillId="0" borderId="3" xfId="0" applyFont="1" applyBorder="1" applyAlignment="1">
      <alignment horizontal="center" vertical="center" wrapText="1"/>
    </xf>
    <xf numFmtId="0" fontId="8" fillId="19" borderId="3" xfId="0" applyFont="1" applyFill="1" applyBorder="1" applyAlignment="1">
      <alignment horizontal="center" vertical="center" wrapText="1"/>
    </xf>
    <xf numFmtId="49" fontId="8" fillId="19" borderId="3" xfId="0" applyNumberFormat="1" applyFont="1" applyFill="1" applyBorder="1" applyAlignment="1">
      <alignment horizontal="center" vertical="center" wrapText="1"/>
    </xf>
    <xf numFmtId="0" fontId="5" fillId="19" borderId="1" xfId="0" applyFont="1" applyFill="1" applyBorder="1" applyAlignment="1">
      <alignment horizontal="center" vertical="center"/>
    </xf>
    <xf numFmtId="0" fontId="6" fillId="0" borderId="3" xfId="0" applyFont="1" applyBorder="1" applyAlignment="1">
      <alignment horizontal="center" wrapText="1"/>
    </xf>
    <xf numFmtId="0" fontId="6" fillId="0" borderId="0" xfId="0" applyFont="1" applyAlignment="1">
      <alignment vertical="center" wrapText="1"/>
    </xf>
    <xf numFmtId="0" fontId="5" fillId="19" borderId="3" xfId="0" applyFont="1" applyFill="1" applyBorder="1" applyAlignment="1">
      <alignment vertical="center"/>
    </xf>
    <xf numFmtId="0" fontId="5" fillId="19" borderId="3" xfId="0" applyFont="1" applyFill="1" applyBorder="1" applyAlignment="1">
      <alignment vertical="center" wrapText="1"/>
    </xf>
    <xf numFmtId="49" fontId="5" fillId="19" borderId="3" xfId="0" applyNumberFormat="1" applyFont="1" applyFill="1" applyBorder="1" applyAlignment="1">
      <alignment vertical="center" wrapText="1"/>
    </xf>
    <xf numFmtId="0" fontId="6" fillId="19" borderId="3" xfId="0" applyFont="1" applyFill="1" applyBorder="1" applyAlignment="1">
      <alignment horizontal="center" wrapText="1"/>
    </xf>
    <xf numFmtId="0" fontId="5" fillId="0" borderId="0" xfId="0" applyFont="1" applyAlignment="1">
      <alignment vertical="center"/>
    </xf>
    <xf numFmtId="0" fontId="6" fillId="18" borderId="2" xfId="0" applyFont="1" applyFill="1" applyBorder="1" applyAlignment="1">
      <alignment vertical="center" wrapText="1"/>
    </xf>
    <xf numFmtId="0" fontId="6" fillId="0" borderId="3" xfId="0" applyFont="1" applyBorder="1" applyAlignment="1">
      <alignment horizontal="left" vertical="center" wrapText="1"/>
    </xf>
    <xf numFmtId="0" fontId="6" fillId="18" borderId="7" xfId="0" applyFont="1" applyFill="1" applyBorder="1" applyAlignment="1">
      <alignment vertical="center" wrapText="1"/>
    </xf>
    <xf numFmtId="0" fontId="6" fillId="18" borderId="5" xfId="0" applyFont="1" applyFill="1" applyBorder="1" applyAlignment="1">
      <alignment vertical="center" wrapText="1"/>
    </xf>
    <xf numFmtId="0" fontId="5" fillId="19" borderId="3" xfId="0" applyFont="1" applyFill="1" applyBorder="1" applyAlignment="1">
      <alignment horizontal="left" vertical="center" wrapText="1"/>
    </xf>
    <xf numFmtId="0" fontId="5" fillId="19" borderId="0" xfId="0" applyFont="1" applyFill="1" applyAlignment="1">
      <alignment vertical="center"/>
    </xf>
    <xf numFmtId="0" fontId="6" fillId="0" borderId="0" xfId="0" applyFont="1" applyAlignment="1">
      <alignment wrapText="1"/>
    </xf>
    <xf numFmtId="0" fontId="4" fillId="0" borderId="0" xfId="0" applyFont="1"/>
    <xf numFmtId="0" fontId="0" fillId="0" borderId="0" xfId="0" applyAlignment="1">
      <alignment wrapText="1"/>
    </xf>
    <xf numFmtId="0" fontId="0" fillId="0" borderId="0" xfId="0" applyAlignment="1">
      <alignment horizontal="center"/>
    </xf>
    <xf numFmtId="0" fontId="3" fillId="0" borderId="0" xfId="0" applyFont="1"/>
    <xf numFmtId="0" fontId="7" fillId="0" borderId="0" xfId="0" applyFont="1" applyAlignment="1">
      <alignment horizontal="center" vertical="center" wrapText="1"/>
    </xf>
    <xf numFmtId="1" fontId="5" fillId="7" borderId="1" xfId="0" applyNumberFormat="1" applyFont="1" applyFill="1" applyBorder="1" applyAlignment="1">
      <alignment horizontal="center" vertical="center" wrapText="1"/>
    </xf>
    <xf numFmtId="1" fontId="5" fillId="7" borderId="3" xfId="0" applyNumberFormat="1" applyFont="1" applyFill="1" applyBorder="1" applyAlignment="1">
      <alignment horizontal="center" vertical="center" wrapText="1"/>
    </xf>
    <xf numFmtId="1" fontId="5" fillId="7" borderId="4" xfId="0" applyNumberFormat="1" applyFont="1" applyFill="1" applyBorder="1" applyAlignment="1">
      <alignment horizontal="center" vertical="center"/>
    </xf>
    <xf numFmtId="1" fontId="5" fillId="7" borderId="3" xfId="0" applyNumberFormat="1" applyFont="1" applyFill="1" applyBorder="1" applyAlignment="1">
      <alignment horizontal="center" vertical="center"/>
    </xf>
    <xf numFmtId="0" fontId="5" fillId="7" borderId="1" xfId="0" applyFont="1" applyFill="1" applyBorder="1" applyAlignment="1">
      <alignment horizontal="center" vertical="center"/>
    </xf>
    <xf numFmtId="1" fontId="5" fillId="7" borderId="1" xfId="0" applyNumberFormat="1" applyFont="1" applyFill="1" applyBorder="1" applyAlignment="1">
      <alignment horizontal="center" vertical="center"/>
    </xf>
    <xf numFmtId="0" fontId="6" fillId="10" borderId="4" xfId="0" applyFont="1" applyFill="1" applyBorder="1" applyAlignment="1">
      <alignment horizontal="center" vertical="center"/>
    </xf>
    <xf numFmtId="0" fontId="14" fillId="0" borderId="0" xfId="0" applyFont="1"/>
    <xf numFmtId="0" fontId="5" fillId="4" borderId="3" xfId="0" applyFont="1" applyFill="1" applyBorder="1" applyAlignment="1">
      <alignment horizontal="center" vertical="center" wrapText="1"/>
    </xf>
    <xf numFmtId="0" fontId="6" fillId="15" borderId="3" xfId="0" applyFont="1" applyFill="1" applyBorder="1" applyAlignment="1">
      <alignment horizontal="center" vertical="center" wrapText="1"/>
    </xf>
    <xf numFmtId="1" fontId="6" fillId="7" borderId="6" xfId="0" applyNumberFormat="1" applyFont="1" applyFill="1" applyBorder="1" applyAlignment="1">
      <alignment horizontal="center" vertical="center" wrapText="1"/>
    </xf>
    <xf numFmtId="1" fontId="6" fillId="7" borderId="4" xfId="0" applyNumberFormat="1" applyFont="1" applyFill="1" applyBorder="1" applyAlignment="1">
      <alignment horizontal="center" vertical="center" wrapText="1"/>
    </xf>
    <xf numFmtId="1" fontId="6" fillId="8" borderId="6" xfId="0" applyNumberFormat="1" applyFont="1" applyFill="1" applyBorder="1" applyAlignment="1">
      <alignment horizontal="center" vertical="center" wrapText="1"/>
    </xf>
    <xf numFmtId="1" fontId="6" fillId="8" borderId="4" xfId="0" applyNumberFormat="1" applyFont="1" applyFill="1" applyBorder="1" applyAlignment="1">
      <alignment horizontal="center" vertical="center" wrapText="1"/>
    </xf>
    <xf numFmtId="1" fontId="6" fillId="9" borderId="6" xfId="0" applyNumberFormat="1" applyFont="1" applyFill="1" applyBorder="1" applyAlignment="1">
      <alignment horizontal="center" vertical="center" wrapText="1"/>
    </xf>
    <xf numFmtId="1" fontId="6" fillId="9" borderId="4" xfId="0" applyNumberFormat="1" applyFont="1" applyFill="1" applyBorder="1" applyAlignment="1">
      <alignment horizontal="center" vertical="center" wrapText="1"/>
    </xf>
    <xf numFmtId="1" fontId="6" fillId="10" borderId="6" xfId="0" applyNumberFormat="1" applyFont="1" applyFill="1" applyBorder="1" applyAlignment="1">
      <alignment horizontal="center" vertical="center" wrapText="1"/>
    </xf>
    <xf numFmtId="1" fontId="6" fillId="10" borderId="4" xfId="0" applyNumberFormat="1" applyFont="1" applyFill="1" applyBorder="1" applyAlignment="1">
      <alignment horizontal="center" vertical="center" wrapText="1"/>
    </xf>
    <xf numFmtId="1" fontId="6" fillId="11" borderId="6" xfId="0" applyNumberFormat="1" applyFont="1" applyFill="1" applyBorder="1" applyAlignment="1">
      <alignment horizontal="center" vertical="center" wrapText="1"/>
    </xf>
    <xf numFmtId="1" fontId="6" fillId="11" borderId="4" xfId="0" applyNumberFormat="1" applyFont="1" applyFill="1" applyBorder="1" applyAlignment="1">
      <alignment horizontal="center" vertical="center" wrapText="1"/>
    </xf>
    <xf numFmtId="1" fontId="6" fillId="5" borderId="3" xfId="0" applyNumberFormat="1" applyFont="1" applyFill="1" applyBorder="1" applyAlignment="1">
      <alignment horizontal="center" vertical="center" wrapText="1"/>
    </xf>
    <xf numFmtId="0" fontId="6" fillId="5" borderId="3" xfId="0" applyFont="1" applyFill="1" applyBorder="1" applyAlignment="1">
      <alignment horizontal="center" vertical="center" wrapText="1"/>
    </xf>
    <xf numFmtId="1" fontId="6" fillId="6" borderId="3" xfId="0" applyNumberFormat="1" applyFont="1" applyFill="1" applyBorder="1" applyAlignment="1">
      <alignment horizontal="center" vertical="center" wrapText="1"/>
    </xf>
    <xf numFmtId="0" fontId="6" fillId="15" borderId="3" xfId="0" applyFont="1" applyFill="1" applyBorder="1" applyAlignment="1">
      <alignment horizontal="center" vertical="center"/>
    </xf>
    <xf numFmtId="0" fontId="6" fillId="6" borderId="3" xfId="0" applyFont="1" applyFill="1" applyBorder="1" applyAlignment="1">
      <alignment horizontal="center" vertical="center" wrapText="1"/>
    </xf>
    <xf numFmtId="1" fontId="6" fillId="7" borderId="1" xfId="0" applyNumberFormat="1" applyFont="1" applyFill="1" applyBorder="1" applyAlignment="1">
      <alignment horizontal="center" vertical="center" wrapText="1"/>
    </xf>
    <xf numFmtId="1" fontId="6" fillId="8" borderId="1" xfId="0" applyNumberFormat="1" applyFont="1" applyFill="1" applyBorder="1" applyAlignment="1">
      <alignment horizontal="center" vertical="center" wrapText="1"/>
    </xf>
    <xf numFmtId="1" fontId="6" fillId="9" borderId="1" xfId="0" applyNumberFormat="1" applyFont="1" applyFill="1" applyBorder="1" applyAlignment="1">
      <alignment horizontal="center" vertical="center" wrapText="1"/>
    </xf>
    <xf numFmtId="1" fontId="6" fillId="10" borderId="1" xfId="0" applyNumberFormat="1" applyFont="1" applyFill="1" applyBorder="1" applyAlignment="1">
      <alignment horizontal="center" vertical="center" wrapText="1"/>
    </xf>
    <xf numFmtId="1" fontId="6" fillId="11" borderId="1" xfId="0" applyNumberFormat="1" applyFont="1" applyFill="1" applyBorder="1" applyAlignment="1">
      <alignment horizontal="center" vertical="center" wrapText="1"/>
    </xf>
    <xf numFmtId="1" fontId="6" fillId="9" borderId="1" xfId="0" applyNumberFormat="1" applyFont="1" applyFill="1" applyBorder="1" applyAlignment="1">
      <alignment horizontal="center" vertical="center"/>
    </xf>
    <xf numFmtId="1" fontId="6" fillId="9" borderId="4" xfId="0" applyNumberFormat="1" applyFont="1" applyFill="1" applyBorder="1" applyAlignment="1">
      <alignment horizontal="center" vertical="center"/>
    </xf>
    <xf numFmtId="1" fontId="6" fillId="10" borderId="1" xfId="0" applyNumberFormat="1" applyFont="1" applyFill="1" applyBorder="1" applyAlignment="1">
      <alignment horizontal="center" vertical="center"/>
    </xf>
    <xf numFmtId="1" fontId="6" fillId="10" borderId="4"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5" fillId="7" borderId="4" xfId="0" applyFont="1" applyFill="1" applyBorder="1" applyAlignment="1">
      <alignment horizontal="center" vertical="center"/>
    </xf>
    <xf numFmtId="1" fontId="6" fillId="8" borderId="1" xfId="0" applyNumberFormat="1" applyFont="1" applyFill="1" applyBorder="1" applyAlignment="1">
      <alignment horizontal="center" vertical="center"/>
    </xf>
    <xf numFmtId="1" fontId="6" fillId="8" borderId="4" xfId="0" applyNumberFormat="1" applyFont="1" applyFill="1" applyBorder="1" applyAlignment="1">
      <alignment horizontal="center" vertical="center"/>
    </xf>
    <xf numFmtId="1" fontId="6" fillId="11" borderId="1" xfId="0" applyNumberFormat="1" applyFont="1" applyFill="1" applyBorder="1" applyAlignment="1">
      <alignment horizontal="center" vertical="center"/>
    </xf>
    <xf numFmtId="1" fontId="6" fillId="11" borderId="4" xfId="0" applyNumberFormat="1" applyFont="1" applyFill="1" applyBorder="1" applyAlignment="1">
      <alignment horizontal="center" vertical="center"/>
    </xf>
    <xf numFmtId="0" fontId="6" fillId="5" borderId="3" xfId="0" applyFont="1" applyFill="1" applyBorder="1" applyAlignment="1">
      <alignment horizontal="center" vertical="center"/>
    </xf>
    <xf numFmtId="0" fontId="7" fillId="15" borderId="3" xfId="0" applyFont="1" applyFill="1" applyBorder="1" applyAlignment="1">
      <alignment horizontal="center" vertical="center" wrapText="1"/>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1" fontId="5" fillId="7" borderId="1" xfId="0" applyNumberFormat="1" applyFont="1" applyFill="1" applyBorder="1" applyAlignment="1">
      <alignment horizontal="center" vertical="center"/>
    </xf>
    <xf numFmtId="1" fontId="5" fillId="7" borderId="4" xfId="0" applyNumberFormat="1" applyFont="1" applyFill="1" applyBorder="1" applyAlignment="1">
      <alignment horizontal="center" vertical="center"/>
    </xf>
    <xf numFmtId="1" fontId="6" fillId="7" borderId="1" xfId="0" applyNumberFormat="1" applyFont="1" applyFill="1" applyBorder="1" applyAlignment="1">
      <alignment horizontal="center" vertical="center"/>
    </xf>
    <xf numFmtId="1" fontId="6" fillId="7" borderId="4" xfId="0" applyNumberFormat="1" applyFont="1" applyFill="1" applyBorder="1" applyAlignment="1">
      <alignment horizontal="center" vertical="center"/>
    </xf>
    <xf numFmtId="1" fontId="6" fillId="6" borderId="3" xfId="0" applyNumberFormat="1" applyFont="1" applyFill="1" applyBorder="1" applyAlignment="1">
      <alignment horizontal="center" vertical="center"/>
    </xf>
    <xf numFmtId="0" fontId="6" fillId="6" borderId="3" xfId="0" applyFont="1" applyFill="1" applyBorder="1" applyAlignment="1">
      <alignment horizontal="center" vertical="center"/>
    </xf>
    <xf numFmtId="0" fontId="6" fillId="15" borderId="1" xfId="0" applyFont="1" applyFill="1" applyBorder="1" applyAlignment="1">
      <alignment horizontal="center" vertical="center"/>
    </xf>
    <xf numFmtId="0" fontId="6" fillId="15" borderId="6" xfId="0" applyFont="1" applyFill="1" applyBorder="1" applyAlignment="1">
      <alignment horizontal="center" vertical="center"/>
    </xf>
    <xf numFmtId="0" fontId="6" fillId="15" borderId="4" xfId="0" applyFont="1" applyFill="1" applyBorder="1" applyAlignment="1">
      <alignment horizontal="center" vertical="center"/>
    </xf>
    <xf numFmtId="1" fontId="5" fillId="7" borderId="1" xfId="0" applyNumberFormat="1" applyFont="1" applyFill="1" applyBorder="1" applyAlignment="1">
      <alignment horizontal="center" vertical="center" wrapText="1"/>
    </xf>
    <xf numFmtId="1" fontId="5" fillId="7" borderId="4"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6" xfId="0" applyFont="1" applyBorder="1" applyAlignment="1">
      <alignment horizontal="center" vertical="center" wrapText="1"/>
    </xf>
    <xf numFmtId="0" fontId="6" fillId="0" borderId="3" xfId="0" applyFont="1" applyBorder="1" applyAlignment="1">
      <alignment horizontal="center" vertical="center" wrapText="1"/>
    </xf>
    <xf numFmtId="1" fontId="6" fillId="7" borderId="6" xfId="0" applyNumberFormat="1" applyFont="1" applyFill="1" applyBorder="1" applyAlignment="1">
      <alignment horizontal="center" vertical="center"/>
    </xf>
    <xf numFmtId="1" fontId="6" fillId="8" borderId="6" xfId="0" applyNumberFormat="1" applyFont="1" applyFill="1" applyBorder="1" applyAlignment="1">
      <alignment horizontal="center" vertical="center"/>
    </xf>
    <xf numFmtId="1" fontId="6" fillId="9" borderId="6" xfId="0" applyNumberFormat="1" applyFont="1" applyFill="1" applyBorder="1" applyAlignment="1">
      <alignment horizontal="center" vertical="center"/>
    </xf>
    <xf numFmtId="1" fontId="6" fillId="10" borderId="6" xfId="0" applyNumberFormat="1" applyFont="1" applyFill="1" applyBorder="1" applyAlignment="1">
      <alignment horizontal="center" vertical="center"/>
    </xf>
    <xf numFmtId="1" fontId="6" fillId="0" borderId="3" xfId="0" applyNumberFormat="1" applyFont="1" applyBorder="1" applyAlignment="1">
      <alignment horizontal="center" vertical="center" wrapText="1"/>
    </xf>
    <xf numFmtId="1" fontId="5" fillId="7" borderId="6" xfId="0" applyNumberFormat="1" applyFont="1" applyFill="1" applyBorder="1" applyAlignment="1">
      <alignment horizontal="center" vertical="center"/>
    </xf>
    <xf numFmtId="1" fontId="6" fillId="11" borderId="6" xfId="0" applyNumberFormat="1" applyFont="1" applyFill="1" applyBorder="1" applyAlignment="1">
      <alignment horizontal="center" vertical="center"/>
    </xf>
    <xf numFmtId="0" fontId="5" fillId="0" borderId="1" xfId="0" applyFont="1" applyBorder="1" applyAlignment="1">
      <alignment horizontal="center" vertical="center" wrapText="1"/>
    </xf>
    <xf numFmtId="0" fontId="5" fillId="0" borderId="4" xfId="0" applyFont="1" applyBorder="1" applyAlignment="1">
      <alignment horizontal="center" vertical="center" wrapText="1"/>
    </xf>
    <xf numFmtId="1" fontId="5" fillId="7" borderId="3" xfId="0" applyNumberFormat="1" applyFont="1" applyFill="1" applyBorder="1" applyAlignment="1">
      <alignment horizontal="center" vertical="center" wrapText="1"/>
    </xf>
    <xf numFmtId="1" fontId="5" fillId="7" borderId="6" xfId="0" applyNumberFormat="1" applyFont="1" applyFill="1" applyBorder="1" applyAlignment="1">
      <alignment horizontal="center" vertical="center" wrapText="1"/>
    </xf>
    <xf numFmtId="0" fontId="5" fillId="0" borderId="6" xfId="0" applyFont="1" applyBorder="1" applyAlignment="1">
      <alignment horizontal="center" vertical="center" wrapText="1"/>
    </xf>
    <xf numFmtId="1" fontId="6" fillId="8" borderId="3" xfId="0" applyNumberFormat="1" applyFont="1" applyFill="1" applyBorder="1" applyAlignment="1">
      <alignment horizontal="center" vertical="center" wrapText="1"/>
    </xf>
    <xf numFmtId="1" fontId="6" fillId="9" borderId="3" xfId="0" applyNumberFormat="1" applyFont="1" applyFill="1" applyBorder="1" applyAlignment="1">
      <alignment horizontal="center" vertical="center" wrapText="1"/>
    </xf>
    <xf numFmtId="1" fontId="6" fillId="11" borderId="3" xfId="0" applyNumberFormat="1" applyFont="1" applyFill="1" applyBorder="1" applyAlignment="1">
      <alignment horizontal="center" vertical="center" wrapText="1"/>
    </xf>
    <xf numFmtId="0" fontId="5" fillId="0" borderId="1" xfId="0" applyFont="1" applyBorder="1" applyAlignment="1">
      <alignment horizontal="center" vertical="center"/>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6" fillId="0" borderId="4" xfId="0" applyFont="1" applyBorder="1" applyAlignment="1">
      <alignment horizontal="center" vertical="center" wrapText="1"/>
    </xf>
    <xf numFmtId="0" fontId="6" fillId="0" borderId="3" xfId="0" applyFont="1" applyBorder="1" applyAlignment="1">
      <alignment horizontal="center" vertical="center"/>
    </xf>
    <xf numFmtId="0" fontId="6" fillId="0" borderId="1" xfId="0" applyFont="1" applyBorder="1" applyAlignment="1">
      <alignment horizontal="center" vertical="center"/>
    </xf>
    <xf numFmtId="0" fontId="6" fillId="0" borderId="6" xfId="0" applyFont="1" applyBorder="1" applyAlignment="1">
      <alignment horizontal="center" vertical="center"/>
    </xf>
    <xf numFmtId="0" fontId="6" fillId="0" borderId="4" xfId="0" applyFont="1" applyBorder="1" applyAlignment="1">
      <alignment horizontal="center" vertical="center"/>
    </xf>
    <xf numFmtId="0" fontId="7" fillId="0" borderId="3" xfId="0" applyFont="1" applyBorder="1" applyAlignment="1">
      <alignment horizontal="center" vertical="center" wrapText="1"/>
    </xf>
    <xf numFmtId="49" fontId="6" fillId="0" borderId="3" xfId="0" applyNumberFormat="1" applyFont="1" applyBorder="1" applyAlignment="1">
      <alignment horizontal="center" vertical="center" wrapText="1"/>
    </xf>
    <xf numFmtId="1" fontId="6" fillId="5" borderId="3" xfId="0" applyNumberFormat="1" applyFont="1" applyFill="1" applyBorder="1" applyAlignment="1">
      <alignment horizontal="center" vertical="center"/>
    </xf>
    <xf numFmtId="0" fontId="6" fillId="0" borderId="3" xfId="2" applyFont="1" applyFill="1" applyBorder="1" applyAlignment="1">
      <alignment horizontal="center" vertical="center"/>
    </xf>
    <xf numFmtId="0" fontId="6" fillId="18" borderId="3" xfId="0" applyFont="1" applyFill="1" applyBorder="1" applyAlignment="1">
      <alignment horizontal="center" vertical="center"/>
    </xf>
    <xf numFmtId="1" fontId="6" fillId="12" borderId="3" xfId="0" applyNumberFormat="1" applyFont="1" applyFill="1" applyBorder="1" applyAlignment="1">
      <alignment horizontal="center" vertical="center"/>
    </xf>
    <xf numFmtId="1" fontId="6" fillId="13" borderId="3" xfId="0" applyNumberFormat="1" applyFont="1" applyFill="1" applyBorder="1" applyAlignment="1">
      <alignment horizontal="center" vertical="center"/>
    </xf>
    <xf numFmtId="1" fontId="6" fillId="14" borderId="3" xfId="0" applyNumberFormat="1" applyFont="1" applyFill="1" applyBorder="1" applyAlignment="1">
      <alignment horizontal="center" vertical="center"/>
    </xf>
    <xf numFmtId="49" fontId="6" fillId="6" borderId="3" xfId="0" applyNumberFormat="1" applyFont="1" applyFill="1" applyBorder="1" applyAlignment="1">
      <alignment horizontal="center" vertical="center" wrapText="1"/>
    </xf>
    <xf numFmtId="0" fontId="7" fillId="18" borderId="3" xfId="0" applyFont="1" applyFill="1" applyBorder="1" applyAlignment="1">
      <alignment horizontal="center" vertical="center" wrapText="1"/>
    </xf>
    <xf numFmtId="0" fontId="6" fillId="18" borderId="3"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4" xfId="0" applyFont="1" applyBorder="1" applyAlignment="1">
      <alignment horizontal="center" vertical="center" wrapText="1"/>
    </xf>
    <xf numFmtId="49" fontId="6" fillId="0" borderId="1" xfId="0" applyNumberFormat="1" applyFont="1" applyBorder="1" applyAlignment="1">
      <alignment horizontal="center" vertical="center"/>
    </xf>
    <xf numFmtId="49" fontId="6" fillId="0" borderId="6" xfId="0" applyNumberFormat="1" applyFont="1" applyBorder="1" applyAlignment="1">
      <alignment horizontal="center" vertical="center"/>
    </xf>
    <xf numFmtId="49" fontId="6" fillId="0" borderId="4" xfId="0" applyNumberFormat="1" applyFont="1" applyBorder="1" applyAlignment="1">
      <alignment horizontal="center" vertical="center"/>
    </xf>
    <xf numFmtId="1" fontId="6" fillId="0" borderId="3" xfId="0" applyNumberFormat="1" applyFont="1" applyBorder="1" applyAlignment="1">
      <alignment horizontal="center" vertical="center"/>
    </xf>
    <xf numFmtId="1" fontId="6" fillId="5" borderId="1" xfId="0" applyNumberFormat="1" applyFont="1" applyFill="1" applyBorder="1" applyAlignment="1">
      <alignment horizontal="center" vertical="center" wrapText="1"/>
    </xf>
    <xf numFmtId="1" fontId="6" fillId="5" borderId="6" xfId="0" applyNumberFormat="1" applyFont="1" applyFill="1" applyBorder="1" applyAlignment="1">
      <alignment horizontal="center" vertical="center" wrapText="1"/>
    </xf>
    <xf numFmtId="1" fontId="6" fillId="5" borderId="4" xfId="0" applyNumberFormat="1" applyFont="1" applyFill="1" applyBorder="1" applyAlignment="1">
      <alignment horizontal="center" vertical="center" wrapText="1"/>
    </xf>
    <xf numFmtId="0" fontId="5" fillId="18" borderId="7" xfId="0" applyFont="1" applyFill="1" applyBorder="1" applyAlignment="1">
      <alignment vertical="center" textRotation="255" wrapText="1"/>
    </xf>
    <xf numFmtId="0" fontId="6" fillId="18" borderId="7" xfId="0" applyFont="1" applyFill="1" applyBorder="1" applyAlignment="1">
      <alignment horizontal="center" vertical="center"/>
    </xf>
    <xf numFmtId="0" fontId="5" fillId="18" borderId="2" xfId="0" applyFont="1" applyFill="1" applyBorder="1" applyAlignment="1">
      <alignment vertical="center" textRotation="255" wrapText="1"/>
    </xf>
    <xf numFmtId="0" fontId="5" fillId="18" borderId="7" xfId="0" applyFont="1" applyFill="1" applyBorder="1" applyAlignment="1">
      <alignment vertical="center"/>
    </xf>
    <xf numFmtId="0" fontId="5" fillId="18" borderId="5" xfId="0" applyFont="1" applyFill="1" applyBorder="1" applyAlignment="1">
      <alignment vertical="center"/>
    </xf>
    <xf numFmtId="0" fontId="5" fillId="18" borderId="2" xfId="0" applyFont="1" applyFill="1" applyBorder="1" applyAlignment="1">
      <alignment horizontal="center" vertical="center" textRotation="255" wrapText="1"/>
    </xf>
    <xf numFmtId="0" fontId="5" fillId="18" borderId="7" xfId="0" applyFont="1" applyFill="1" applyBorder="1" applyAlignment="1">
      <alignment horizontal="center" vertical="center" textRotation="255" wrapText="1"/>
    </xf>
    <xf numFmtId="0" fontId="5" fillId="18" borderId="7" xfId="0" applyFont="1" applyFill="1" applyBorder="1" applyAlignment="1">
      <alignment horizontal="center" vertical="center" textRotation="255" wrapText="1"/>
    </xf>
    <xf numFmtId="0" fontId="6" fillId="18" borderId="7" xfId="0" applyFont="1" applyFill="1" applyBorder="1" applyAlignment="1">
      <alignment horizontal="center" vertical="center" wrapText="1"/>
    </xf>
    <xf numFmtId="0" fontId="6" fillId="18" borderId="6" xfId="0" applyFont="1" applyFill="1" applyBorder="1" applyAlignment="1">
      <alignment horizontal="center" vertical="center" wrapText="1"/>
    </xf>
    <xf numFmtId="0" fontId="6" fillId="18" borderId="4" xfId="0" applyFont="1" applyFill="1" applyBorder="1" applyAlignment="1">
      <alignment horizontal="center" vertical="center" wrapText="1"/>
    </xf>
    <xf numFmtId="0" fontId="5" fillId="18" borderId="2" xfId="0" applyFont="1" applyFill="1" applyBorder="1" applyAlignment="1">
      <alignment vertical="center" textRotation="255"/>
    </xf>
    <xf numFmtId="0" fontId="5" fillId="18" borderId="7" xfId="0" applyFont="1" applyFill="1" applyBorder="1" applyAlignment="1">
      <alignment vertical="center" textRotation="255"/>
    </xf>
    <xf numFmtId="1" fontId="5" fillId="18" borderId="7" xfId="0" applyNumberFormat="1" applyFont="1" applyFill="1" applyBorder="1" applyAlignment="1">
      <alignment vertical="center" textRotation="255"/>
    </xf>
    <xf numFmtId="0" fontId="6" fillId="18" borderId="8" xfId="0" applyFont="1" applyFill="1" applyBorder="1" applyAlignment="1">
      <alignment horizontal="center" vertical="center"/>
    </xf>
    <xf numFmtId="0" fontId="5" fillId="18" borderId="7" xfId="0" applyFont="1" applyFill="1" applyBorder="1" applyAlignment="1">
      <alignment horizontal="center" vertical="center" textRotation="255"/>
    </xf>
    <xf numFmtId="0" fontId="6" fillId="18" borderId="0" xfId="0" applyFont="1" applyFill="1" applyAlignment="1">
      <alignment vertical="center"/>
    </xf>
    <xf numFmtId="0" fontId="5" fillId="18" borderId="7" xfId="0" applyFont="1" applyFill="1" applyBorder="1" applyAlignment="1">
      <alignment horizontal="center" vertical="center" wrapText="1"/>
    </xf>
    <xf numFmtId="0" fontId="5" fillId="18" borderId="3" xfId="2" applyFont="1" applyFill="1" applyBorder="1" applyAlignment="1">
      <alignment vertical="center" wrapText="1"/>
    </xf>
  </cellXfs>
  <cellStyles count="3">
    <cellStyle name="Neutrale" xfId="2" builtinId="28"/>
    <cellStyle name="Normale" xfId="0" builtinId="0"/>
    <cellStyle name="Valore non valido" xfId="1" builtin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6411F-C411-41D2-A8BF-DE39C8D91681}">
  <dimension ref="A1:JZ710"/>
  <sheetViews>
    <sheetView tabSelected="1" topLeftCell="A2" zoomScale="50" zoomScaleNormal="50" workbookViewId="0">
      <pane ySplit="1" topLeftCell="A3" activePane="bottomLeft" state="frozen"/>
      <selection activeCell="N2" sqref="N2"/>
      <selection pane="bottomLeft" activeCell="C681" sqref="C152:C681"/>
    </sheetView>
  </sheetViews>
  <sheetFormatPr defaultRowHeight="15" x14ac:dyDescent="0.25"/>
  <cols>
    <col min="1" max="1" width="11.28515625" customWidth="1"/>
    <col min="2" max="2" width="32.42578125" customWidth="1"/>
    <col min="3" max="3" width="43.5703125" style="189" customWidth="1"/>
    <col min="4" max="4" width="29.140625" style="190" customWidth="1"/>
    <col min="5" max="5" width="21.5703125" customWidth="1"/>
    <col min="6" max="6" width="18.28515625" style="191" customWidth="1"/>
    <col min="7" max="7" width="31.28515625" customWidth="1"/>
    <col min="8" max="8" width="23.42578125" customWidth="1"/>
    <col min="9" max="9" width="23.42578125" style="192" hidden="1" customWidth="1"/>
    <col min="10" max="10" width="23.42578125" hidden="1" customWidth="1"/>
    <col min="11" max="11" width="27.85546875" hidden="1" customWidth="1"/>
    <col min="12" max="12" width="23.42578125" style="192" hidden="1" customWidth="1"/>
    <col min="13" max="13" width="23.42578125" style="201" hidden="1" customWidth="1"/>
    <col min="14" max="14" width="20.5703125" customWidth="1"/>
    <col min="15" max="15" width="22" customWidth="1"/>
    <col min="16" max="16" width="14.42578125" customWidth="1"/>
    <col min="17" max="17" width="17.42578125" customWidth="1"/>
    <col min="18" max="18" width="29.28515625" customWidth="1"/>
    <col min="19" max="19" width="42.42578125" customWidth="1"/>
    <col min="20" max="20" width="49.5703125" customWidth="1"/>
    <col min="21" max="21" width="21.5703125" customWidth="1"/>
    <col min="22" max="22" width="21.5703125" style="192" hidden="1" customWidth="1"/>
    <col min="23" max="24" width="21.5703125" hidden="1" customWidth="1"/>
    <col min="25" max="25" width="21.5703125" style="201" hidden="1" customWidth="1"/>
    <col min="26" max="26" width="21.5703125" hidden="1" customWidth="1"/>
    <col min="27" max="27" width="25.5703125" customWidth="1"/>
    <col min="28" max="28" width="19.85546875" customWidth="1"/>
    <col min="29" max="29" width="19.140625" customWidth="1"/>
    <col min="30" max="30" width="19.140625" style="192" hidden="1" customWidth="1"/>
    <col min="31" max="32" width="19.140625" hidden="1" customWidth="1"/>
    <col min="33" max="33" width="19.140625" style="201" hidden="1" customWidth="1"/>
    <col min="34" max="34" width="19.140625" hidden="1" customWidth="1"/>
    <col min="35" max="35" width="18.5703125" customWidth="1"/>
    <col min="36" max="36" width="27.85546875" customWidth="1"/>
    <col min="37" max="37" width="34.5703125" bestFit="1" customWidth="1"/>
    <col min="38" max="38" width="27.28515625" customWidth="1"/>
    <col min="39" max="39" width="18.140625" customWidth="1"/>
    <col min="40" max="40" width="24.5703125" customWidth="1"/>
    <col min="41" max="41" width="18.7109375" customWidth="1"/>
    <col min="42" max="42" width="61.5703125" customWidth="1"/>
    <col min="43" max="43" width="14.140625" customWidth="1"/>
    <col min="44" max="44" width="17" customWidth="1"/>
    <col min="45" max="45" width="13.140625" customWidth="1"/>
    <col min="47" max="47" width="20.28515625" customWidth="1"/>
    <col min="48" max="48" width="27" customWidth="1"/>
    <col min="49" max="49" width="68.5703125" customWidth="1"/>
    <col min="50" max="50" width="67.5703125" customWidth="1"/>
  </cols>
  <sheetData>
    <row r="1" spans="1:286" s="9" customFormat="1" ht="18" hidden="1" x14ac:dyDescent="0.25">
      <c r="A1" s="1"/>
      <c r="B1" s="1"/>
      <c r="C1" s="1"/>
      <c r="D1" s="1"/>
      <c r="E1" s="1"/>
      <c r="F1" s="1"/>
      <c r="G1" s="2"/>
      <c r="H1" s="3"/>
      <c r="I1" s="3"/>
      <c r="J1" s="3"/>
      <c r="K1" s="3"/>
      <c r="L1" s="3"/>
      <c r="M1" s="3"/>
      <c r="N1" s="4"/>
      <c r="O1" s="5"/>
      <c r="P1" s="6"/>
      <c r="Q1" s="1"/>
      <c r="R1" s="1"/>
      <c r="S1" s="1"/>
      <c r="T1" s="1"/>
      <c r="U1" s="202" t="s">
        <v>0</v>
      </c>
      <c r="V1" s="202"/>
      <c r="W1" s="202"/>
      <c r="X1" s="202"/>
      <c r="Y1" s="202"/>
      <c r="Z1" s="202"/>
      <c r="AA1" s="202"/>
      <c r="AB1" s="202"/>
      <c r="AC1" s="202"/>
      <c r="AD1" s="202"/>
      <c r="AE1" s="202"/>
      <c r="AF1" s="202"/>
      <c r="AG1" s="202"/>
      <c r="AH1" s="202"/>
      <c r="AI1" s="202"/>
      <c r="AJ1" s="202"/>
      <c r="AK1" s="202"/>
      <c r="AL1" s="202"/>
      <c r="AM1" s="202"/>
      <c r="AN1" s="202"/>
      <c r="AO1" s="202"/>
      <c r="AP1" s="202"/>
      <c r="AQ1" s="202"/>
      <c r="AR1" s="202"/>
      <c r="AS1" s="202"/>
      <c r="AT1" s="202"/>
      <c r="AU1" s="202"/>
      <c r="AV1" s="202"/>
      <c r="AW1" s="8"/>
      <c r="AX1" s="1"/>
    </row>
    <row r="2" spans="1:286" s="9" customFormat="1" ht="90" x14ac:dyDescent="0.25">
      <c r="A2" s="10" t="s">
        <v>1</v>
      </c>
      <c r="B2" s="10" t="s">
        <v>2</v>
      </c>
      <c r="C2" s="10" t="s">
        <v>3</v>
      </c>
      <c r="D2" s="10" t="s">
        <v>4</v>
      </c>
      <c r="E2" s="10" t="s">
        <v>5</v>
      </c>
      <c r="F2" s="10" t="s">
        <v>6</v>
      </c>
      <c r="G2" s="10" t="s">
        <v>7</v>
      </c>
      <c r="H2" s="11" t="s">
        <v>8</v>
      </c>
      <c r="I2" s="12" t="s">
        <v>474</v>
      </c>
      <c r="J2" s="13" t="s">
        <v>9</v>
      </c>
      <c r="K2" s="14" t="s">
        <v>10</v>
      </c>
      <c r="L2" s="15" t="s">
        <v>473</v>
      </c>
      <c r="M2" s="16" t="s">
        <v>11</v>
      </c>
      <c r="N2" s="17" t="s">
        <v>12</v>
      </c>
      <c r="O2" s="18" t="s">
        <v>13</v>
      </c>
      <c r="P2" s="6" t="s">
        <v>14</v>
      </c>
      <c r="Q2" s="10" t="s">
        <v>15</v>
      </c>
      <c r="R2" s="10" t="s">
        <v>16</v>
      </c>
      <c r="S2" s="10" t="s">
        <v>17</v>
      </c>
      <c r="T2" s="10" t="s">
        <v>18</v>
      </c>
      <c r="U2" s="7" t="s">
        <v>19</v>
      </c>
      <c r="V2" s="19" t="s">
        <v>475</v>
      </c>
      <c r="W2" s="20" t="s">
        <v>20</v>
      </c>
      <c r="X2" s="21" t="s">
        <v>21</v>
      </c>
      <c r="Y2" s="22" t="s">
        <v>476</v>
      </c>
      <c r="Z2" s="23" t="s">
        <v>22</v>
      </c>
      <c r="AA2" s="24" t="s">
        <v>23</v>
      </c>
      <c r="AB2" s="25" t="s">
        <v>24</v>
      </c>
      <c r="AC2" s="7" t="s">
        <v>25</v>
      </c>
      <c r="AD2" s="19" t="s">
        <v>477</v>
      </c>
      <c r="AE2" s="20" t="s">
        <v>26</v>
      </c>
      <c r="AF2" s="21" t="s">
        <v>27</v>
      </c>
      <c r="AG2" s="22" t="s">
        <v>478</v>
      </c>
      <c r="AH2" s="23" t="s">
        <v>28</v>
      </c>
      <c r="AI2" s="24" t="s">
        <v>29</v>
      </c>
      <c r="AJ2" s="25" t="s">
        <v>30</v>
      </c>
      <c r="AK2" s="7" t="s">
        <v>31</v>
      </c>
      <c r="AL2" s="7" t="s">
        <v>32</v>
      </c>
      <c r="AM2" s="25" t="s">
        <v>33</v>
      </c>
      <c r="AN2" s="7" t="s">
        <v>34</v>
      </c>
      <c r="AO2" s="25" t="s">
        <v>35</v>
      </c>
      <c r="AP2" s="7" t="s">
        <v>36</v>
      </c>
      <c r="AQ2" s="7" t="s">
        <v>37</v>
      </c>
      <c r="AR2" s="26" t="s">
        <v>38</v>
      </c>
      <c r="AS2" s="27" t="s">
        <v>39</v>
      </c>
      <c r="AT2" s="28" t="s">
        <v>40</v>
      </c>
      <c r="AU2" s="7" t="s">
        <v>41</v>
      </c>
      <c r="AV2" s="7" t="s">
        <v>42</v>
      </c>
      <c r="AW2" s="8" t="s">
        <v>43</v>
      </c>
      <c r="AX2" s="10" t="s">
        <v>44</v>
      </c>
    </row>
    <row r="3" spans="1:286" s="9" customFormat="1" ht="82.5" customHeight="1" x14ac:dyDescent="0.25">
      <c r="A3" s="29"/>
      <c r="B3" s="30" t="s">
        <v>45</v>
      </c>
      <c r="C3" s="31" t="s">
        <v>46</v>
      </c>
      <c r="D3" s="32" t="s">
        <v>47</v>
      </c>
      <c r="E3" s="32" t="s">
        <v>48</v>
      </c>
      <c r="F3" s="203" t="s">
        <v>49</v>
      </c>
      <c r="G3" s="33" t="s">
        <v>50</v>
      </c>
      <c r="H3" s="203">
        <v>50</v>
      </c>
      <c r="I3" s="204">
        <v>0</v>
      </c>
      <c r="J3" s="206">
        <v>7</v>
      </c>
      <c r="K3" s="208">
        <v>32</v>
      </c>
      <c r="L3" s="210">
        <v>1</v>
      </c>
      <c r="M3" s="212">
        <v>1</v>
      </c>
      <c r="N3" s="214">
        <f>SUM(I3:M4)</f>
        <v>41</v>
      </c>
      <c r="O3" s="216">
        <v>0</v>
      </c>
      <c r="P3" s="35"/>
      <c r="Q3" s="203"/>
      <c r="R3" s="33" t="s">
        <v>51</v>
      </c>
      <c r="S3" s="36" t="s">
        <v>52</v>
      </c>
      <c r="T3" s="33" t="s">
        <v>53</v>
      </c>
      <c r="U3" s="33">
        <v>50</v>
      </c>
      <c r="V3" s="195">
        <v>0</v>
      </c>
      <c r="W3" s="38">
        <v>7</v>
      </c>
      <c r="X3" s="39">
        <v>32</v>
      </c>
      <c r="Y3" s="40">
        <v>10</v>
      </c>
      <c r="Z3" s="41">
        <v>1</v>
      </c>
      <c r="AA3" s="34">
        <f>SUM(V3:Z3)</f>
        <v>50</v>
      </c>
      <c r="AB3" s="35">
        <v>0</v>
      </c>
      <c r="AC3" s="33">
        <v>50</v>
      </c>
      <c r="AD3" s="194">
        <v>0</v>
      </c>
      <c r="AE3" s="43">
        <v>35</v>
      </c>
      <c r="AF3" s="44">
        <v>14</v>
      </c>
      <c r="AG3" s="45">
        <v>1</v>
      </c>
      <c r="AH3" s="41">
        <v>1</v>
      </c>
      <c r="AI3" s="34">
        <f>SUM(AD3:AH3)</f>
        <v>51</v>
      </c>
      <c r="AJ3" s="35">
        <v>0</v>
      </c>
      <c r="AK3" s="33"/>
      <c r="AL3" s="33"/>
      <c r="AM3" s="46"/>
      <c r="AN3" s="33"/>
      <c r="AO3" s="46"/>
      <c r="AP3" s="33" t="s">
        <v>54</v>
      </c>
      <c r="AQ3" s="33">
        <v>50</v>
      </c>
      <c r="AR3" s="47">
        <v>30</v>
      </c>
      <c r="AS3" s="48">
        <v>20</v>
      </c>
      <c r="AT3" s="49">
        <v>0</v>
      </c>
      <c r="AU3" s="33"/>
      <c r="AV3" s="33"/>
      <c r="AW3" s="33"/>
      <c r="AX3" s="32" t="s">
        <v>55</v>
      </c>
    </row>
    <row r="4" spans="1:286" s="9" customFormat="1" ht="82.5" customHeight="1" x14ac:dyDescent="0.25">
      <c r="A4" s="50"/>
      <c r="B4" s="30" t="s">
        <v>45</v>
      </c>
      <c r="C4" s="31" t="s">
        <v>46</v>
      </c>
      <c r="D4" s="32" t="s">
        <v>47</v>
      </c>
      <c r="E4" s="32" t="s">
        <v>48</v>
      </c>
      <c r="F4" s="203"/>
      <c r="G4" s="33" t="s">
        <v>50</v>
      </c>
      <c r="H4" s="203"/>
      <c r="I4" s="205"/>
      <c r="J4" s="207"/>
      <c r="K4" s="209"/>
      <c r="L4" s="211"/>
      <c r="M4" s="213"/>
      <c r="N4" s="215"/>
      <c r="O4" s="216"/>
      <c r="P4" s="35"/>
      <c r="Q4" s="203"/>
      <c r="R4" s="33" t="s">
        <v>56</v>
      </c>
      <c r="S4" s="36" t="s">
        <v>57</v>
      </c>
      <c r="T4" s="33" t="s">
        <v>53</v>
      </c>
      <c r="U4" s="33">
        <v>50</v>
      </c>
      <c r="V4" s="195">
        <v>0</v>
      </c>
      <c r="W4" s="38">
        <v>7</v>
      </c>
      <c r="X4" s="39">
        <v>32</v>
      </c>
      <c r="Y4" s="40">
        <v>10</v>
      </c>
      <c r="Z4" s="41">
        <v>1</v>
      </c>
      <c r="AA4" s="42">
        <f t="shared" ref="AA4:AA67" si="0">SUM(V4:Z4)</f>
        <v>50</v>
      </c>
      <c r="AB4" s="35">
        <v>0</v>
      </c>
      <c r="AC4" s="33">
        <v>5</v>
      </c>
      <c r="AD4" s="194">
        <v>0</v>
      </c>
      <c r="AE4" s="43">
        <v>2</v>
      </c>
      <c r="AF4" s="44">
        <v>0</v>
      </c>
      <c r="AG4" s="45">
        <v>2</v>
      </c>
      <c r="AH4" s="41">
        <v>1</v>
      </c>
      <c r="AI4" s="42">
        <f t="shared" ref="AI4:AI67" si="1">SUM(AD4:AH4)</f>
        <v>5</v>
      </c>
      <c r="AJ4" s="35">
        <v>0</v>
      </c>
      <c r="AK4" s="33"/>
      <c r="AL4" s="33"/>
      <c r="AM4" s="46"/>
      <c r="AN4" s="33"/>
      <c r="AO4" s="46"/>
      <c r="AP4" s="33" t="s">
        <v>58</v>
      </c>
      <c r="AQ4" s="33">
        <v>5</v>
      </c>
      <c r="AR4" s="47">
        <v>0</v>
      </c>
      <c r="AS4" s="48">
        <v>5</v>
      </c>
      <c r="AT4" s="49">
        <v>0</v>
      </c>
      <c r="AU4" s="33"/>
      <c r="AV4" s="33"/>
      <c r="AW4" s="33"/>
      <c r="AX4" s="32" t="s">
        <v>59</v>
      </c>
    </row>
    <row r="5" spans="1:286" s="9" customFormat="1" ht="82.5" customHeight="1" x14ac:dyDescent="0.25">
      <c r="A5" s="50"/>
      <c r="B5" s="30" t="s">
        <v>45</v>
      </c>
      <c r="C5" s="31" t="s">
        <v>46</v>
      </c>
      <c r="D5" s="32" t="s">
        <v>47</v>
      </c>
      <c r="E5" s="32" t="s">
        <v>48</v>
      </c>
      <c r="F5" s="203"/>
      <c r="G5" s="33" t="s">
        <v>60</v>
      </c>
      <c r="H5" s="203">
        <v>20</v>
      </c>
      <c r="I5" s="219">
        <v>0</v>
      </c>
      <c r="J5" s="220">
        <v>0</v>
      </c>
      <c r="K5" s="221">
        <v>5</v>
      </c>
      <c r="L5" s="222">
        <v>5</v>
      </c>
      <c r="M5" s="223">
        <v>5</v>
      </c>
      <c r="N5" s="214">
        <f>SUM(I5:M6)</f>
        <v>15</v>
      </c>
      <c r="O5" s="216">
        <v>0</v>
      </c>
      <c r="P5" s="35"/>
      <c r="Q5" s="203"/>
      <c r="R5" s="33" t="s">
        <v>51</v>
      </c>
      <c r="S5" s="36" t="s">
        <v>52</v>
      </c>
      <c r="T5" s="33" t="s">
        <v>53</v>
      </c>
      <c r="U5" s="33">
        <v>20</v>
      </c>
      <c r="V5" s="195">
        <v>0</v>
      </c>
      <c r="W5" s="38">
        <v>0</v>
      </c>
      <c r="X5" s="39">
        <v>5</v>
      </c>
      <c r="Y5" s="40">
        <v>10</v>
      </c>
      <c r="Z5" s="41">
        <v>5</v>
      </c>
      <c r="AA5" s="42">
        <f t="shared" si="0"/>
        <v>20</v>
      </c>
      <c r="AB5" s="35">
        <v>0</v>
      </c>
      <c r="AC5" s="33">
        <v>10</v>
      </c>
      <c r="AD5" s="194">
        <v>0</v>
      </c>
      <c r="AE5" s="43">
        <v>0</v>
      </c>
      <c r="AF5" s="44">
        <v>0</v>
      </c>
      <c r="AG5" s="45">
        <v>2</v>
      </c>
      <c r="AH5" s="41">
        <v>2</v>
      </c>
      <c r="AI5" s="42">
        <f t="shared" si="1"/>
        <v>4</v>
      </c>
      <c r="AJ5" s="35">
        <v>0</v>
      </c>
      <c r="AK5" s="203"/>
      <c r="AL5" s="203"/>
      <c r="AM5" s="218"/>
      <c r="AN5" s="203"/>
      <c r="AO5" s="46"/>
      <c r="AP5" s="33" t="s">
        <v>54</v>
      </c>
      <c r="AQ5" s="33">
        <v>10</v>
      </c>
      <c r="AR5" s="47">
        <v>0</v>
      </c>
      <c r="AS5" s="48">
        <v>10</v>
      </c>
      <c r="AT5" s="49">
        <v>0</v>
      </c>
      <c r="AU5" s="203"/>
      <c r="AV5" s="203"/>
      <c r="AW5" s="33"/>
      <c r="AX5" s="32" t="s">
        <v>55</v>
      </c>
    </row>
    <row r="6" spans="1:286" s="9" customFormat="1" ht="82.5" customHeight="1" x14ac:dyDescent="0.25">
      <c r="A6" s="50"/>
      <c r="B6" s="30" t="s">
        <v>45</v>
      </c>
      <c r="C6" s="31" t="s">
        <v>46</v>
      </c>
      <c r="D6" s="32" t="s">
        <v>47</v>
      </c>
      <c r="E6" s="32" t="s">
        <v>48</v>
      </c>
      <c r="F6" s="203"/>
      <c r="G6" s="33" t="s">
        <v>60</v>
      </c>
      <c r="H6" s="203"/>
      <c r="I6" s="205"/>
      <c r="J6" s="207"/>
      <c r="K6" s="209"/>
      <c r="L6" s="211"/>
      <c r="M6" s="213"/>
      <c r="N6" s="214"/>
      <c r="O6" s="216"/>
      <c r="P6" s="35"/>
      <c r="Q6" s="203"/>
      <c r="R6" s="33" t="s">
        <v>56</v>
      </c>
      <c r="S6" s="36" t="s">
        <v>57</v>
      </c>
      <c r="T6" s="33" t="s">
        <v>53</v>
      </c>
      <c r="U6" s="33">
        <v>20</v>
      </c>
      <c r="V6" s="195">
        <v>0</v>
      </c>
      <c r="W6" s="38">
        <v>0</v>
      </c>
      <c r="X6" s="39">
        <v>5</v>
      </c>
      <c r="Y6" s="40">
        <v>10</v>
      </c>
      <c r="Z6" s="41">
        <v>5</v>
      </c>
      <c r="AA6" s="42">
        <f t="shared" si="0"/>
        <v>20</v>
      </c>
      <c r="AB6" s="35">
        <v>0</v>
      </c>
      <c r="AC6" s="33">
        <v>5</v>
      </c>
      <c r="AD6" s="194">
        <v>0</v>
      </c>
      <c r="AE6" s="43">
        <v>0</v>
      </c>
      <c r="AF6" s="44">
        <v>1</v>
      </c>
      <c r="AG6" s="45">
        <v>2</v>
      </c>
      <c r="AH6" s="41">
        <v>2</v>
      </c>
      <c r="AI6" s="42">
        <f t="shared" si="1"/>
        <v>5</v>
      </c>
      <c r="AJ6" s="35">
        <v>0</v>
      </c>
      <c r="AK6" s="203"/>
      <c r="AL6" s="203"/>
      <c r="AM6" s="218"/>
      <c r="AN6" s="203"/>
      <c r="AO6" s="46"/>
      <c r="AP6" s="33" t="s">
        <v>58</v>
      </c>
      <c r="AQ6" s="33">
        <v>5</v>
      </c>
      <c r="AR6" s="47">
        <v>0</v>
      </c>
      <c r="AS6" s="48">
        <v>5</v>
      </c>
      <c r="AT6" s="49">
        <v>0</v>
      </c>
      <c r="AU6" s="203"/>
      <c r="AV6" s="203"/>
      <c r="AW6" s="33"/>
      <c r="AX6" s="32" t="s">
        <v>59</v>
      </c>
    </row>
    <row r="7" spans="1:286" s="56" customFormat="1" ht="82.5" customHeight="1" x14ac:dyDescent="0.25">
      <c r="A7" s="50"/>
      <c r="B7" s="30" t="s">
        <v>45</v>
      </c>
      <c r="C7" s="31" t="s">
        <v>46</v>
      </c>
      <c r="D7" s="32" t="s">
        <v>47</v>
      </c>
      <c r="E7" s="32" t="s">
        <v>48</v>
      </c>
      <c r="F7" s="51" t="s">
        <v>61</v>
      </c>
      <c r="G7" s="51"/>
      <c r="H7" s="52">
        <f>SUM(H3:H6)</f>
        <v>70</v>
      </c>
      <c r="I7" s="52">
        <f t="shared" ref="I7:N7" si="2">SUM(I3:I6)</f>
        <v>0</v>
      </c>
      <c r="J7" s="52">
        <f t="shared" si="2"/>
        <v>7</v>
      </c>
      <c r="K7" s="52">
        <f t="shared" si="2"/>
        <v>37</v>
      </c>
      <c r="L7" s="52">
        <f t="shared" si="2"/>
        <v>6</v>
      </c>
      <c r="M7" s="52">
        <f t="shared" si="2"/>
        <v>6</v>
      </c>
      <c r="N7" s="52">
        <f t="shared" si="2"/>
        <v>56</v>
      </c>
      <c r="O7" s="52">
        <f t="shared" ref="O7:P7" si="3">SUM(O3:O6)</f>
        <v>0</v>
      </c>
      <c r="P7" s="52">
        <f t="shared" si="3"/>
        <v>0</v>
      </c>
      <c r="Q7" s="51"/>
      <c r="R7" s="51"/>
      <c r="S7" s="53"/>
      <c r="T7" s="51"/>
      <c r="U7" s="52">
        <f>SUM(U3:U6)</f>
        <v>140</v>
      </c>
      <c r="V7" s="52">
        <f>SUM(V3:V6)</f>
        <v>0</v>
      </c>
      <c r="W7" s="52">
        <f t="shared" ref="W7:Z7" si="4">SUM(W3:W6)</f>
        <v>14</v>
      </c>
      <c r="X7" s="52">
        <f t="shared" si="4"/>
        <v>74</v>
      </c>
      <c r="Y7" s="52">
        <f t="shared" si="4"/>
        <v>40</v>
      </c>
      <c r="Z7" s="52">
        <f t="shared" si="4"/>
        <v>12</v>
      </c>
      <c r="AA7" s="52">
        <f t="shared" si="0"/>
        <v>140</v>
      </c>
      <c r="AB7" s="52">
        <f t="shared" ref="AB7:AJ7" si="5">SUM(AB3:AB6)</f>
        <v>0</v>
      </c>
      <c r="AC7" s="52">
        <f t="shared" si="5"/>
        <v>70</v>
      </c>
      <c r="AD7" s="52">
        <f>SUM(AD3:AD6)</f>
        <v>0</v>
      </c>
      <c r="AE7" s="52">
        <f t="shared" ref="AE7:AH7" si="6">SUM(AE3:AE6)</f>
        <v>37</v>
      </c>
      <c r="AF7" s="52">
        <f t="shared" si="6"/>
        <v>15</v>
      </c>
      <c r="AG7" s="52">
        <f t="shared" ref="AG7" si="7">SUM(AG3:AG6)</f>
        <v>7</v>
      </c>
      <c r="AH7" s="52">
        <f t="shared" si="6"/>
        <v>6</v>
      </c>
      <c r="AI7" s="52">
        <f t="shared" si="1"/>
        <v>65</v>
      </c>
      <c r="AJ7" s="52">
        <f t="shared" si="5"/>
        <v>0</v>
      </c>
      <c r="AK7" s="51"/>
      <c r="AL7" s="51"/>
      <c r="AM7" s="51"/>
      <c r="AN7" s="51"/>
      <c r="AO7" s="51"/>
      <c r="AP7" s="51"/>
      <c r="AQ7" s="51">
        <f>SUM(AQ3:AQ6)</f>
        <v>70</v>
      </c>
      <c r="AR7" s="51">
        <f t="shared" ref="AR7:AT7" si="8">SUM(AR3:AR6)</f>
        <v>30</v>
      </c>
      <c r="AS7" s="51">
        <f t="shared" si="8"/>
        <v>40</v>
      </c>
      <c r="AT7" s="51">
        <f t="shared" si="8"/>
        <v>0</v>
      </c>
      <c r="AU7" s="51"/>
      <c r="AV7" s="51"/>
      <c r="AW7" s="51"/>
      <c r="AX7" s="51" t="s">
        <v>62</v>
      </c>
      <c r="AY7" s="54"/>
      <c r="AZ7" s="54"/>
      <c r="BA7" s="54"/>
      <c r="BB7" s="54"/>
      <c r="BC7" s="55"/>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4"/>
      <c r="DE7" s="54"/>
      <c r="DF7" s="54"/>
      <c r="DG7" s="54"/>
      <c r="DH7" s="54"/>
      <c r="DI7" s="54"/>
      <c r="DJ7" s="54"/>
      <c r="DK7" s="54"/>
      <c r="DL7" s="54"/>
      <c r="DM7" s="54"/>
      <c r="DN7" s="54"/>
      <c r="DO7" s="54"/>
      <c r="DP7" s="54"/>
      <c r="DQ7" s="54"/>
      <c r="DR7" s="54"/>
      <c r="DS7" s="54"/>
      <c r="DT7" s="54"/>
      <c r="DU7" s="54"/>
      <c r="DV7" s="54"/>
      <c r="DW7" s="54"/>
      <c r="DX7" s="54"/>
      <c r="DY7" s="54"/>
      <c r="DZ7" s="54"/>
      <c r="EA7" s="54"/>
      <c r="EB7" s="54"/>
      <c r="EC7" s="54"/>
      <c r="ED7" s="54"/>
      <c r="EE7" s="54"/>
      <c r="EF7" s="54"/>
      <c r="EG7" s="54"/>
      <c r="EH7" s="54"/>
      <c r="EI7" s="54"/>
      <c r="EJ7" s="54"/>
      <c r="EK7" s="54"/>
      <c r="EL7" s="54"/>
      <c r="EM7" s="54"/>
      <c r="EN7" s="54"/>
      <c r="EO7" s="54"/>
      <c r="EP7" s="54"/>
      <c r="EQ7" s="54"/>
      <c r="ER7" s="54"/>
      <c r="ES7" s="54"/>
      <c r="ET7" s="54"/>
      <c r="EU7" s="54"/>
      <c r="EV7" s="54"/>
      <c r="EW7" s="54"/>
      <c r="EX7" s="54"/>
      <c r="EY7" s="54"/>
      <c r="EZ7" s="54"/>
      <c r="FA7" s="54"/>
      <c r="FB7" s="54"/>
      <c r="FC7" s="54"/>
      <c r="FD7" s="54"/>
      <c r="FE7" s="54"/>
      <c r="FF7" s="54"/>
      <c r="FG7" s="54"/>
      <c r="FH7" s="54"/>
      <c r="FI7" s="54"/>
      <c r="FJ7" s="54"/>
      <c r="FK7" s="54"/>
      <c r="FL7" s="54"/>
      <c r="FM7" s="54"/>
      <c r="FN7" s="54"/>
      <c r="FO7" s="54"/>
      <c r="FP7" s="54"/>
      <c r="FQ7" s="54"/>
      <c r="FR7" s="54"/>
      <c r="FS7" s="54"/>
      <c r="FT7" s="54"/>
      <c r="FU7" s="54"/>
      <c r="FV7" s="54"/>
      <c r="FW7" s="54"/>
      <c r="FX7" s="54"/>
      <c r="FY7" s="54"/>
      <c r="FZ7" s="54"/>
      <c r="GA7" s="54"/>
      <c r="GB7" s="54"/>
      <c r="GC7" s="54"/>
      <c r="GD7" s="54"/>
      <c r="GE7" s="54"/>
      <c r="GF7" s="54"/>
      <c r="GG7" s="54"/>
      <c r="GH7" s="54"/>
      <c r="GI7" s="54"/>
      <c r="GJ7" s="54"/>
      <c r="GK7" s="54"/>
      <c r="GL7" s="54"/>
      <c r="GM7" s="54"/>
      <c r="GN7" s="54"/>
      <c r="GO7" s="54"/>
      <c r="GP7" s="54"/>
      <c r="GQ7" s="54"/>
      <c r="GR7" s="54"/>
      <c r="GS7" s="54"/>
      <c r="GT7" s="54"/>
      <c r="GU7" s="54"/>
      <c r="GV7" s="54"/>
      <c r="GW7" s="54"/>
      <c r="GX7" s="54"/>
      <c r="GY7" s="54"/>
      <c r="GZ7" s="54"/>
      <c r="HA7" s="54"/>
      <c r="HB7" s="54"/>
      <c r="HC7" s="54"/>
      <c r="HD7" s="54"/>
      <c r="HE7" s="54"/>
      <c r="HF7" s="54"/>
      <c r="HG7" s="54"/>
      <c r="HH7" s="54"/>
      <c r="HI7" s="54"/>
      <c r="HJ7" s="54"/>
      <c r="HK7" s="54"/>
      <c r="HL7" s="54"/>
      <c r="HM7" s="54"/>
      <c r="HN7" s="54"/>
      <c r="HO7" s="54"/>
      <c r="HP7" s="54"/>
      <c r="HQ7" s="54"/>
      <c r="HR7" s="54"/>
      <c r="HS7" s="54"/>
      <c r="HT7" s="54"/>
      <c r="HU7" s="54"/>
      <c r="HV7" s="54"/>
      <c r="HW7" s="54"/>
      <c r="HX7" s="54"/>
      <c r="HY7" s="54"/>
      <c r="HZ7" s="54"/>
      <c r="IA7" s="54"/>
      <c r="IB7" s="54"/>
      <c r="IC7" s="54"/>
      <c r="ID7" s="54"/>
      <c r="IE7" s="54"/>
      <c r="IF7" s="54"/>
      <c r="IG7" s="54"/>
      <c r="IH7" s="54"/>
      <c r="II7" s="54"/>
      <c r="IJ7" s="54"/>
      <c r="IK7" s="54"/>
      <c r="IL7" s="54"/>
      <c r="IM7" s="54"/>
      <c r="IN7" s="54"/>
      <c r="IO7" s="54"/>
      <c r="IP7" s="54"/>
      <c r="IQ7" s="54"/>
      <c r="IR7" s="54"/>
      <c r="IS7" s="54"/>
      <c r="IT7" s="54"/>
      <c r="IU7" s="54"/>
      <c r="IV7" s="54"/>
      <c r="IW7" s="54"/>
      <c r="IX7" s="54"/>
      <c r="IY7" s="54"/>
      <c r="IZ7" s="54"/>
      <c r="JA7" s="54"/>
      <c r="JB7" s="54"/>
      <c r="JC7" s="54"/>
      <c r="JD7" s="54"/>
      <c r="JE7" s="54"/>
      <c r="JF7" s="54"/>
      <c r="JG7" s="54"/>
      <c r="JH7" s="54"/>
      <c r="JI7" s="54"/>
      <c r="JJ7" s="54"/>
      <c r="JK7" s="54"/>
      <c r="JL7" s="54"/>
      <c r="JM7" s="54"/>
      <c r="JN7" s="54"/>
      <c r="JO7" s="54"/>
      <c r="JP7" s="54"/>
      <c r="JQ7" s="54"/>
      <c r="JR7" s="54"/>
      <c r="JS7" s="54"/>
      <c r="JT7" s="54"/>
      <c r="JU7" s="54"/>
      <c r="JV7" s="54"/>
      <c r="JW7" s="54"/>
      <c r="JX7" s="54"/>
      <c r="JY7" s="54"/>
      <c r="JZ7" s="54"/>
    </row>
    <row r="8" spans="1:286" s="9" customFormat="1" ht="82.5" customHeight="1" x14ac:dyDescent="0.25">
      <c r="A8" s="50"/>
      <c r="B8" s="30" t="s">
        <v>45</v>
      </c>
      <c r="C8" s="31" t="s">
        <v>472</v>
      </c>
      <c r="D8" s="32" t="s">
        <v>47</v>
      </c>
      <c r="E8" s="32" t="s">
        <v>64</v>
      </c>
      <c r="F8" s="33" t="s">
        <v>49</v>
      </c>
      <c r="G8" s="33" t="s">
        <v>50</v>
      </c>
      <c r="H8" s="33">
        <v>50</v>
      </c>
      <c r="I8" s="37">
        <v>5</v>
      </c>
      <c r="J8" s="38">
        <v>10</v>
      </c>
      <c r="K8" s="39">
        <v>20</v>
      </c>
      <c r="L8" s="40">
        <v>2</v>
      </c>
      <c r="M8" s="41">
        <v>5</v>
      </c>
      <c r="N8" s="34">
        <f>SUM(I8:M8)</f>
        <v>42</v>
      </c>
      <c r="O8" s="35">
        <v>0</v>
      </c>
      <c r="P8" s="35"/>
      <c r="Q8" s="33"/>
      <c r="R8" s="33" t="s">
        <v>51</v>
      </c>
      <c r="S8" s="36" t="s">
        <v>65</v>
      </c>
      <c r="T8" s="33" t="s">
        <v>66</v>
      </c>
      <c r="U8" s="33">
        <v>50</v>
      </c>
      <c r="V8" s="195">
        <v>5</v>
      </c>
      <c r="W8" s="38">
        <v>10</v>
      </c>
      <c r="X8" s="39">
        <v>20</v>
      </c>
      <c r="Y8" s="40">
        <v>10</v>
      </c>
      <c r="Z8" s="41">
        <v>5</v>
      </c>
      <c r="AA8" s="42">
        <f t="shared" si="0"/>
        <v>50</v>
      </c>
      <c r="AB8" s="35">
        <v>0</v>
      </c>
      <c r="AC8" s="33">
        <v>5</v>
      </c>
      <c r="AD8" s="19">
        <v>0</v>
      </c>
      <c r="AE8" s="57">
        <v>0</v>
      </c>
      <c r="AF8" s="58">
        <v>4</v>
      </c>
      <c r="AG8" s="59">
        <v>0</v>
      </c>
      <c r="AH8" s="60">
        <v>0</v>
      </c>
      <c r="AI8" s="42">
        <f t="shared" si="1"/>
        <v>4</v>
      </c>
      <c r="AJ8" s="46">
        <v>0</v>
      </c>
      <c r="AK8" s="33"/>
      <c r="AL8" s="33"/>
      <c r="AM8" s="46"/>
      <c r="AN8" s="33"/>
      <c r="AO8" s="46"/>
      <c r="AP8" s="33" t="s">
        <v>67</v>
      </c>
      <c r="AQ8" s="33">
        <v>5</v>
      </c>
      <c r="AR8" s="47">
        <v>5</v>
      </c>
      <c r="AS8" s="48">
        <v>0</v>
      </c>
      <c r="AT8" s="49">
        <v>0</v>
      </c>
      <c r="AU8" s="33"/>
      <c r="AV8" s="33"/>
      <c r="AW8" s="33"/>
      <c r="AX8" s="32" t="s">
        <v>68</v>
      </c>
    </row>
    <row r="9" spans="1:286" s="56" customFormat="1" ht="82.5" customHeight="1" x14ac:dyDescent="0.25">
      <c r="A9" s="50"/>
      <c r="B9" s="30" t="s">
        <v>45</v>
      </c>
      <c r="C9" s="31" t="s">
        <v>63</v>
      </c>
      <c r="D9" s="32" t="s">
        <v>47</v>
      </c>
      <c r="E9" s="32" t="s">
        <v>64</v>
      </c>
      <c r="F9" s="51" t="s">
        <v>61</v>
      </c>
      <c r="G9" s="51"/>
      <c r="H9" s="52">
        <f>SUM(H8)</f>
        <v>50</v>
      </c>
      <c r="I9" s="52">
        <f t="shared" ref="I9" si="9">SUM(I8)</f>
        <v>5</v>
      </c>
      <c r="J9" s="52">
        <f t="shared" ref="J9:M9" si="10">SUM(J8)</f>
        <v>10</v>
      </c>
      <c r="K9" s="52">
        <f t="shared" si="10"/>
        <v>20</v>
      </c>
      <c r="L9" s="52">
        <f t="shared" si="10"/>
        <v>2</v>
      </c>
      <c r="M9" s="52">
        <f t="shared" si="10"/>
        <v>5</v>
      </c>
      <c r="N9" s="52">
        <f t="shared" ref="N9:N72" si="11">SUM(I9:M9)</f>
        <v>42</v>
      </c>
      <c r="O9" s="52">
        <f t="shared" ref="O9" si="12">SUM(O8)</f>
        <v>0</v>
      </c>
      <c r="P9" s="52">
        <v>0</v>
      </c>
      <c r="Q9" s="51"/>
      <c r="R9" s="51"/>
      <c r="S9" s="53"/>
      <c r="T9" s="51"/>
      <c r="U9" s="52">
        <f t="shared" ref="U9:AJ9" si="13">SUM(U8)</f>
        <v>50</v>
      </c>
      <c r="V9" s="52">
        <f t="shared" si="13"/>
        <v>5</v>
      </c>
      <c r="W9" s="52">
        <f t="shared" si="13"/>
        <v>10</v>
      </c>
      <c r="X9" s="52">
        <f t="shared" si="13"/>
        <v>20</v>
      </c>
      <c r="Y9" s="52">
        <f t="shared" si="13"/>
        <v>10</v>
      </c>
      <c r="Z9" s="52">
        <f t="shared" si="13"/>
        <v>5</v>
      </c>
      <c r="AA9" s="52">
        <f t="shared" si="0"/>
        <v>50</v>
      </c>
      <c r="AB9" s="52">
        <f t="shared" si="13"/>
        <v>0</v>
      </c>
      <c r="AC9" s="52">
        <f t="shared" si="13"/>
        <v>5</v>
      </c>
      <c r="AD9" s="52">
        <f t="shared" si="13"/>
        <v>0</v>
      </c>
      <c r="AE9" s="52">
        <f t="shared" si="13"/>
        <v>0</v>
      </c>
      <c r="AF9" s="52">
        <f t="shared" si="13"/>
        <v>4</v>
      </c>
      <c r="AG9" s="52">
        <f t="shared" si="13"/>
        <v>0</v>
      </c>
      <c r="AH9" s="52">
        <f t="shared" si="13"/>
        <v>0</v>
      </c>
      <c r="AI9" s="52">
        <f t="shared" si="1"/>
        <v>4</v>
      </c>
      <c r="AJ9" s="52">
        <f t="shared" si="13"/>
        <v>0</v>
      </c>
      <c r="AK9" s="51"/>
      <c r="AL9" s="51"/>
      <c r="AM9" s="51"/>
      <c r="AN9" s="51"/>
      <c r="AO9" s="51"/>
      <c r="AP9" s="51"/>
      <c r="AQ9" s="51">
        <f>SUM(AQ8)</f>
        <v>5</v>
      </c>
      <c r="AR9" s="51">
        <f t="shared" ref="AR9:AT9" si="14">SUM(AR8)</f>
        <v>5</v>
      </c>
      <c r="AS9" s="51">
        <f t="shared" si="14"/>
        <v>0</v>
      </c>
      <c r="AT9" s="51">
        <f t="shared" si="14"/>
        <v>0</v>
      </c>
      <c r="AU9" s="51"/>
      <c r="AV9" s="51"/>
      <c r="AW9" s="51"/>
      <c r="AX9" s="51" t="s">
        <v>68</v>
      </c>
      <c r="AY9" s="54"/>
      <c r="AZ9" s="54"/>
      <c r="BA9" s="54"/>
      <c r="BB9" s="54"/>
      <c r="BC9" s="55"/>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c r="CS9" s="54"/>
      <c r="CT9" s="54"/>
      <c r="CU9" s="54"/>
      <c r="CV9" s="54"/>
      <c r="CW9" s="54"/>
      <c r="CX9" s="54"/>
      <c r="CY9" s="54"/>
      <c r="CZ9" s="54"/>
      <c r="DA9" s="54"/>
      <c r="DB9" s="54"/>
      <c r="DC9" s="54"/>
      <c r="DD9" s="54"/>
      <c r="DE9" s="54"/>
      <c r="DF9" s="54"/>
      <c r="DG9" s="54"/>
      <c r="DH9" s="54"/>
      <c r="DI9" s="54"/>
      <c r="DJ9" s="54"/>
      <c r="DK9" s="54"/>
      <c r="DL9" s="54"/>
      <c r="DM9" s="54"/>
      <c r="DN9" s="54"/>
      <c r="DO9" s="54"/>
      <c r="DP9" s="54"/>
      <c r="DQ9" s="54"/>
      <c r="DR9" s="54"/>
      <c r="DS9" s="54"/>
      <c r="DT9" s="54"/>
      <c r="DU9" s="54"/>
      <c r="DV9" s="54"/>
      <c r="DW9" s="54"/>
      <c r="DX9" s="54"/>
      <c r="DY9" s="54"/>
      <c r="DZ9" s="54"/>
      <c r="EA9" s="54"/>
      <c r="EB9" s="54"/>
      <c r="EC9" s="54"/>
      <c r="ED9" s="54"/>
      <c r="EE9" s="54"/>
      <c r="EF9" s="54"/>
      <c r="EG9" s="54"/>
      <c r="EH9" s="54"/>
      <c r="EI9" s="54"/>
      <c r="EJ9" s="54"/>
      <c r="EK9" s="54"/>
      <c r="EL9" s="54"/>
      <c r="EM9" s="54"/>
      <c r="EN9" s="54"/>
      <c r="EO9" s="54"/>
      <c r="EP9" s="54"/>
      <c r="EQ9" s="54"/>
      <c r="ER9" s="54"/>
      <c r="ES9" s="54"/>
      <c r="ET9" s="54"/>
      <c r="EU9" s="54"/>
      <c r="EV9" s="54"/>
      <c r="EW9" s="54"/>
      <c r="EX9" s="54"/>
      <c r="EY9" s="54"/>
      <c r="EZ9" s="54"/>
      <c r="FA9" s="54"/>
      <c r="FB9" s="54"/>
      <c r="FC9" s="54"/>
      <c r="FD9" s="54"/>
      <c r="FE9" s="54"/>
      <c r="FF9" s="54"/>
      <c r="FG9" s="54"/>
      <c r="FH9" s="54"/>
      <c r="FI9" s="54"/>
      <c r="FJ9" s="54"/>
      <c r="FK9" s="54"/>
      <c r="FL9" s="54"/>
      <c r="FM9" s="54"/>
      <c r="FN9" s="54"/>
      <c r="FO9" s="54"/>
      <c r="FP9" s="54"/>
      <c r="FQ9" s="54"/>
      <c r="FR9" s="54"/>
      <c r="FS9" s="54"/>
      <c r="FT9" s="54"/>
      <c r="FU9" s="54"/>
      <c r="FV9" s="54"/>
      <c r="FW9" s="54"/>
      <c r="FX9" s="54"/>
      <c r="FY9" s="54"/>
      <c r="FZ9" s="54"/>
      <c r="GA9" s="54"/>
      <c r="GB9" s="54"/>
      <c r="GC9" s="54"/>
      <c r="GD9" s="54"/>
      <c r="GE9" s="54"/>
      <c r="GF9" s="54"/>
      <c r="GG9" s="54"/>
      <c r="GH9" s="54"/>
      <c r="GI9" s="54"/>
      <c r="GJ9" s="54"/>
      <c r="GK9" s="54"/>
      <c r="GL9" s="54"/>
      <c r="GM9" s="54"/>
      <c r="GN9" s="54"/>
      <c r="GO9" s="54"/>
      <c r="GP9" s="54"/>
      <c r="GQ9" s="54"/>
      <c r="GR9" s="54"/>
      <c r="GS9" s="54"/>
      <c r="GT9" s="54"/>
      <c r="GU9" s="54"/>
      <c r="GV9" s="54"/>
      <c r="GW9" s="54"/>
      <c r="GX9" s="54"/>
      <c r="GY9" s="54"/>
      <c r="GZ9" s="54"/>
      <c r="HA9" s="54"/>
      <c r="HB9" s="54"/>
      <c r="HC9" s="54"/>
      <c r="HD9" s="54"/>
      <c r="HE9" s="54"/>
      <c r="HF9" s="54"/>
      <c r="HG9" s="54"/>
      <c r="HH9" s="54"/>
      <c r="HI9" s="54"/>
      <c r="HJ9" s="54"/>
      <c r="HK9" s="54"/>
      <c r="HL9" s="54"/>
      <c r="HM9" s="54"/>
      <c r="HN9" s="54"/>
      <c r="HO9" s="54"/>
      <c r="HP9" s="54"/>
      <c r="HQ9" s="54"/>
      <c r="HR9" s="54"/>
      <c r="HS9" s="54"/>
      <c r="HT9" s="54"/>
      <c r="HU9" s="54"/>
      <c r="HV9" s="54"/>
      <c r="HW9" s="54"/>
      <c r="HX9" s="54"/>
      <c r="HY9" s="54"/>
      <c r="HZ9" s="54"/>
      <c r="IA9" s="54"/>
      <c r="IB9" s="54"/>
      <c r="IC9" s="54"/>
      <c r="ID9" s="54"/>
      <c r="IE9" s="54"/>
      <c r="IF9" s="54"/>
      <c r="IG9" s="54"/>
      <c r="IH9" s="54"/>
      <c r="II9" s="54"/>
      <c r="IJ9" s="54"/>
      <c r="IK9" s="54"/>
      <c r="IL9" s="54"/>
      <c r="IM9" s="54"/>
      <c r="IN9" s="54"/>
      <c r="IO9" s="54"/>
      <c r="IP9" s="54"/>
      <c r="IQ9" s="54"/>
      <c r="IR9" s="54"/>
      <c r="IS9" s="54"/>
      <c r="IT9" s="54"/>
      <c r="IU9" s="54"/>
      <c r="IV9" s="54"/>
      <c r="IW9" s="54"/>
      <c r="IX9" s="54"/>
      <c r="IY9" s="54"/>
      <c r="IZ9" s="54"/>
      <c r="JA9" s="54"/>
      <c r="JB9" s="54"/>
      <c r="JC9" s="54"/>
      <c r="JD9" s="54"/>
      <c r="JE9" s="54"/>
      <c r="JF9" s="54"/>
      <c r="JG9" s="54"/>
      <c r="JH9" s="54"/>
      <c r="JI9" s="54"/>
      <c r="JJ9" s="54"/>
      <c r="JK9" s="54"/>
      <c r="JL9" s="54"/>
      <c r="JM9" s="54"/>
      <c r="JN9" s="54"/>
      <c r="JO9" s="54"/>
      <c r="JP9" s="54"/>
      <c r="JQ9" s="54"/>
      <c r="JR9" s="54"/>
      <c r="JS9" s="54"/>
      <c r="JT9" s="54"/>
      <c r="JU9" s="54"/>
      <c r="JV9" s="54"/>
      <c r="JW9" s="54"/>
      <c r="JX9" s="54"/>
      <c r="JY9" s="54"/>
      <c r="JZ9" s="54"/>
    </row>
    <row r="10" spans="1:286" s="9" customFormat="1" ht="82.5" customHeight="1" x14ac:dyDescent="0.25">
      <c r="A10" s="50"/>
      <c r="B10" s="30" t="s">
        <v>45</v>
      </c>
      <c r="C10" s="31" t="s">
        <v>69</v>
      </c>
      <c r="D10" s="32" t="s">
        <v>47</v>
      </c>
      <c r="E10" s="32" t="s">
        <v>70</v>
      </c>
      <c r="F10" s="33" t="s">
        <v>49</v>
      </c>
      <c r="G10" s="33" t="s">
        <v>71</v>
      </c>
      <c r="H10" s="33">
        <v>50</v>
      </c>
      <c r="I10" s="37">
        <v>2</v>
      </c>
      <c r="J10" s="38">
        <v>6</v>
      </c>
      <c r="K10" s="39">
        <v>19</v>
      </c>
      <c r="L10" s="40">
        <v>5</v>
      </c>
      <c r="M10" s="41">
        <v>13</v>
      </c>
      <c r="N10" s="42">
        <f t="shared" si="11"/>
        <v>45</v>
      </c>
      <c r="O10" s="35">
        <v>0</v>
      </c>
      <c r="P10" s="35"/>
      <c r="Q10" s="33"/>
      <c r="R10" s="33" t="s">
        <v>51</v>
      </c>
      <c r="S10" s="36" t="s">
        <v>72</v>
      </c>
      <c r="T10" s="33" t="s">
        <v>73</v>
      </c>
      <c r="U10" s="33">
        <v>50</v>
      </c>
      <c r="V10" s="195">
        <v>2</v>
      </c>
      <c r="W10" s="38">
        <v>6</v>
      </c>
      <c r="X10" s="39">
        <v>19</v>
      </c>
      <c r="Y10" s="40">
        <v>10</v>
      </c>
      <c r="Z10" s="41">
        <v>13</v>
      </c>
      <c r="AA10" s="42">
        <f t="shared" si="0"/>
        <v>50</v>
      </c>
      <c r="AB10" s="35">
        <v>0</v>
      </c>
      <c r="AC10" s="33">
        <v>5</v>
      </c>
      <c r="AD10" s="19">
        <v>1</v>
      </c>
      <c r="AE10" s="57">
        <v>2</v>
      </c>
      <c r="AF10" s="61">
        <v>1</v>
      </c>
      <c r="AG10" s="59">
        <v>1</v>
      </c>
      <c r="AH10" s="62">
        <v>1</v>
      </c>
      <c r="AI10" s="42">
        <f t="shared" si="1"/>
        <v>6</v>
      </c>
      <c r="AJ10" s="46">
        <v>0</v>
      </c>
      <c r="AK10" s="33"/>
      <c r="AL10" s="33"/>
      <c r="AM10" s="46"/>
      <c r="AN10" s="33"/>
      <c r="AO10" s="46"/>
      <c r="AP10" s="33" t="s">
        <v>471</v>
      </c>
      <c r="AQ10" s="33">
        <v>5</v>
      </c>
      <c r="AR10" s="47">
        <v>5</v>
      </c>
      <c r="AS10" s="48">
        <v>0</v>
      </c>
      <c r="AT10" s="49">
        <v>0</v>
      </c>
      <c r="AU10" s="33"/>
      <c r="AV10" s="33"/>
      <c r="AW10" s="33"/>
      <c r="AX10" s="32" t="s">
        <v>68</v>
      </c>
    </row>
    <row r="11" spans="1:286" s="56" customFormat="1" ht="82.5" customHeight="1" x14ac:dyDescent="0.25">
      <c r="A11" s="50"/>
      <c r="B11" s="30" t="s">
        <v>45</v>
      </c>
      <c r="C11" s="31" t="s">
        <v>69</v>
      </c>
      <c r="D11" s="32" t="s">
        <v>47</v>
      </c>
      <c r="E11" s="32" t="s">
        <v>70</v>
      </c>
      <c r="F11" s="51" t="s">
        <v>61</v>
      </c>
      <c r="G11" s="51"/>
      <c r="H11" s="52">
        <f>SUM(H10)</f>
        <v>50</v>
      </c>
      <c r="I11" s="52">
        <f t="shared" ref="I11" si="15">SUM(I10)</f>
        <v>2</v>
      </c>
      <c r="J11" s="52">
        <f t="shared" ref="J11:M11" si="16">SUM(J10)</f>
        <v>6</v>
      </c>
      <c r="K11" s="52">
        <f t="shared" si="16"/>
        <v>19</v>
      </c>
      <c r="L11" s="52">
        <f t="shared" si="16"/>
        <v>5</v>
      </c>
      <c r="M11" s="52">
        <f t="shared" si="16"/>
        <v>13</v>
      </c>
      <c r="N11" s="52">
        <f t="shared" si="11"/>
        <v>45</v>
      </c>
      <c r="O11" s="52">
        <f t="shared" ref="O11:P11" si="17">SUM(O10)</f>
        <v>0</v>
      </c>
      <c r="P11" s="52">
        <f t="shared" si="17"/>
        <v>0</v>
      </c>
      <c r="Q11" s="51"/>
      <c r="R11" s="51"/>
      <c r="S11" s="53"/>
      <c r="T11" s="51"/>
      <c r="U11" s="52">
        <f t="shared" ref="U11:AJ11" si="18">SUM(U10)</f>
        <v>50</v>
      </c>
      <c r="V11" s="52">
        <f t="shared" si="18"/>
        <v>2</v>
      </c>
      <c r="W11" s="52">
        <f t="shared" si="18"/>
        <v>6</v>
      </c>
      <c r="X11" s="52">
        <f t="shared" si="18"/>
        <v>19</v>
      </c>
      <c r="Y11" s="52">
        <f t="shared" si="18"/>
        <v>10</v>
      </c>
      <c r="Z11" s="52">
        <f t="shared" si="18"/>
        <v>13</v>
      </c>
      <c r="AA11" s="52">
        <f t="shared" si="0"/>
        <v>50</v>
      </c>
      <c r="AB11" s="52">
        <f t="shared" si="18"/>
        <v>0</v>
      </c>
      <c r="AC11" s="52">
        <f t="shared" si="18"/>
        <v>5</v>
      </c>
      <c r="AD11" s="52">
        <f t="shared" si="18"/>
        <v>1</v>
      </c>
      <c r="AE11" s="52">
        <f t="shared" si="18"/>
        <v>2</v>
      </c>
      <c r="AF11" s="52">
        <f t="shared" si="18"/>
        <v>1</v>
      </c>
      <c r="AG11" s="52">
        <f t="shared" si="18"/>
        <v>1</v>
      </c>
      <c r="AH11" s="52">
        <f t="shared" si="18"/>
        <v>1</v>
      </c>
      <c r="AI11" s="52">
        <f t="shared" si="1"/>
        <v>6</v>
      </c>
      <c r="AJ11" s="52">
        <f t="shared" si="18"/>
        <v>0</v>
      </c>
      <c r="AK11" s="51"/>
      <c r="AL11" s="51"/>
      <c r="AM11" s="51"/>
      <c r="AN11" s="51"/>
      <c r="AO11" s="51"/>
      <c r="AP11" s="51"/>
      <c r="AQ11" s="51">
        <f>SUM(AQ10)</f>
        <v>5</v>
      </c>
      <c r="AR11" s="51">
        <f t="shared" ref="AR11:AT11" si="19">SUM(AR10)</f>
        <v>5</v>
      </c>
      <c r="AS11" s="51">
        <f t="shared" si="19"/>
        <v>0</v>
      </c>
      <c r="AT11" s="51">
        <f t="shared" si="19"/>
        <v>0</v>
      </c>
      <c r="AU11" s="51"/>
      <c r="AV11" s="51"/>
      <c r="AW11" s="51"/>
      <c r="AX11" s="51" t="s">
        <v>68</v>
      </c>
      <c r="AY11" s="54"/>
      <c r="AZ11" s="54"/>
      <c r="BA11" s="54"/>
      <c r="BB11" s="54"/>
      <c r="BC11" s="55"/>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c r="CG11" s="54"/>
      <c r="CH11" s="54"/>
      <c r="CI11" s="54"/>
      <c r="CJ11" s="54"/>
      <c r="CK11" s="54"/>
      <c r="CL11" s="54"/>
      <c r="CM11" s="54"/>
      <c r="CN11" s="54"/>
      <c r="CO11" s="54"/>
      <c r="CP11" s="54"/>
      <c r="CQ11" s="54"/>
      <c r="CR11" s="54"/>
      <c r="CS11" s="54"/>
      <c r="CT11" s="54"/>
      <c r="CU11" s="54"/>
      <c r="CV11" s="54"/>
      <c r="CW11" s="54"/>
      <c r="CX11" s="54"/>
      <c r="CY11" s="54"/>
      <c r="CZ11" s="54"/>
      <c r="DA11" s="54"/>
      <c r="DB11" s="54"/>
      <c r="DC11" s="54"/>
      <c r="DD11" s="54"/>
      <c r="DE11" s="54"/>
      <c r="DF11" s="54"/>
      <c r="DG11" s="54"/>
      <c r="DH11" s="54"/>
      <c r="DI11" s="54"/>
      <c r="DJ11" s="54"/>
      <c r="DK11" s="54"/>
      <c r="DL11" s="54"/>
      <c r="DM11" s="54"/>
      <c r="DN11" s="54"/>
      <c r="DO11" s="54"/>
      <c r="DP11" s="54"/>
      <c r="DQ11" s="54"/>
      <c r="DR11" s="54"/>
      <c r="DS11" s="54"/>
      <c r="DT11" s="54"/>
      <c r="DU11" s="54"/>
      <c r="DV11" s="54"/>
      <c r="DW11" s="54"/>
      <c r="DX11" s="54"/>
      <c r="DY11" s="54"/>
      <c r="DZ11" s="54"/>
      <c r="EA11" s="54"/>
      <c r="EB11" s="54"/>
      <c r="EC11" s="54"/>
      <c r="ED11" s="54"/>
      <c r="EE11" s="54"/>
      <c r="EF11" s="54"/>
      <c r="EG11" s="54"/>
      <c r="EH11" s="54"/>
      <c r="EI11" s="54"/>
      <c r="EJ11" s="54"/>
      <c r="EK11" s="54"/>
      <c r="EL11" s="54"/>
      <c r="EM11" s="54"/>
      <c r="EN11" s="54"/>
      <c r="EO11" s="54"/>
      <c r="EP11" s="54"/>
      <c r="EQ11" s="54"/>
      <c r="ER11" s="54"/>
      <c r="ES11" s="54"/>
      <c r="ET11" s="54"/>
      <c r="EU11" s="54"/>
      <c r="EV11" s="54"/>
      <c r="EW11" s="54"/>
      <c r="EX11" s="54"/>
      <c r="EY11" s="54"/>
      <c r="EZ11" s="54"/>
      <c r="FA11" s="54"/>
      <c r="FB11" s="54"/>
      <c r="FC11" s="54"/>
      <c r="FD11" s="54"/>
      <c r="FE11" s="54"/>
      <c r="FF11" s="54"/>
      <c r="FG11" s="54"/>
      <c r="FH11" s="54"/>
      <c r="FI11" s="54"/>
      <c r="FJ11" s="54"/>
      <c r="FK11" s="54"/>
      <c r="FL11" s="54"/>
      <c r="FM11" s="54"/>
      <c r="FN11" s="54"/>
      <c r="FO11" s="54"/>
      <c r="FP11" s="54"/>
      <c r="FQ11" s="54"/>
      <c r="FR11" s="54"/>
      <c r="FS11" s="54"/>
      <c r="FT11" s="54"/>
      <c r="FU11" s="54"/>
      <c r="FV11" s="54"/>
      <c r="FW11" s="54"/>
      <c r="FX11" s="54"/>
      <c r="FY11" s="54"/>
      <c r="FZ11" s="54"/>
      <c r="GA11" s="54"/>
      <c r="GB11" s="54"/>
      <c r="GC11" s="54"/>
      <c r="GD11" s="54"/>
      <c r="GE11" s="54"/>
      <c r="GF11" s="54"/>
      <c r="GG11" s="54"/>
      <c r="GH11" s="54"/>
      <c r="GI11" s="54"/>
      <c r="GJ11" s="54"/>
      <c r="GK11" s="54"/>
      <c r="GL11" s="54"/>
      <c r="GM11" s="54"/>
      <c r="GN11" s="54"/>
      <c r="GO11" s="54"/>
      <c r="GP11" s="54"/>
      <c r="GQ11" s="54"/>
      <c r="GR11" s="54"/>
      <c r="GS11" s="54"/>
      <c r="GT11" s="54"/>
      <c r="GU11" s="54"/>
      <c r="GV11" s="54"/>
      <c r="GW11" s="54"/>
      <c r="GX11" s="54"/>
      <c r="GY11" s="54"/>
      <c r="GZ11" s="54"/>
      <c r="HA11" s="54"/>
      <c r="HB11" s="54"/>
      <c r="HC11" s="54"/>
      <c r="HD11" s="54"/>
      <c r="HE11" s="54"/>
      <c r="HF11" s="54"/>
      <c r="HG11" s="54"/>
      <c r="HH11" s="54"/>
      <c r="HI11" s="54"/>
      <c r="HJ11" s="54"/>
      <c r="HK11" s="54"/>
      <c r="HL11" s="54"/>
      <c r="HM11" s="54"/>
      <c r="HN11" s="54"/>
      <c r="HO11" s="54"/>
      <c r="HP11" s="54"/>
      <c r="HQ11" s="54"/>
      <c r="HR11" s="54"/>
      <c r="HS11" s="54"/>
      <c r="HT11" s="54"/>
      <c r="HU11" s="54"/>
      <c r="HV11" s="54"/>
      <c r="HW11" s="54"/>
      <c r="HX11" s="54"/>
      <c r="HY11" s="54"/>
      <c r="HZ11" s="54"/>
      <c r="IA11" s="54"/>
      <c r="IB11" s="54"/>
      <c r="IC11" s="54"/>
      <c r="ID11" s="54"/>
      <c r="IE11" s="54"/>
      <c r="IF11" s="54"/>
      <c r="IG11" s="54"/>
      <c r="IH11" s="54"/>
      <c r="II11" s="54"/>
      <c r="IJ11" s="54"/>
      <c r="IK11" s="54"/>
      <c r="IL11" s="54"/>
      <c r="IM11" s="54"/>
      <c r="IN11" s="54"/>
      <c r="IO11" s="54"/>
      <c r="IP11" s="54"/>
      <c r="IQ11" s="54"/>
      <c r="IR11" s="54"/>
      <c r="IS11" s="54"/>
      <c r="IT11" s="54"/>
      <c r="IU11" s="54"/>
      <c r="IV11" s="54"/>
      <c r="IW11" s="54"/>
      <c r="IX11" s="54"/>
      <c r="IY11" s="54"/>
      <c r="IZ11" s="54"/>
      <c r="JA11" s="54"/>
      <c r="JB11" s="54"/>
      <c r="JC11" s="54"/>
      <c r="JD11" s="54"/>
      <c r="JE11" s="54"/>
      <c r="JF11" s="54"/>
      <c r="JG11" s="54"/>
      <c r="JH11" s="54"/>
      <c r="JI11" s="54"/>
      <c r="JJ11" s="54"/>
      <c r="JK11" s="54"/>
      <c r="JL11" s="54"/>
      <c r="JM11" s="54"/>
      <c r="JN11" s="54"/>
      <c r="JO11" s="54"/>
      <c r="JP11" s="54"/>
      <c r="JQ11" s="54"/>
      <c r="JR11" s="54"/>
      <c r="JS11" s="54"/>
      <c r="JT11" s="54"/>
      <c r="JU11" s="54"/>
      <c r="JV11" s="54"/>
      <c r="JW11" s="54"/>
      <c r="JX11" s="54"/>
      <c r="JY11" s="54"/>
      <c r="JZ11" s="54"/>
    </row>
    <row r="12" spans="1:286" s="56" customFormat="1" ht="82.5" customHeight="1" x14ac:dyDescent="0.25">
      <c r="A12" s="296"/>
      <c r="B12" s="30" t="s">
        <v>45</v>
      </c>
      <c r="C12" s="31" t="s">
        <v>74</v>
      </c>
      <c r="D12" s="32" t="s">
        <v>47</v>
      </c>
      <c r="E12" s="32" t="s">
        <v>75</v>
      </c>
      <c r="F12" s="33"/>
      <c r="G12" s="33" t="s">
        <v>50</v>
      </c>
      <c r="H12" s="33">
        <v>20</v>
      </c>
      <c r="I12" s="37">
        <v>0</v>
      </c>
      <c r="J12" s="38">
        <v>0</v>
      </c>
      <c r="K12" s="39">
        <v>10</v>
      </c>
      <c r="L12" s="40">
        <v>0</v>
      </c>
      <c r="M12" s="41">
        <v>10</v>
      </c>
      <c r="N12" s="42">
        <f t="shared" si="11"/>
        <v>20</v>
      </c>
      <c r="O12" s="35"/>
      <c r="P12" s="35"/>
      <c r="Q12" s="33"/>
      <c r="R12" s="33" t="s">
        <v>51</v>
      </c>
      <c r="S12" s="36" t="s">
        <v>76</v>
      </c>
      <c r="T12" s="33" t="s">
        <v>77</v>
      </c>
      <c r="U12" s="33">
        <v>20</v>
      </c>
      <c r="V12" s="195">
        <v>0</v>
      </c>
      <c r="W12" s="38">
        <v>0</v>
      </c>
      <c r="X12" s="39">
        <v>0</v>
      </c>
      <c r="Y12" s="40">
        <v>0</v>
      </c>
      <c r="Z12" s="41">
        <v>0</v>
      </c>
      <c r="AA12" s="42">
        <f t="shared" si="0"/>
        <v>0</v>
      </c>
      <c r="AB12" s="35">
        <v>0</v>
      </c>
      <c r="AC12" s="33">
        <v>10</v>
      </c>
      <c r="AD12" s="195">
        <v>0</v>
      </c>
      <c r="AE12" s="38">
        <v>0</v>
      </c>
      <c r="AF12" s="39">
        <v>0</v>
      </c>
      <c r="AG12" s="40">
        <v>0</v>
      </c>
      <c r="AH12" s="41">
        <v>0</v>
      </c>
      <c r="AI12" s="42">
        <f t="shared" si="1"/>
        <v>0</v>
      </c>
      <c r="AJ12" s="46"/>
      <c r="AK12" s="33"/>
      <c r="AL12" s="33"/>
      <c r="AM12" s="46"/>
      <c r="AN12" s="33"/>
      <c r="AO12" s="46"/>
      <c r="AP12" s="33" t="s">
        <v>78</v>
      </c>
      <c r="AQ12" s="33">
        <v>10</v>
      </c>
      <c r="AR12" s="47"/>
      <c r="AS12" s="48"/>
      <c r="AT12" s="49"/>
      <c r="AU12" s="33"/>
      <c r="AV12" s="33"/>
      <c r="AW12" s="33"/>
      <c r="AX12" s="32" t="s">
        <v>68</v>
      </c>
      <c r="AY12" s="54"/>
      <c r="AZ12" s="54"/>
      <c r="BA12" s="54"/>
      <c r="BB12" s="54"/>
      <c r="BC12" s="55"/>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c r="CC12" s="54"/>
      <c r="CD12" s="54"/>
      <c r="CE12" s="54"/>
      <c r="CF12" s="54"/>
      <c r="CG12" s="54"/>
      <c r="CH12" s="54"/>
      <c r="CI12" s="54"/>
      <c r="CJ12" s="54"/>
      <c r="CK12" s="54"/>
      <c r="CL12" s="54"/>
      <c r="CM12" s="54"/>
      <c r="CN12" s="54"/>
      <c r="CO12" s="54"/>
      <c r="CP12" s="54"/>
      <c r="CQ12" s="54"/>
      <c r="CR12" s="54"/>
      <c r="CS12" s="54"/>
      <c r="CT12" s="54"/>
      <c r="CU12" s="54"/>
      <c r="CV12" s="54"/>
      <c r="CW12" s="54"/>
      <c r="CX12" s="54"/>
      <c r="CY12" s="54"/>
      <c r="CZ12" s="54"/>
      <c r="DA12" s="54"/>
      <c r="DB12" s="54"/>
      <c r="DC12" s="54"/>
      <c r="DD12" s="54"/>
      <c r="DE12" s="54"/>
      <c r="DF12" s="54"/>
      <c r="DG12" s="54"/>
      <c r="DH12" s="54"/>
      <c r="DI12" s="54"/>
      <c r="DJ12" s="54"/>
      <c r="DK12" s="54"/>
      <c r="DL12" s="54"/>
      <c r="DM12" s="54"/>
      <c r="DN12" s="54"/>
      <c r="DO12" s="54"/>
      <c r="DP12" s="54"/>
      <c r="DQ12" s="54"/>
      <c r="DR12" s="54"/>
      <c r="DS12" s="54"/>
      <c r="DT12" s="54"/>
      <c r="DU12" s="54"/>
      <c r="DV12" s="54"/>
      <c r="DW12" s="54"/>
      <c r="DX12" s="54"/>
      <c r="DY12" s="54"/>
      <c r="DZ12" s="54"/>
      <c r="EA12" s="54"/>
      <c r="EB12" s="54"/>
      <c r="EC12" s="54"/>
      <c r="ED12" s="54"/>
      <c r="EE12" s="54"/>
      <c r="EF12" s="54"/>
      <c r="EG12" s="54"/>
      <c r="EH12" s="54"/>
      <c r="EI12" s="54"/>
      <c r="EJ12" s="54"/>
      <c r="EK12" s="54"/>
      <c r="EL12" s="54"/>
      <c r="EM12" s="54"/>
      <c r="EN12" s="54"/>
      <c r="EO12" s="54"/>
      <c r="EP12" s="54"/>
      <c r="EQ12" s="54"/>
      <c r="ER12" s="54"/>
      <c r="ES12" s="54"/>
      <c r="ET12" s="54"/>
      <c r="EU12" s="54"/>
      <c r="EV12" s="54"/>
      <c r="EW12" s="54"/>
      <c r="EX12" s="54"/>
      <c r="EY12" s="54"/>
      <c r="EZ12" s="54"/>
      <c r="FA12" s="54"/>
      <c r="FB12" s="54"/>
      <c r="FC12" s="54"/>
      <c r="FD12" s="54"/>
      <c r="FE12" s="54"/>
      <c r="FF12" s="54"/>
      <c r="FG12" s="54"/>
      <c r="FH12" s="54"/>
      <c r="FI12" s="54"/>
      <c r="FJ12" s="54"/>
      <c r="FK12" s="54"/>
      <c r="FL12" s="54"/>
      <c r="FM12" s="54"/>
      <c r="FN12" s="54"/>
      <c r="FO12" s="54"/>
      <c r="FP12" s="54"/>
      <c r="FQ12" s="54"/>
      <c r="FR12" s="54"/>
      <c r="FS12" s="54"/>
      <c r="FT12" s="54"/>
      <c r="FU12" s="54"/>
      <c r="FV12" s="54"/>
      <c r="FW12" s="54"/>
      <c r="FX12" s="54"/>
      <c r="FY12" s="54"/>
      <c r="FZ12" s="54"/>
      <c r="GA12" s="54"/>
      <c r="GB12" s="54"/>
      <c r="GC12" s="54"/>
      <c r="GD12" s="54"/>
      <c r="GE12" s="54"/>
      <c r="GF12" s="54"/>
      <c r="GG12" s="54"/>
      <c r="GH12" s="54"/>
      <c r="GI12" s="54"/>
      <c r="GJ12" s="54"/>
      <c r="GK12" s="54"/>
      <c r="GL12" s="54"/>
      <c r="GM12" s="54"/>
      <c r="GN12" s="54"/>
      <c r="GO12" s="54"/>
      <c r="GP12" s="54"/>
      <c r="GQ12" s="54"/>
      <c r="GR12" s="54"/>
      <c r="GS12" s="54"/>
      <c r="GT12" s="54"/>
      <c r="GU12" s="54"/>
      <c r="GV12" s="54"/>
      <c r="GW12" s="54"/>
      <c r="GX12" s="54"/>
      <c r="GY12" s="54"/>
      <c r="GZ12" s="54"/>
      <c r="HA12" s="54"/>
      <c r="HB12" s="54"/>
      <c r="HC12" s="54"/>
      <c r="HD12" s="54"/>
      <c r="HE12" s="54"/>
      <c r="HF12" s="54"/>
      <c r="HG12" s="54"/>
      <c r="HH12" s="54"/>
      <c r="HI12" s="54"/>
      <c r="HJ12" s="54"/>
      <c r="HK12" s="54"/>
      <c r="HL12" s="54"/>
      <c r="HM12" s="54"/>
      <c r="HN12" s="54"/>
      <c r="HO12" s="54"/>
      <c r="HP12" s="54"/>
      <c r="HQ12" s="54"/>
      <c r="HR12" s="54"/>
      <c r="HS12" s="54"/>
      <c r="HT12" s="54"/>
      <c r="HU12" s="54"/>
      <c r="HV12" s="54"/>
      <c r="HW12" s="54"/>
      <c r="HX12" s="54"/>
      <c r="HY12" s="54"/>
      <c r="HZ12" s="54"/>
      <c r="IA12" s="54"/>
      <c r="IB12" s="54"/>
      <c r="IC12" s="54"/>
      <c r="ID12" s="54"/>
      <c r="IE12" s="54"/>
      <c r="IF12" s="54"/>
      <c r="IG12" s="54"/>
      <c r="IH12" s="54"/>
      <c r="II12" s="54"/>
      <c r="IJ12" s="54"/>
      <c r="IK12" s="54"/>
      <c r="IL12" s="54"/>
      <c r="IM12" s="54"/>
      <c r="IN12" s="54"/>
      <c r="IO12" s="54"/>
      <c r="IP12" s="54"/>
      <c r="IQ12" s="54"/>
      <c r="IR12" s="54"/>
      <c r="IS12" s="54"/>
      <c r="IT12" s="54"/>
      <c r="IU12" s="54"/>
      <c r="IV12" s="54"/>
      <c r="IW12" s="54"/>
      <c r="IX12" s="54"/>
      <c r="IY12" s="54"/>
      <c r="IZ12" s="54"/>
      <c r="JA12" s="54"/>
      <c r="JB12" s="54"/>
      <c r="JC12" s="54"/>
      <c r="JD12" s="54"/>
      <c r="JE12" s="54"/>
      <c r="JF12" s="54"/>
      <c r="JG12" s="54"/>
      <c r="JH12" s="54"/>
      <c r="JI12" s="54"/>
      <c r="JJ12" s="54"/>
      <c r="JK12" s="54"/>
      <c r="JL12" s="54"/>
      <c r="JM12" s="54"/>
      <c r="JN12" s="54"/>
      <c r="JO12" s="54"/>
      <c r="JP12" s="54"/>
      <c r="JQ12" s="54"/>
      <c r="JR12" s="54"/>
      <c r="JS12" s="54"/>
      <c r="JT12" s="54"/>
      <c r="JU12" s="54"/>
      <c r="JV12" s="54"/>
      <c r="JW12" s="54"/>
      <c r="JX12" s="54"/>
      <c r="JY12" s="54"/>
      <c r="JZ12" s="54"/>
    </row>
    <row r="13" spans="1:286" s="56" customFormat="1" ht="82.5" customHeight="1" x14ac:dyDescent="0.25">
      <c r="A13" s="296"/>
      <c r="B13" s="30" t="s">
        <v>45</v>
      </c>
      <c r="C13" s="31" t="s">
        <v>74</v>
      </c>
      <c r="D13" s="32" t="s">
        <v>47</v>
      </c>
      <c r="E13" s="32" t="s">
        <v>75</v>
      </c>
      <c r="F13" s="33"/>
      <c r="G13" s="33" t="s">
        <v>71</v>
      </c>
      <c r="H13" s="33">
        <v>15</v>
      </c>
      <c r="I13" s="37">
        <v>2</v>
      </c>
      <c r="J13" s="38">
        <v>6</v>
      </c>
      <c r="K13" s="39">
        <v>10</v>
      </c>
      <c r="L13" s="40">
        <v>5</v>
      </c>
      <c r="M13" s="41">
        <v>10</v>
      </c>
      <c r="N13" s="42">
        <f t="shared" si="11"/>
        <v>33</v>
      </c>
      <c r="O13" s="35"/>
      <c r="P13" s="35"/>
      <c r="Q13" s="33"/>
      <c r="R13" s="33" t="s">
        <v>51</v>
      </c>
      <c r="S13" s="36" t="s">
        <v>76</v>
      </c>
      <c r="T13" s="33" t="s">
        <v>77</v>
      </c>
      <c r="U13" s="33">
        <v>15</v>
      </c>
      <c r="V13" s="195">
        <v>2</v>
      </c>
      <c r="W13" s="38">
        <v>6</v>
      </c>
      <c r="X13" s="39">
        <v>10</v>
      </c>
      <c r="Y13" s="40">
        <v>8</v>
      </c>
      <c r="Z13" s="41">
        <v>10</v>
      </c>
      <c r="AA13" s="42">
        <f t="shared" si="0"/>
        <v>36</v>
      </c>
      <c r="AB13" s="35">
        <v>0</v>
      </c>
      <c r="AC13" s="33">
        <v>10</v>
      </c>
      <c r="AD13" s="195">
        <v>2</v>
      </c>
      <c r="AE13" s="38">
        <v>2</v>
      </c>
      <c r="AF13" s="39">
        <v>2</v>
      </c>
      <c r="AG13" s="40">
        <v>1</v>
      </c>
      <c r="AH13" s="41">
        <v>2</v>
      </c>
      <c r="AI13" s="42">
        <f t="shared" si="1"/>
        <v>9</v>
      </c>
      <c r="AJ13" s="46"/>
      <c r="AK13" s="33"/>
      <c r="AL13" s="33"/>
      <c r="AM13" s="46"/>
      <c r="AN13" s="33"/>
      <c r="AO13" s="46"/>
      <c r="AP13" s="33" t="s">
        <v>78</v>
      </c>
      <c r="AQ13" s="33">
        <v>10</v>
      </c>
      <c r="AR13" s="47"/>
      <c r="AS13" s="48"/>
      <c r="AT13" s="49"/>
      <c r="AU13" s="33"/>
      <c r="AV13" s="33"/>
      <c r="AW13" s="33"/>
      <c r="AX13" s="32" t="s">
        <v>68</v>
      </c>
      <c r="AY13" s="54"/>
      <c r="AZ13" s="54"/>
      <c r="BA13" s="54"/>
      <c r="BB13" s="54"/>
      <c r="BC13" s="55"/>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c r="CC13" s="54"/>
      <c r="CD13" s="54"/>
      <c r="CE13" s="54"/>
      <c r="CF13" s="54"/>
      <c r="CG13" s="54"/>
      <c r="CH13" s="54"/>
      <c r="CI13" s="54"/>
      <c r="CJ13" s="54"/>
      <c r="CK13" s="54"/>
      <c r="CL13" s="54"/>
      <c r="CM13" s="54"/>
      <c r="CN13" s="54"/>
      <c r="CO13" s="54"/>
      <c r="CP13" s="54"/>
      <c r="CQ13" s="54"/>
      <c r="CR13" s="54"/>
      <c r="CS13" s="54"/>
      <c r="CT13" s="54"/>
      <c r="CU13" s="54"/>
      <c r="CV13" s="54"/>
      <c r="CW13" s="54"/>
      <c r="CX13" s="54"/>
      <c r="CY13" s="54"/>
      <c r="CZ13" s="54"/>
      <c r="DA13" s="54"/>
      <c r="DB13" s="54"/>
      <c r="DC13" s="54"/>
      <c r="DD13" s="54"/>
      <c r="DE13" s="54"/>
      <c r="DF13" s="54"/>
      <c r="DG13" s="54"/>
      <c r="DH13" s="54"/>
      <c r="DI13" s="54"/>
      <c r="DJ13" s="54"/>
      <c r="DK13" s="54"/>
      <c r="DL13" s="54"/>
      <c r="DM13" s="54"/>
      <c r="DN13" s="54"/>
      <c r="DO13" s="54"/>
      <c r="DP13" s="54"/>
      <c r="DQ13" s="54"/>
      <c r="DR13" s="54"/>
      <c r="DS13" s="54"/>
      <c r="DT13" s="54"/>
      <c r="DU13" s="54"/>
      <c r="DV13" s="54"/>
      <c r="DW13" s="54"/>
      <c r="DX13" s="54"/>
      <c r="DY13" s="54"/>
      <c r="DZ13" s="54"/>
      <c r="EA13" s="54"/>
      <c r="EB13" s="54"/>
      <c r="EC13" s="54"/>
      <c r="ED13" s="54"/>
      <c r="EE13" s="54"/>
      <c r="EF13" s="54"/>
      <c r="EG13" s="54"/>
      <c r="EH13" s="54"/>
      <c r="EI13" s="54"/>
      <c r="EJ13" s="54"/>
      <c r="EK13" s="54"/>
      <c r="EL13" s="54"/>
      <c r="EM13" s="54"/>
      <c r="EN13" s="54"/>
      <c r="EO13" s="54"/>
      <c r="EP13" s="54"/>
      <c r="EQ13" s="54"/>
      <c r="ER13" s="54"/>
      <c r="ES13" s="54"/>
      <c r="ET13" s="54"/>
      <c r="EU13" s="54"/>
      <c r="EV13" s="54"/>
      <c r="EW13" s="54"/>
      <c r="EX13" s="54"/>
      <c r="EY13" s="54"/>
      <c r="EZ13" s="54"/>
      <c r="FA13" s="54"/>
      <c r="FB13" s="54"/>
      <c r="FC13" s="54"/>
      <c r="FD13" s="54"/>
      <c r="FE13" s="54"/>
      <c r="FF13" s="54"/>
      <c r="FG13" s="54"/>
      <c r="FH13" s="54"/>
      <c r="FI13" s="54"/>
      <c r="FJ13" s="54"/>
      <c r="FK13" s="54"/>
      <c r="FL13" s="54"/>
      <c r="FM13" s="54"/>
      <c r="FN13" s="54"/>
      <c r="FO13" s="54"/>
      <c r="FP13" s="54"/>
      <c r="FQ13" s="54"/>
      <c r="FR13" s="54"/>
      <c r="FS13" s="54"/>
      <c r="FT13" s="54"/>
      <c r="FU13" s="54"/>
      <c r="FV13" s="54"/>
      <c r="FW13" s="54"/>
      <c r="FX13" s="54"/>
      <c r="FY13" s="54"/>
      <c r="FZ13" s="54"/>
      <c r="GA13" s="54"/>
      <c r="GB13" s="54"/>
      <c r="GC13" s="54"/>
      <c r="GD13" s="54"/>
      <c r="GE13" s="54"/>
      <c r="GF13" s="54"/>
      <c r="GG13" s="54"/>
      <c r="GH13" s="54"/>
      <c r="GI13" s="54"/>
      <c r="GJ13" s="54"/>
      <c r="GK13" s="54"/>
      <c r="GL13" s="54"/>
      <c r="GM13" s="54"/>
      <c r="GN13" s="54"/>
      <c r="GO13" s="54"/>
      <c r="GP13" s="54"/>
      <c r="GQ13" s="54"/>
      <c r="GR13" s="54"/>
      <c r="GS13" s="54"/>
      <c r="GT13" s="54"/>
      <c r="GU13" s="54"/>
      <c r="GV13" s="54"/>
      <c r="GW13" s="54"/>
      <c r="GX13" s="54"/>
      <c r="GY13" s="54"/>
      <c r="GZ13" s="54"/>
      <c r="HA13" s="54"/>
      <c r="HB13" s="54"/>
      <c r="HC13" s="54"/>
      <c r="HD13" s="54"/>
      <c r="HE13" s="54"/>
      <c r="HF13" s="54"/>
      <c r="HG13" s="54"/>
      <c r="HH13" s="54"/>
      <c r="HI13" s="54"/>
      <c r="HJ13" s="54"/>
      <c r="HK13" s="54"/>
      <c r="HL13" s="54"/>
      <c r="HM13" s="54"/>
      <c r="HN13" s="54"/>
      <c r="HO13" s="54"/>
      <c r="HP13" s="54"/>
      <c r="HQ13" s="54"/>
      <c r="HR13" s="54"/>
      <c r="HS13" s="54"/>
      <c r="HT13" s="54"/>
      <c r="HU13" s="54"/>
      <c r="HV13" s="54"/>
      <c r="HW13" s="54"/>
      <c r="HX13" s="54"/>
      <c r="HY13" s="54"/>
      <c r="HZ13" s="54"/>
      <c r="IA13" s="54"/>
      <c r="IB13" s="54"/>
      <c r="IC13" s="54"/>
      <c r="ID13" s="54"/>
      <c r="IE13" s="54"/>
      <c r="IF13" s="54"/>
      <c r="IG13" s="54"/>
      <c r="IH13" s="54"/>
      <c r="II13" s="54"/>
      <c r="IJ13" s="54"/>
      <c r="IK13" s="54"/>
      <c r="IL13" s="54"/>
      <c r="IM13" s="54"/>
      <c r="IN13" s="54"/>
      <c r="IO13" s="54"/>
      <c r="IP13" s="54"/>
      <c r="IQ13" s="54"/>
      <c r="IR13" s="54"/>
      <c r="IS13" s="54"/>
      <c r="IT13" s="54"/>
      <c r="IU13" s="54"/>
      <c r="IV13" s="54"/>
      <c r="IW13" s="54"/>
      <c r="IX13" s="54"/>
      <c r="IY13" s="54"/>
      <c r="IZ13" s="54"/>
      <c r="JA13" s="54"/>
      <c r="JB13" s="54"/>
      <c r="JC13" s="54"/>
      <c r="JD13" s="54"/>
      <c r="JE13" s="54"/>
      <c r="JF13" s="54"/>
      <c r="JG13" s="54"/>
      <c r="JH13" s="54"/>
      <c r="JI13" s="54"/>
      <c r="JJ13" s="54"/>
      <c r="JK13" s="54"/>
      <c r="JL13" s="54"/>
      <c r="JM13" s="54"/>
      <c r="JN13" s="54"/>
      <c r="JO13" s="54"/>
      <c r="JP13" s="54"/>
      <c r="JQ13" s="54"/>
      <c r="JR13" s="54"/>
      <c r="JS13" s="54"/>
      <c r="JT13" s="54"/>
      <c r="JU13" s="54"/>
      <c r="JV13" s="54"/>
      <c r="JW13" s="54"/>
      <c r="JX13" s="54"/>
      <c r="JY13" s="54"/>
      <c r="JZ13" s="54"/>
    </row>
    <row r="14" spans="1:286" s="56" customFormat="1" ht="82.5" customHeight="1" x14ac:dyDescent="0.25">
      <c r="A14" s="296"/>
      <c r="B14" s="30" t="s">
        <v>45</v>
      </c>
      <c r="C14" s="31" t="s">
        <v>74</v>
      </c>
      <c r="D14" s="32" t="s">
        <v>47</v>
      </c>
      <c r="E14" s="32" t="s">
        <v>75</v>
      </c>
      <c r="F14" s="51" t="s">
        <v>61</v>
      </c>
      <c r="G14" s="51"/>
      <c r="H14" s="52">
        <f>SUBTOTAL(9,H12:H13)</f>
        <v>35</v>
      </c>
      <c r="I14" s="52">
        <f t="shared" ref="I14" si="20">SUBTOTAL(9,I12:I13)</f>
        <v>2</v>
      </c>
      <c r="J14" s="52">
        <f t="shared" ref="J14:O14" si="21">SUBTOTAL(9,J12:J13)</f>
        <v>6</v>
      </c>
      <c r="K14" s="52">
        <f t="shared" si="21"/>
        <v>20</v>
      </c>
      <c r="L14" s="52">
        <f t="shared" si="21"/>
        <v>5</v>
      </c>
      <c r="M14" s="52">
        <f t="shared" si="21"/>
        <v>20</v>
      </c>
      <c r="N14" s="52">
        <f t="shared" si="11"/>
        <v>53</v>
      </c>
      <c r="O14" s="52">
        <f t="shared" si="21"/>
        <v>0</v>
      </c>
      <c r="P14" s="52"/>
      <c r="Q14" s="51"/>
      <c r="R14" s="51"/>
      <c r="S14" s="53"/>
      <c r="T14" s="51"/>
      <c r="U14" s="52">
        <f>SUBTOTAL(9,U12:U13)</f>
        <v>35</v>
      </c>
      <c r="V14" s="52">
        <f t="shared" ref="V14" si="22">SUBTOTAL(9,V12:V13)</f>
        <v>2</v>
      </c>
      <c r="W14" s="52">
        <f t="shared" ref="W14:AJ14" si="23">SUBTOTAL(9,W12:W13)</f>
        <v>6</v>
      </c>
      <c r="X14" s="52">
        <f t="shared" si="23"/>
        <v>10</v>
      </c>
      <c r="Y14" s="52">
        <f t="shared" si="23"/>
        <v>8</v>
      </c>
      <c r="Z14" s="52">
        <f t="shared" si="23"/>
        <v>10</v>
      </c>
      <c r="AA14" s="52">
        <f t="shared" si="0"/>
        <v>36</v>
      </c>
      <c r="AB14" s="52">
        <f t="shared" si="23"/>
        <v>0</v>
      </c>
      <c r="AC14" s="52">
        <f t="shared" si="23"/>
        <v>20</v>
      </c>
      <c r="AD14" s="52">
        <f t="shared" si="23"/>
        <v>2</v>
      </c>
      <c r="AE14" s="52">
        <f t="shared" si="23"/>
        <v>2</v>
      </c>
      <c r="AF14" s="52">
        <f t="shared" si="23"/>
        <v>2</v>
      </c>
      <c r="AG14" s="52">
        <f t="shared" si="23"/>
        <v>1</v>
      </c>
      <c r="AH14" s="52">
        <f t="shared" si="23"/>
        <v>2</v>
      </c>
      <c r="AI14" s="52">
        <f t="shared" si="1"/>
        <v>9</v>
      </c>
      <c r="AJ14" s="52">
        <f t="shared" si="23"/>
        <v>0</v>
      </c>
      <c r="AK14" s="51"/>
      <c r="AL14" s="51"/>
      <c r="AM14" s="51"/>
      <c r="AN14" s="51"/>
      <c r="AO14" s="51"/>
      <c r="AP14" s="51"/>
      <c r="AQ14" s="51">
        <f>SUBTOTAL(9,AQ12:AQ13)</f>
        <v>20</v>
      </c>
      <c r="AR14" s="51">
        <f t="shared" ref="AR14:AT14" si="24">SUBTOTAL(9,AR12:AR13)</f>
        <v>0</v>
      </c>
      <c r="AS14" s="51">
        <f t="shared" si="24"/>
        <v>0</v>
      </c>
      <c r="AT14" s="51">
        <f t="shared" si="24"/>
        <v>0</v>
      </c>
      <c r="AU14" s="51"/>
      <c r="AV14" s="51"/>
      <c r="AW14" s="51"/>
      <c r="AX14" s="51" t="s">
        <v>68</v>
      </c>
      <c r="AY14" s="54"/>
      <c r="AZ14" s="54"/>
      <c r="BA14" s="54"/>
      <c r="BB14" s="54"/>
      <c r="BC14" s="55"/>
      <c r="BD14" s="54"/>
      <c r="BE14" s="54"/>
      <c r="BF14" s="54"/>
      <c r="BG14" s="54"/>
      <c r="BH14" s="54"/>
      <c r="BI14" s="54"/>
      <c r="BJ14" s="54"/>
      <c r="BK14" s="54"/>
      <c r="BL14" s="54"/>
      <c r="BM14" s="54"/>
      <c r="BN14" s="54"/>
      <c r="BO14" s="54"/>
      <c r="BP14" s="54"/>
      <c r="BQ14" s="54"/>
      <c r="BR14" s="54"/>
      <c r="BS14" s="54"/>
      <c r="BT14" s="54"/>
      <c r="BU14" s="54"/>
      <c r="BV14" s="54"/>
      <c r="BW14" s="54"/>
      <c r="BX14" s="54"/>
      <c r="BY14" s="54"/>
      <c r="BZ14" s="54"/>
      <c r="CA14" s="54"/>
      <c r="CB14" s="54"/>
      <c r="CC14" s="54"/>
      <c r="CD14" s="54"/>
      <c r="CE14" s="54"/>
      <c r="CF14" s="54"/>
      <c r="CG14" s="54"/>
      <c r="CH14" s="54"/>
      <c r="CI14" s="54"/>
      <c r="CJ14" s="54"/>
      <c r="CK14" s="54"/>
      <c r="CL14" s="54"/>
      <c r="CM14" s="54"/>
      <c r="CN14" s="54"/>
      <c r="CO14" s="54"/>
      <c r="CP14" s="54"/>
      <c r="CQ14" s="54"/>
      <c r="CR14" s="54"/>
      <c r="CS14" s="54"/>
      <c r="CT14" s="54"/>
      <c r="CU14" s="54"/>
      <c r="CV14" s="54"/>
      <c r="CW14" s="54"/>
      <c r="CX14" s="54"/>
      <c r="CY14" s="54"/>
      <c r="CZ14" s="54"/>
      <c r="DA14" s="54"/>
      <c r="DB14" s="54"/>
      <c r="DC14" s="54"/>
      <c r="DD14" s="54"/>
      <c r="DE14" s="54"/>
      <c r="DF14" s="54"/>
      <c r="DG14" s="54"/>
      <c r="DH14" s="54"/>
      <c r="DI14" s="54"/>
      <c r="DJ14" s="54"/>
      <c r="DK14" s="54"/>
      <c r="DL14" s="54"/>
      <c r="DM14" s="54"/>
      <c r="DN14" s="54"/>
      <c r="DO14" s="54"/>
      <c r="DP14" s="54"/>
      <c r="DQ14" s="54"/>
      <c r="DR14" s="54"/>
      <c r="DS14" s="54"/>
      <c r="DT14" s="54"/>
      <c r="DU14" s="54"/>
      <c r="DV14" s="54"/>
      <c r="DW14" s="54"/>
      <c r="DX14" s="54"/>
      <c r="DY14" s="54"/>
      <c r="DZ14" s="54"/>
      <c r="EA14" s="54"/>
      <c r="EB14" s="54"/>
      <c r="EC14" s="54"/>
      <c r="ED14" s="54"/>
      <c r="EE14" s="54"/>
      <c r="EF14" s="54"/>
      <c r="EG14" s="54"/>
      <c r="EH14" s="54"/>
      <c r="EI14" s="54"/>
      <c r="EJ14" s="54"/>
      <c r="EK14" s="54"/>
      <c r="EL14" s="54"/>
      <c r="EM14" s="54"/>
      <c r="EN14" s="54"/>
      <c r="EO14" s="54"/>
      <c r="EP14" s="54"/>
      <c r="EQ14" s="54"/>
      <c r="ER14" s="54"/>
      <c r="ES14" s="54"/>
      <c r="ET14" s="54"/>
      <c r="EU14" s="54"/>
      <c r="EV14" s="54"/>
      <c r="EW14" s="54"/>
      <c r="EX14" s="54"/>
      <c r="EY14" s="54"/>
      <c r="EZ14" s="54"/>
      <c r="FA14" s="54"/>
      <c r="FB14" s="54"/>
      <c r="FC14" s="54"/>
      <c r="FD14" s="54"/>
      <c r="FE14" s="54"/>
      <c r="FF14" s="54"/>
      <c r="FG14" s="54"/>
      <c r="FH14" s="54"/>
      <c r="FI14" s="54"/>
      <c r="FJ14" s="54"/>
      <c r="FK14" s="54"/>
      <c r="FL14" s="54"/>
      <c r="FM14" s="54"/>
      <c r="FN14" s="54"/>
      <c r="FO14" s="54"/>
      <c r="FP14" s="54"/>
      <c r="FQ14" s="54"/>
      <c r="FR14" s="54"/>
      <c r="FS14" s="54"/>
      <c r="FT14" s="54"/>
      <c r="FU14" s="54"/>
      <c r="FV14" s="54"/>
      <c r="FW14" s="54"/>
      <c r="FX14" s="54"/>
      <c r="FY14" s="54"/>
      <c r="FZ14" s="54"/>
      <c r="GA14" s="54"/>
      <c r="GB14" s="54"/>
      <c r="GC14" s="54"/>
      <c r="GD14" s="54"/>
      <c r="GE14" s="54"/>
      <c r="GF14" s="54"/>
      <c r="GG14" s="54"/>
      <c r="GH14" s="54"/>
      <c r="GI14" s="54"/>
      <c r="GJ14" s="54"/>
      <c r="GK14" s="54"/>
      <c r="GL14" s="54"/>
      <c r="GM14" s="54"/>
      <c r="GN14" s="54"/>
      <c r="GO14" s="54"/>
      <c r="GP14" s="54"/>
      <c r="GQ14" s="54"/>
      <c r="GR14" s="54"/>
      <c r="GS14" s="54"/>
      <c r="GT14" s="54"/>
      <c r="GU14" s="54"/>
      <c r="GV14" s="54"/>
      <c r="GW14" s="54"/>
      <c r="GX14" s="54"/>
      <c r="GY14" s="54"/>
      <c r="GZ14" s="54"/>
      <c r="HA14" s="54"/>
      <c r="HB14" s="54"/>
      <c r="HC14" s="54"/>
      <c r="HD14" s="54"/>
      <c r="HE14" s="54"/>
      <c r="HF14" s="54"/>
      <c r="HG14" s="54"/>
      <c r="HH14" s="54"/>
      <c r="HI14" s="54"/>
      <c r="HJ14" s="54"/>
      <c r="HK14" s="54"/>
      <c r="HL14" s="54"/>
      <c r="HM14" s="54"/>
      <c r="HN14" s="54"/>
      <c r="HO14" s="54"/>
      <c r="HP14" s="54"/>
      <c r="HQ14" s="54"/>
      <c r="HR14" s="54"/>
      <c r="HS14" s="54"/>
      <c r="HT14" s="54"/>
      <c r="HU14" s="54"/>
      <c r="HV14" s="54"/>
      <c r="HW14" s="54"/>
      <c r="HX14" s="54"/>
      <c r="HY14" s="54"/>
      <c r="HZ14" s="54"/>
      <c r="IA14" s="54"/>
      <c r="IB14" s="54"/>
      <c r="IC14" s="54"/>
      <c r="ID14" s="54"/>
      <c r="IE14" s="54"/>
      <c r="IF14" s="54"/>
      <c r="IG14" s="54"/>
      <c r="IH14" s="54"/>
      <c r="II14" s="54"/>
      <c r="IJ14" s="54"/>
      <c r="IK14" s="54"/>
      <c r="IL14" s="54"/>
      <c r="IM14" s="54"/>
      <c r="IN14" s="54"/>
      <c r="IO14" s="54"/>
      <c r="IP14" s="54"/>
      <c r="IQ14" s="54"/>
      <c r="IR14" s="54"/>
      <c r="IS14" s="54"/>
      <c r="IT14" s="54"/>
      <c r="IU14" s="54"/>
      <c r="IV14" s="54"/>
      <c r="IW14" s="54"/>
      <c r="IX14" s="54"/>
      <c r="IY14" s="54"/>
      <c r="IZ14" s="54"/>
      <c r="JA14" s="54"/>
      <c r="JB14" s="54"/>
      <c r="JC14" s="54"/>
      <c r="JD14" s="54"/>
      <c r="JE14" s="54"/>
      <c r="JF14" s="54"/>
      <c r="JG14" s="54"/>
      <c r="JH14" s="54"/>
      <c r="JI14" s="54"/>
      <c r="JJ14" s="54"/>
      <c r="JK14" s="54"/>
      <c r="JL14" s="54"/>
      <c r="JM14" s="54"/>
      <c r="JN14" s="54"/>
      <c r="JO14" s="54"/>
      <c r="JP14" s="54"/>
      <c r="JQ14" s="54"/>
      <c r="JR14" s="54"/>
      <c r="JS14" s="54"/>
      <c r="JT14" s="54"/>
      <c r="JU14" s="54"/>
      <c r="JV14" s="54"/>
      <c r="JW14" s="54"/>
      <c r="JX14" s="54"/>
      <c r="JY14" s="54"/>
      <c r="JZ14" s="54"/>
    </row>
    <row r="15" spans="1:286" s="56" customFormat="1" ht="82.5" customHeight="1" x14ac:dyDescent="0.25">
      <c r="A15" s="296"/>
      <c r="B15" s="30" t="s">
        <v>45</v>
      </c>
      <c r="C15" s="31" t="s">
        <v>79</v>
      </c>
      <c r="D15" s="32" t="s">
        <v>47</v>
      </c>
      <c r="E15" s="32" t="s">
        <v>75</v>
      </c>
      <c r="F15" s="33"/>
      <c r="G15" s="33" t="s">
        <v>71</v>
      </c>
      <c r="H15" s="33">
        <v>50</v>
      </c>
      <c r="I15" s="37">
        <v>2</v>
      </c>
      <c r="J15" s="38">
        <v>6</v>
      </c>
      <c r="K15" s="39">
        <v>19</v>
      </c>
      <c r="L15" s="40">
        <v>5</v>
      </c>
      <c r="M15" s="41">
        <v>13</v>
      </c>
      <c r="N15" s="42">
        <f t="shared" si="11"/>
        <v>45</v>
      </c>
      <c r="O15" s="35">
        <v>0</v>
      </c>
      <c r="P15" s="35"/>
      <c r="Q15" s="33"/>
      <c r="R15" s="33" t="s">
        <v>51</v>
      </c>
      <c r="S15" s="36" t="s">
        <v>80</v>
      </c>
      <c r="T15" s="33" t="s">
        <v>73</v>
      </c>
      <c r="U15" s="33">
        <v>50</v>
      </c>
      <c r="V15" s="195">
        <v>2</v>
      </c>
      <c r="W15" s="38">
        <v>6</v>
      </c>
      <c r="X15" s="39">
        <v>19</v>
      </c>
      <c r="Y15" s="40">
        <v>10</v>
      </c>
      <c r="Z15" s="41">
        <v>13</v>
      </c>
      <c r="AA15" s="42">
        <f t="shared" si="0"/>
        <v>50</v>
      </c>
      <c r="AB15" s="35">
        <v>0</v>
      </c>
      <c r="AC15" s="33">
        <v>5</v>
      </c>
      <c r="AD15" s="195">
        <v>1</v>
      </c>
      <c r="AE15" s="38">
        <v>1</v>
      </c>
      <c r="AF15" s="39">
        <v>1</v>
      </c>
      <c r="AG15" s="40">
        <v>1</v>
      </c>
      <c r="AH15" s="41">
        <v>1</v>
      </c>
      <c r="AI15" s="42">
        <f t="shared" si="1"/>
        <v>5</v>
      </c>
      <c r="AJ15" s="46"/>
      <c r="AK15" s="33"/>
      <c r="AL15" s="33"/>
      <c r="AM15" s="46"/>
      <c r="AN15" s="33"/>
      <c r="AO15" s="46"/>
      <c r="AP15" s="33" t="s">
        <v>81</v>
      </c>
      <c r="AQ15" s="33">
        <v>5</v>
      </c>
      <c r="AR15" s="47"/>
      <c r="AS15" s="48"/>
      <c r="AT15" s="49"/>
      <c r="AU15" s="33"/>
      <c r="AV15" s="33"/>
      <c r="AW15" s="33"/>
      <c r="AX15" s="32" t="s">
        <v>68</v>
      </c>
      <c r="AY15" s="54"/>
      <c r="AZ15" s="54"/>
      <c r="BA15" s="54"/>
      <c r="BB15" s="54"/>
      <c r="BC15" s="55"/>
      <c r="BD15" s="54"/>
      <c r="BE15" s="54"/>
      <c r="BF15" s="54"/>
      <c r="BG15" s="54"/>
      <c r="BH15" s="54"/>
      <c r="BI15" s="54"/>
      <c r="BJ15" s="54"/>
      <c r="BK15" s="54"/>
      <c r="BL15" s="54"/>
      <c r="BM15" s="54"/>
      <c r="BN15" s="54"/>
      <c r="BO15" s="54"/>
      <c r="BP15" s="54"/>
      <c r="BQ15" s="54"/>
      <c r="BR15" s="54"/>
      <c r="BS15" s="54"/>
      <c r="BT15" s="54"/>
      <c r="BU15" s="54"/>
      <c r="BV15" s="54"/>
      <c r="BW15" s="54"/>
      <c r="BX15" s="54"/>
      <c r="BY15" s="54"/>
      <c r="BZ15" s="54"/>
      <c r="CA15" s="54"/>
      <c r="CB15" s="54"/>
      <c r="CC15" s="54"/>
      <c r="CD15" s="54"/>
      <c r="CE15" s="54"/>
      <c r="CF15" s="54"/>
      <c r="CG15" s="54"/>
      <c r="CH15" s="54"/>
      <c r="CI15" s="54"/>
      <c r="CJ15" s="54"/>
      <c r="CK15" s="54"/>
      <c r="CL15" s="54"/>
      <c r="CM15" s="54"/>
      <c r="CN15" s="54"/>
      <c r="CO15" s="54"/>
      <c r="CP15" s="54"/>
      <c r="CQ15" s="54"/>
      <c r="CR15" s="54"/>
      <c r="CS15" s="54"/>
      <c r="CT15" s="54"/>
      <c r="CU15" s="54"/>
      <c r="CV15" s="54"/>
      <c r="CW15" s="54"/>
      <c r="CX15" s="54"/>
      <c r="CY15" s="54"/>
      <c r="CZ15" s="54"/>
      <c r="DA15" s="54"/>
      <c r="DB15" s="54"/>
      <c r="DC15" s="54"/>
      <c r="DD15" s="54"/>
      <c r="DE15" s="54"/>
      <c r="DF15" s="54"/>
      <c r="DG15" s="54"/>
      <c r="DH15" s="54"/>
      <c r="DI15" s="54"/>
      <c r="DJ15" s="54"/>
      <c r="DK15" s="54"/>
      <c r="DL15" s="54"/>
      <c r="DM15" s="54"/>
      <c r="DN15" s="54"/>
      <c r="DO15" s="54"/>
      <c r="DP15" s="54"/>
      <c r="DQ15" s="54"/>
      <c r="DR15" s="54"/>
      <c r="DS15" s="54"/>
      <c r="DT15" s="54"/>
      <c r="DU15" s="54"/>
      <c r="DV15" s="54"/>
      <c r="DW15" s="54"/>
      <c r="DX15" s="54"/>
      <c r="DY15" s="54"/>
      <c r="DZ15" s="54"/>
      <c r="EA15" s="54"/>
      <c r="EB15" s="54"/>
      <c r="EC15" s="54"/>
      <c r="ED15" s="54"/>
      <c r="EE15" s="54"/>
      <c r="EF15" s="54"/>
      <c r="EG15" s="54"/>
      <c r="EH15" s="54"/>
      <c r="EI15" s="54"/>
      <c r="EJ15" s="54"/>
      <c r="EK15" s="54"/>
      <c r="EL15" s="54"/>
      <c r="EM15" s="54"/>
      <c r="EN15" s="54"/>
      <c r="EO15" s="54"/>
      <c r="EP15" s="54"/>
      <c r="EQ15" s="54"/>
      <c r="ER15" s="54"/>
      <c r="ES15" s="54"/>
      <c r="ET15" s="54"/>
      <c r="EU15" s="54"/>
      <c r="EV15" s="54"/>
      <c r="EW15" s="54"/>
      <c r="EX15" s="54"/>
      <c r="EY15" s="54"/>
      <c r="EZ15" s="54"/>
      <c r="FA15" s="54"/>
      <c r="FB15" s="54"/>
      <c r="FC15" s="54"/>
      <c r="FD15" s="54"/>
      <c r="FE15" s="54"/>
      <c r="FF15" s="54"/>
      <c r="FG15" s="54"/>
      <c r="FH15" s="54"/>
      <c r="FI15" s="54"/>
      <c r="FJ15" s="54"/>
      <c r="FK15" s="54"/>
      <c r="FL15" s="54"/>
      <c r="FM15" s="54"/>
      <c r="FN15" s="54"/>
      <c r="FO15" s="54"/>
      <c r="FP15" s="54"/>
      <c r="FQ15" s="54"/>
      <c r="FR15" s="54"/>
      <c r="FS15" s="54"/>
      <c r="FT15" s="54"/>
      <c r="FU15" s="54"/>
      <c r="FV15" s="54"/>
      <c r="FW15" s="54"/>
      <c r="FX15" s="54"/>
      <c r="FY15" s="54"/>
      <c r="FZ15" s="54"/>
      <c r="GA15" s="54"/>
      <c r="GB15" s="54"/>
      <c r="GC15" s="54"/>
      <c r="GD15" s="54"/>
      <c r="GE15" s="54"/>
      <c r="GF15" s="54"/>
      <c r="GG15" s="54"/>
      <c r="GH15" s="54"/>
      <c r="GI15" s="54"/>
      <c r="GJ15" s="54"/>
      <c r="GK15" s="54"/>
      <c r="GL15" s="54"/>
      <c r="GM15" s="54"/>
      <c r="GN15" s="54"/>
      <c r="GO15" s="54"/>
      <c r="GP15" s="54"/>
      <c r="GQ15" s="54"/>
      <c r="GR15" s="54"/>
      <c r="GS15" s="54"/>
      <c r="GT15" s="54"/>
      <c r="GU15" s="54"/>
      <c r="GV15" s="54"/>
      <c r="GW15" s="54"/>
      <c r="GX15" s="54"/>
      <c r="GY15" s="54"/>
      <c r="GZ15" s="54"/>
      <c r="HA15" s="54"/>
      <c r="HB15" s="54"/>
      <c r="HC15" s="54"/>
      <c r="HD15" s="54"/>
      <c r="HE15" s="54"/>
      <c r="HF15" s="54"/>
      <c r="HG15" s="54"/>
      <c r="HH15" s="54"/>
      <c r="HI15" s="54"/>
      <c r="HJ15" s="54"/>
      <c r="HK15" s="54"/>
      <c r="HL15" s="54"/>
      <c r="HM15" s="54"/>
      <c r="HN15" s="54"/>
      <c r="HO15" s="54"/>
      <c r="HP15" s="54"/>
      <c r="HQ15" s="54"/>
      <c r="HR15" s="54"/>
      <c r="HS15" s="54"/>
      <c r="HT15" s="54"/>
      <c r="HU15" s="54"/>
      <c r="HV15" s="54"/>
      <c r="HW15" s="54"/>
      <c r="HX15" s="54"/>
      <c r="HY15" s="54"/>
      <c r="HZ15" s="54"/>
      <c r="IA15" s="54"/>
      <c r="IB15" s="54"/>
      <c r="IC15" s="54"/>
      <c r="ID15" s="54"/>
      <c r="IE15" s="54"/>
      <c r="IF15" s="54"/>
      <c r="IG15" s="54"/>
      <c r="IH15" s="54"/>
      <c r="II15" s="54"/>
      <c r="IJ15" s="54"/>
      <c r="IK15" s="54"/>
      <c r="IL15" s="54"/>
      <c r="IM15" s="54"/>
      <c r="IN15" s="54"/>
      <c r="IO15" s="54"/>
      <c r="IP15" s="54"/>
      <c r="IQ15" s="54"/>
      <c r="IR15" s="54"/>
      <c r="IS15" s="54"/>
      <c r="IT15" s="54"/>
      <c r="IU15" s="54"/>
      <c r="IV15" s="54"/>
      <c r="IW15" s="54"/>
      <c r="IX15" s="54"/>
      <c r="IY15" s="54"/>
      <c r="IZ15" s="54"/>
      <c r="JA15" s="54"/>
      <c r="JB15" s="54"/>
      <c r="JC15" s="54"/>
      <c r="JD15" s="54"/>
      <c r="JE15" s="54"/>
      <c r="JF15" s="54"/>
      <c r="JG15" s="54"/>
      <c r="JH15" s="54"/>
      <c r="JI15" s="54"/>
      <c r="JJ15" s="54"/>
      <c r="JK15" s="54"/>
      <c r="JL15" s="54"/>
      <c r="JM15" s="54"/>
      <c r="JN15" s="54"/>
      <c r="JO15" s="54"/>
      <c r="JP15" s="54"/>
      <c r="JQ15" s="54"/>
      <c r="JR15" s="54"/>
      <c r="JS15" s="54"/>
      <c r="JT15" s="54"/>
      <c r="JU15" s="54"/>
      <c r="JV15" s="54"/>
      <c r="JW15" s="54"/>
      <c r="JX15" s="54"/>
      <c r="JY15" s="54"/>
      <c r="JZ15" s="54"/>
    </row>
    <row r="16" spans="1:286" s="56" customFormat="1" ht="82.5" customHeight="1" x14ac:dyDescent="0.25">
      <c r="A16" s="296"/>
      <c r="B16" s="30" t="s">
        <v>45</v>
      </c>
      <c r="C16" s="31" t="s">
        <v>79</v>
      </c>
      <c r="D16" s="32" t="s">
        <v>47</v>
      </c>
      <c r="E16" s="32" t="s">
        <v>75</v>
      </c>
      <c r="F16" s="51" t="s">
        <v>61</v>
      </c>
      <c r="G16" s="51"/>
      <c r="H16" s="52">
        <f>SUBTOTAL(9,H15)</f>
        <v>50</v>
      </c>
      <c r="I16" s="52">
        <f t="shared" ref="I16" si="25">SUBTOTAL(9,I15)</f>
        <v>2</v>
      </c>
      <c r="J16" s="52">
        <f t="shared" ref="J16:O16" si="26">SUBTOTAL(9,J15)</f>
        <v>6</v>
      </c>
      <c r="K16" s="52">
        <f t="shared" si="26"/>
        <v>19</v>
      </c>
      <c r="L16" s="52">
        <f t="shared" si="26"/>
        <v>5</v>
      </c>
      <c r="M16" s="52">
        <f t="shared" si="26"/>
        <v>13</v>
      </c>
      <c r="N16" s="52">
        <f t="shared" si="11"/>
        <v>45</v>
      </c>
      <c r="O16" s="52">
        <f t="shared" si="26"/>
        <v>0</v>
      </c>
      <c r="P16" s="52"/>
      <c r="Q16" s="51"/>
      <c r="R16" s="51"/>
      <c r="S16" s="53"/>
      <c r="T16" s="51"/>
      <c r="U16" s="52">
        <f>SUBTOTAL(9,U15)</f>
        <v>50</v>
      </c>
      <c r="V16" s="52">
        <f t="shared" ref="V16" si="27">SUBTOTAL(9,V15)</f>
        <v>2</v>
      </c>
      <c r="W16" s="52">
        <f t="shared" ref="W16:AJ16" si="28">SUBTOTAL(9,W15)</f>
        <v>6</v>
      </c>
      <c r="X16" s="52">
        <f t="shared" si="28"/>
        <v>19</v>
      </c>
      <c r="Y16" s="52">
        <f t="shared" si="28"/>
        <v>10</v>
      </c>
      <c r="Z16" s="52">
        <f t="shared" si="28"/>
        <v>13</v>
      </c>
      <c r="AA16" s="52">
        <f t="shared" si="0"/>
        <v>50</v>
      </c>
      <c r="AB16" s="52">
        <f t="shared" si="28"/>
        <v>0</v>
      </c>
      <c r="AC16" s="52">
        <f t="shared" si="28"/>
        <v>5</v>
      </c>
      <c r="AD16" s="52">
        <f t="shared" si="28"/>
        <v>1</v>
      </c>
      <c r="AE16" s="52">
        <f t="shared" si="28"/>
        <v>1</v>
      </c>
      <c r="AF16" s="52">
        <f t="shared" si="28"/>
        <v>1</v>
      </c>
      <c r="AG16" s="52">
        <f t="shared" si="28"/>
        <v>1</v>
      </c>
      <c r="AH16" s="52">
        <f t="shared" si="28"/>
        <v>1</v>
      </c>
      <c r="AI16" s="52">
        <f t="shared" si="1"/>
        <v>5</v>
      </c>
      <c r="AJ16" s="52">
        <f t="shared" si="28"/>
        <v>0</v>
      </c>
      <c r="AK16" s="51"/>
      <c r="AL16" s="51"/>
      <c r="AM16" s="51"/>
      <c r="AN16" s="51"/>
      <c r="AO16" s="51"/>
      <c r="AP16" s="51"/>
      <c r="AQ16" s="51">
        <f>SUBTOTAL(9,AQ15)</f>
        <v>5</v>
      </c>
      <c r="AR16" s="51">
        <f t="shared" ref="AR16:AT16" si="29">SUBTOTAL(9,AR15)</f>
        <v>0</v>
      </c>
      <c r="AS16" s="51">
        <f t="shared" si="29"/>
        <v>0</v>
      </c>
      <c r="AT16" s="51">
        <f t="shared" si="29"/>
        <v>0</v>
      </c>
      <c r="AU16" s="51"/>
      <c r="AV16" s="51"/>
      <c r="AW16" s="51"/>
      <c r="AX16" s="51" t="s">
        <v>68</v>
      </c>
      <c r="AY16" s="54"/>
      <c r="AZ16" s="54"/>
      <c r="BA16" s="54"/>
      <c r="BB16" s="54"/>
      <c r="BC16" s="55"/>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4"/>
      <c r="DD16" s="54"/>
      <c r="DE16" s="54"/>
      <c r="DF16" s="54"/>
      <c r="DG16" s="54"/>
      <c r="DH16" s="54"/>
      <c r="DI16" s="54"/>
      <c r="DJ16" s="54"/>
      <c r="DK16" s="54"/>
      <c r="DL16" s="54"/>
      <c r="DM16" s="54"/>
      <c r="DN16" s="54"/>
      <c r="DO16" s="54"/>
      <c r="DP16" s="54"/>
      <c r="DQ16" s="54"/>
      <c r="DR16" s="54"/>
      <c r="DS16" s="54"/>
      <c r="DT16" s="54"/>
      <c r="DU16" s="54"/>
      <c r="DV16" s="54"/>
      <c r="DW16" s="54"/>
      <c r="DX16" s="54"/>
      <c r="DY16" s="54"/>
      <c r="DZ16" s="54"/>
      <c r="EA16" s="54"/>
      <c r="EB16" s="54"/>
      <c r="EC16" s="54"/>
      <c r="ED16" s="54"/>
      <c r="EE16" s="54"/>
      <c r="EF16" s="54"/>
      <c r="EG16" s="54"/>
      <c r="EH16" s="54"/>
      <c r="EI16" s="54"/>
      <c r="EJ16" s="54"/>
      <c r="EK16" s="54"/>
      <c r="EL16" s="54"/>
      <c r="EM16" s="54"/>
      <c r="EN16" s="54"/>
      <c r="EO16" s="54"/>
      <c r="EP16" s="54"/>
      <c r="EQ16" s="54"/>
      <c r="ER16" s="54"/>
      <c r="ES16" s="54"/>
      <c r="ET16" s="54"/>
      <c r="EU16" s="54"/>
      <c r="EV16" s="54"/>
      <c r="EW16" s="54"/>
      <c r="EX16" s="54"/>
      <c r="EY16" s="54"/>
      <c r="EZ16" s="54"/>
      <c r="FA16" s="54"/>
      <c r="FB16" s="54"/>
      <c r="FC16" s="54"/>
      <c r="FD16" s="54"/>
      <c r="FE16" s="54"/>
      <c r="FF16" s="54"/>
      <c r="FG16" s="54"/>
      <c r="FH16" s="54"/>
      <c r="FI16" s="54"/>
      <c r="FJ16" s="54"/>
      <c r="FK16" s="54"/>
      <c r="FL16" s="54"/>
      <c r="FM16" s="54"/>
      <c r="FN16" s="54"/>
      <c r="FO16" s="54"/>
      <c r="FP16" s="54"/>
      <c r="FQ16" s="54"/>
      <c r="FR16" s="54"/>
      <c r="FS16" s="54"/>
      <c r="FT16" s="54"/>
      <c r="FU16" s="54"/>
      <c r="FV16" s="54"/>
      <c r="FW16" s="54"/>
      <c r="FX16" s="54"/>
      <c r="FY16" s="54"/>
      <c r="FZ16" s="54"/>
      <c r="GA16" s="54"/>
      <c r="GB16" s="54"/>
      <c r="GC16" s="54"/>
      <c r="GD16" s="54"/>
      <c r="GE16" s="54"/>
      <c r="GF16" s="54"/>
      <c r="GG16" s="54"/>
      <c r="GH16" s="54"/>
      <c r="GI16" s="54"/>
      <c r="GJ16" s="54"/>
      <c r="GK16" s="54"/>
      <c r="GL16" s="54"/>
      <c r="GM16" s="54"/>
      <c r="GN16" s="54"/>
      <c r="GO16" s="54"/>
      <c r="GP16" s="54"/>
      <c r="GQ16" s="54"/>
      <c r="GR16" s="54"/>
      <c r="GS16" s="54"/>
      <c r="GT16" s="54"/>
      <c r="GU16" s="54"/>
      <c r="GV16" s="54"/>
      <c r="GW16" s="54"/>
      <c r="GX16" s="54"/>
      <c r="GY16" s="54"/>
      <c r="GZ16" s="54"/>
      <c r="HA16" s="54"/>
      <c r="HB16" s="54"/>
      <c r="HC16" s="54"/>
      <c r="HD16" s="54"/>
      <c r="HE16" s="54"/>
      <c r="HF16" s="54"/>
      <c r="HG16" s="54"/>
      <c r="HH16" s="54"/>
      <c r="HI16" s="54"/>
      <c r="HJ16" s="54"/>
      <c r="HK16" s="54"/>
      <c r="HL16" s="54"/>
      <c r="HM16" s="54"/>
      <c r="HN16" s="54"/>
      <c r="HO16" s="54"/>
      <c r="HP16" s="54"/>
      <c r="HQ16" s="54"/>
      <c r="HR16" s="54"/>
      <c r="HS16" s="54"/>
      <c r="HT16" s="54"/>
      <c r="HU16" s="54"/>
      <c r="HV16" s="54"/>
      <c r="HW16" s="54"/>
      <c r="HX16" s="54"/>
      <c r="HY16" s="54"/>
      <c r="HZ16" s="54"/>
      <c r="IA16" s="54"/>
      <c r="IB16" s="54"/>
      <c r="IC16" s="54"/>
      <c r="ID16" s="54"/>
      <c r="IE16" s="54"/>
      <c r="IF16" s="54"/>
      <c r="IG16" s="54"/>
      <c r="IH16" s="54"/>
      <c r="II16" s="54"/>
      <c r="IJ16" s="54"/>
      <c r="IK16" s="54"/>
      <c r="IL16" s="54"/>
      <c r="IM16" s="54"/>
      <c r="IN16" s="54"/>
      <c r="IO16" s="54"/>
      <c r="IP16" s="54"/>
      <c r="IQ16" s="54"/>
      <c r="IR16" s="54"/>
      <c r="IS16" s="54"/>
      <c r="IT16" s="54"/>
      <c r="IU16" s="54"/>
      <c r="IV16" s="54"/>
      <c r="IW16" s="54"/>
      <c r="IX16" s="54"/>
      <c r="IY16" s="54"/>
      <c r="IZ16" s="54"/>
      <c r="JA16" s="54"/>
      <c r="JB16" s="54"/>
      <c r="JC16" s="54"/>
      <c r="JD16" s="54"/>
      <c r="JE16" s="54"/>
      <c r="JF16" s="54"/>
      <c r="JG16" s="54"/>
      <c r="JH16" s="54"/>
      <c r="JI16" s="54"/>
      <c r="JJ16" s="54"/>
      <c r="JK16" s="54"/>
      <c r="JL16" s="54"/>
      <c r="JM16" s="54"/>
      <c r="JN16" s="54"/>
      <c r="JO16" s="54"/>
      <c r="JP16" s="54"/>
      <c r="JQ16" s="54"/>
      <c r="JR16" s="54"/>
      <c r="JS16" s="54"/>
      <c r="JT16" s="54"/>
      <c r="JU16" s="54"/>
      <c r="JV16" s="54"/>
      <c r="JW16" s="54"/>
      <c r="JX16" s="54"/>
      <c r="JY16" s="54"/>
      <c r="JZ16" s="54"/>
    </row>
    <row r="17" spans="1:286" s="9" customFormat="1" ht="150" customHeight="1" x14ac:dyDescent="0.25">
      <c r="A17" s="63"/>
      <c r="B17" s="30" t="s">
        <v>45</v>
      </c>
      <c r="C17" s="31" t="s">
        <v>82</v>
      </c>
      <c r="D17" s="32" t="s">
        <v>47</v>
      </c>
      <c r="E17" s="32" t="s">
        <v>48</v>
      </c>
      <c r="F17" s="203" t="s">
        <v>49</v>
      </c>
      <c r="G17" s="33" t="s">
        <v>50</v>
      </c>
      <c r="H17" s="33">
        <v>130</v>
      </c>
      <c r="I17" s="37">
        <v>5</v>
      </c>
      <c r="J17" s="38">
        <v>10</v>
      </c>
      <c r="K17" s="39">
        <v>55</v>
      </c>
      <c r="L17" s="40">
        <v>5</v>
      </c>
      <c r="M17" s="41">
        <v>20</v>
      </c>
      <c r="N17" s="34">
        <f t="shared" si="11"/>
        <v>95</v>
      </c>
      <c r="O17" s="35">
        <v>0</v>
      </c>
      <c r="P17" s="35"/>
      <c r="Q17" s="33"/>
      <c r="R17" s="33" t="s">
        <v>51</v>
      </c>
      <c r="S17" s="36" t="s">
        <v>83</v>
      </c>
      <c r="T17" s="33" t="s">
        <v>84</v>
      </c>
      <c r="U17" s="33" t="s">
        <v>85</v>
      </c>
      <c r="V17" s="195"/>
      <c r="W17" s="38"/>
      <c r="X17" s="39"/>
      <c r="Y17" s="40"/>
      <c r="Z17" s="41"/>
      <c r="AA17" s="42">
        <f t="shared" si="0"/>
        <v>0</v>
      </c>
      <c r="AB17" s="35">
        <v>0</v>
      </c>
      <c r="AC17" s="33">
        <v>400</v>
      </c>
      <c r="AD17" s="195">
        <v>100</v>
      </c>
      <c r="AE17" s="38">
        <v>170</v>
      </c>
      <c r="AF17" s="39">
        <v>60</v>
      </c>
      <c r="AG17" s="40">
        <v>30</v>
      </c>
      <c r="AH17" s="62">
        <v>90</v>
      </c>
      <c r="AI17" s="42">
        <f t="shared" si="1"/>
        <v>450</v>
      </c>
      <c r="AJ17" s="35">
        <v>0</v>
      </c>
      <c r="AK17" s="33"/>
      <c r="AL17" s="33"/>
      <c r="AM17" s="46"/>
      <c r="AN17" s="33"/>
      <c r="AO17" s="46"/>
      <c r="AP17" s="33" t="s">
        <v>86</v>
      </c>
      <c r="AQ17" s="33">
        <v>400</v>
      </c>
      <c r="AR17" s="47">
        <v>300</v>
      </c>
      <c r="AS17" s="48">
        <v>0</v>
      </c>
      <c r="AT17" s="49">
        <v>100</v>
      </c>
      <c r="AU17" s="33"/>
      <c r="AV17" s="33"/>
      <c r="AW17" s="33"/>
      <c r="AX17" s="32" t="s">
        <v>87</v>
      </c>
    </row>
    <row r="18" spans="1:286" s="9" customFormat="1" ht="150" customHeight="1" x14ac:dyDescent="0.25">
      <c r="A18" s="63"/>
      <c r="B18" s="30" t="s">
        <v>45</v>
      </c>
      <c r="C18" s="31" t="s">
        <v>82</v>
      </c>
      <c r="D18" s="32" t="s">
        <v>47</v>
      </c>
      <c r="E18" s="32" t="s">
        <v>48</v>
      </c>
      <c r="F18" s="203"/>
      <c r="G18" s="33" t="s">
        <v>71</v>
      </c>
      <c r="H18" s="33">
        <v>10</v>
      </c>
      <c r="I18" s="37">
        <v>0</v>
      </c>
      <c r="J18" s="38">
        <v>0</v>
      </c>
      <c r="K18" s="39">
        <v>7</v>
      </c>
      <c r="L18" s="40">
        <v>2</v>
      </c>
      <c r="M18" s="41">
        <v>1</v>
      </c>
      <c r="N18" s="42">
        <f t="shared" si="11"/>
        <v>10</v>
      </c>
      <c r="O18" s="35">
        <v>0</v>
      </c>
      <c r="P18" s="35"/>
      <c r="Q18" s="33"/>
      <c r="R18" s="33" t="s">
        <v>51</v>
      </c>
      <c r="S18" s="36" t="s">
        <v>481</v>
      </c>
      <c r="T18" s="33" t="s">
        <v>84</v>
      </c>
      <c r="U18" s="33" t="s">
        <v>85</v>
      </c>
      <c r="V18" s="195"/>
      <c r="W18" s="38"/>
      <c r="X18" s="39"/>
      <c r="Y18" s="40"/>
      <c r="Z18" s="41"/>
      <c r="AA18" s="42">
        <f t="shared" si="0"/>
        <v>0</v>
      </c>
      <c r="AB18" s="35">
        <v>0</v>
      </c>
      <c r="AC18" s="33">
        <v>400</v>
      </c>
      <c r="AD18" s="195">
        <v>0</v>
      </c>
      <c r="AE18" s="38">
        <v>0</v>
      </c>
      <c r="AF18" s="39">
        <v>300</v>
      </c>
      <c r="AG18" s="40">
        <v>10</v>
      </c>
      <c r="AH18" s="62">
        <v>20</v>
      </c>
      <c r="AI18" s="42">
        <f t="shared" si="1"/>
        <v>330</v>
      </c>
      <c r="AJ18" s="35">
        <v>0</v>
      </c>
      <c r="AK18" s="33"/>
      <c r="AL18" s="33"/>
      <c r="AM18" s="46"/>
      <c r="AN18" s="33"/>
      <c r="AO18" s="46"/>
      <c r="AP18" s="33" t="s">
        <v>86</v>
      </c>
      <c r="AQ18" s="33">
        <v>400</v>
      </c>
      <c r="AR18" s="47">
        <v>300</v>
      </c>
      <c r="AS18" s="48">
        <v>0</v>
      </c>
      <c r="AT18" s="49">
        <v>100</v>
      </c>
      <c r="AU18" s="33"/>
      <c r="AV18" s="33"/>
      <c r="AW18" s="33"/>
      <c r="AX18" s="32" t="s">
        <v>87</v>
      </c>
    </row>
    <row r="19" spans="1:286" s="56" customFormat="1" ht="82.5" customHeight="1" x14ac:dyDescent="0.25">
      <c r="A19" s="63"/>
      <c r="B19" s="30" t="s">
        <v>45</v>
      </c>
      <c r="C19" s="31" t="s">
        <v>82</v>
      </c>
      <c r="D19" s="32" t="s">
        <v>47</v>
      </c>
      <c r="E19" s="32" t="s">
        <v>48</v>
      </c>
      <c r="F19" s="51" t="s">
        <v>61</v>
      </c>
      <c r="G19" s="51"/>
      <c r="H19" s="52">
        <f>SUM(H17:H18)</f>
        <v>140</v>
      </c>
      <c r="I19" s="52">
        <f t="shared" ref="I19" si="30">SUM(I17:I18)</f>
        <v>5</v>
      </c>
      <c r="J19" s="52">
        <f t="shared" ref="J19:M19" si="31">SUM(J17:J18)</f>
        <v>10</v>
      </c>
      <c r="K19" s="52">
        <f t="shared" si="31"/>
        <v>62</v>
      </c>
      <c r="L19" s="52">
        <f t="shared" si="31"/>
        <v>7</v>
      </c>
      <c r="M19" s="52">
        <f t="shared" si="31"/>
        <v>21</v>
      </c>
      <c r="N19" s="52">
        <f t="shared" si="11"/>
        <v>105</v>
      </c>
      <c r="O19" s="52">
        <f t="shared" ref="O19:P19" si="32">SUM(O17:O18)</f>
        <v>0</v>
      </c>
      <c r="P19" s="52">
        <f t="shared" si="32"/>
        <v>0</v>
      </c>
      <c r="Q19" s="51"/>
      <c r="R19" s="51"/>
      <c r="S19" s="53"/>
      <c r="T19" s="51"/>
      <c r="U19" s="52">
        <f t="shared" ref="U19:AJ19" si="33">SUM(U17:U18)</f>
        <v>0</v>
      </c>
      <c r="V19" s="52">
        <f t="shared" si="33"/>
        <v>0</v>
      </c>
      <c r="W19" s="52">
        <f t="shared" si="33"/>
        <v>0</v>
      </c>
      <c r="X19" s="52">
        <f t="shared" si="33"/>
        <v>0</v>
      </c>
      <c r="Y19" s="52">
        <f t="shared" si="33"/>
        <v>0</v>
      </c>
      <c r="Z19" s="52">
        <f t="shared" si="33"/>
        <v>0</v>
      </c>
      <c r="AA19" s="52">
        <f t="shared" si="0"/>
        <v>0</v>
      </c>
      <c r="AB19" s="52">
        <f t="shared" si="33"/>
        <v>0</v>
      </c>
      <c r="AC19" s="52">
        <f t="shared" si="33"/>
        <v>800</v>
      </c>
      <c r="AD19" s="52">
        <f t="shared" si="33"/>
        <v>100</v>
      </c>
      <c r="AE19" s="52">
        <f t="shared" si="33"/>
        <v>170</v>
      </c>
      <c r="AF19" s="52">
        <f t="shared" si="33"/>
        <v>360</v>
      </c>
      <c r="AG19" s="52">
        <f t="shared" si="33"/>
        <v>40</v>
      </c>
      <c r="AH19" s="52">
        <f t="shared" si="33"/>
        <v>110</v>
      </c>
      <c r="AI19" s="52">
        <f t="shared" si="1"/>
        <v>780</v>
      </c>
      <c r="AJ19" s="52">
        <f t="shared" si="33"/>
        <v>0</v>
      </c>
      <c r="AK19" s="51"/>
      <c r="AL19" s="51"/>
      <c r="AM19" s="51"/>
      <c r="AN19" s="51"/>
      <c r="AO19" s="51"/>
      <c r="AP19" s="51"/>
      <c r="AQ19" s="51">
        <f>SUM(AQ17:AQ18)</f>
        <v>800</v>
      </c>
      <c r="AR19" s="51">
        <f t="shared" ref="AR19:AT19" si="34">SUM(AR17:AR18)</f>
        <v>600</v>
      </c>
      <c r="AS19" s="51">
        <f t="shared" si="34"/>
        <v>0</v>
      </c>
      <c r="AT19" s="51">
        <f t="shared" si="34"/>
        <v>200</v>
      </c>
      <c r="AU19" s="51"/>
      <c r="AV19" s="51"/>
      <c r="AW19" s="51"/>
      <c r="AX19" s="51" t="s">
        <v>87</v>
      </c>
      <c r="AY19" s="54"/>
      <c r="AZ19" s="54"/>
      <c r="BA19" s="54"/>
      <c r="BB19" s="54"/>
      <c r="BC19" s="55"/>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c r="DA19" s="54"/>
      <c r="DB19" s="54"/>
      <c r="DC19" s="54"/>
      <c r="DD19" s="54"/>
      <c r="DE19" s="54"/>
      <c r="DF19" s="54"/>
      <c r="DG19" s="54"/>
      <c r="DH19" s="54"/>
      <c r="DI19" s="54"/>
      <c r="DJ19" s="54"/>
      <c r="DK19" s="54"/>
      <c r="DL19" s="54"/>
      <c r="DM19" s="54"/>
      <c r="DN19" s="54"/>
      <c r="DO19" s="54"/>
      <c r="DP19" s="54"/>
      <c r="DQ19" s="54"/>
      <c r="DR19" s="54"/>
      <c r="DS19" s="54"/>
      <c r="DT19" s="54"/>
      <c r="DU19" s="54"/>
      <c r="DV19" s="54"/>
      <c r="DW19" s="54"/>
      <c r="DX19" s="54"/>
      <c r="DY19" s="54"/>
      <c r="DZ19" s="54"/>
      <c r="EA19" s="54"/>
      <c r="EB19" s="54"/>
      <c r="EC19" s="54"/>
      <c r="ED19" s="54"/>
      <c r="EE19" s="54"/>
      <c r="EF19" s="54"/>
      <c r="EG19" s="54"/>
      <c r="EH19" s="54"/>
      <c r="EI19" s="54"/>
      <c r="EJ19" s="54"/>
      <c r="EK19" s="54"/>
      <c r="EL19" s="54"/>
      <c r="EM19" s="54"/>
      <c r="EN19" s="54"/>
      <c r="EO19" s="54"/>
      <c r="EP19" s="54"/>
      <c r="EQ19" s="54"/>
      <c r="ER19" s="54"/>
      <c r="ES19" s="54"/>
      <c r="ET19" s="54"/>
      <c r="EU19" s="54"/>
      <c r="EV19" s="54"/>
      <c r="EW19" s="54"/>
      <c r="EX19" s="54"/>
      <c r="EY19" s="54"/>
      <c r="EZ19" s="54"/>
      <c r="FA19" s="54"/>
      <c r="FB19" s="54"/>
      <c r="FC19" s="54"/>
      <c r="FD19" s="54"/>
      <c r="FE19" s="54"/>
      <c r="FF19" s="54"/>
      <c r="FG19" s="54"/>
      <c r="FH19" s="54"/>
      <c r="FI19" s="54"/>
      <c r="FJ19" s="54"/>
      <c r="FK19" s="54"/>
      <c r="FL19" s="54"/>
      <c r="FM19" s="54"/>
      <c r="FN19" s="54"/>
      <c r="FO19" s="54"/>
      <c r="FP19" s="54"/>
      <c r="FQ19" s="54"/>
      <c r="FR19" s="54"/>
      <c r="FS19" s="54"/>
      <c r="FT19" s="54"/>
      <c r="FU19" s="54"/>
      <c r="FV19" s="54"/>
      <c r="FW19" s="54"/>
      <c r="FX19" s="54"/>
      <c r="FY19" s="54"/>
      <c r="FZ19" s="54"/>
      <c r="GA19" s="54"/>
      <c r="GB19" s="54"/>
      <c r="GC19" s="54"/>
      <c r="GD19" s="54"/>
      <c r="GE19" s="54"/>
      <c r="GF19" s="54"/>
      <c r="GG19" s="54"/>
      <c r="GH19" s="54"/>
      <c r="GI19" s="54"/>
      <c r="GJ19" s="54"/>
      <c r="GK19" s="54"/>
      <c r="GL19" s="54"/>
      <c r="GM19" s="54"/>
      <c r="GN19" s="54"/>
      <c r="GO19" s="54"/>
      <c r="GP19" s="54"/>
      <c r="GQ19" s="54"/>
      <c r="GR19" s="54"/>
      <c r="GS19" s="54"/>
      <c r="GT19" s="54"/>
      <c r="GU19" s="54"/>
      <c r="GV19" s="54"/>
      <c r="GW19" s="54"/>
      <c r="GX19" s="54"/>
      <c r="GY19" s="54"/>
      <c r="GZ19" s="54"/>
      <c r="HA19" s="54"/>
      <c r="HB19" s="54"/>
      <c r="HC19" s="54"/>
      <c r="HD19" s="54"/>
      <c r="HE19" s="54"/>
      <c r="HF19" s="54"/>
      <c r="HG19" s="54"/>
      <c r="HH19" s="54"/>
      <c r="HI19" s="54"/>
      <c r="HJ19" s="54"/>
      <c r="HK19" s="54"/>
      <c r="HL19" s="54"/>
      <c r="HM19" s="54"/>
      <c r="HN19" s="54"/>
      <c r="HO19" s="54"/>
      <c r="HP19" s="54"/>
      <c r="HQ19" s="54"/>
      <c r="HR19" s="54"/>
      <c r="HS19" s="54"/>
      <c r="HT19" s="54"/>
      <c r="HU19" s="54"/>
      <c r="HV19" s="54"/>
      <c r="HW19" s="54"/>
      <c r="HX19" s="54"/>
      <c r="HY19" s="54"/>
      <c r="HZ19" s="54"/>
      <c r="IA19" s="54"/>
      <c r="IB19" s="54"/>
      <c r="IC19" s="54"/>
      <c r="ID19" s="54"/>
      <c r="IE19" s="54"/>
      <c r="IF19" s="54"/>
      <c r="IG19" s="54"/>
      <c r="IH19" s="54"/>
      <c r="II19" s="54"/>
      <c r="IJ19" s="54"/>
      <c r="IK19" s="54"/>
      <c r="IL19" s="54"/>
      <c r="IM19" s="54"/>
      <c r="IN19" s="54"/>
      <c r="IO19" s="54"/>
      <c r="IP19" s="54"/>
      <c r="IQ19" s="54"/>
      <c r="IR19" s="54"/>
      <c r="IS19" s="54"/>
      <c r="IT19" s="54"/>
      <c r="IU19" s="54"/>
      <c r="IV19" s="54"/>
      <c r="IW19" s="54"/>
      <c r="IX19" s="54"/>
      <c r="IY19" s="54"/>
      <c r="IZ19" s="54"/>
      <c r="JA19" s="54"/>
      <c r="JB19" s="54"/>
      <c r="JC19" s="54"/>
      <c r="JD19" s="54"/>
      <c r="JE19" s="54"/>
      <c r="JF19" s="54"/>
      <c r="JG19" s="54"/>
      <c r="JH19" s="54"/>
      <c r="JI19" s="54"/>
      <c r="JJ19" s="54"/>
      <c r="JK19" s="54"/>
      <c r="JL19" s="54"/>
      <c r="JM19" s="54"/>
      <c r="JN19" s="54"/>
      <c r="JO19" s="54"/>
      <c r="JP19" s="54"/>
      <c r="JQ19" s="54"/>
      <c r="JR19" s="54"/>
      <c r="JS19" s="54"/>
      <c r="JT19" s="54"/>
      <c r="JU19" s="54"/>
      <c r="JV19" s="54"/>
      <c r="JW19" s="54"/>
      <c r="JX19" s="54"/>
      <c r="JY19" s="54"/>
      <c r="JZ19" s="54"/>
    </row>
    <row r="20" spans="1:286" s="77" customFormat="1" ht="82.5" customHeight="1" x14ac:dyDescent="0.25">
      <c r="A20" s="64"/>
      <c r="B20" s="30" t="s">
        <v>45</v>
      </c>
      <c r="C20" s="31" t="s">
        <v>88</v>
      </c>
      <c r="D20" s="32" t="s">
        <v>89</v>
      </c>
      <c r="E20" s="32" t="s">
        <v>70</v>
      </c>
      <c r="F20" s="65" t="s">
        <v>49</v>
      </c>
      <c r="G20" s="33" t="s">
        <v>50</v>
      </c>
      <c r="H20" s="65">
        <v>10</v>
      </c>
      <c r="I20" s="66">
        <v>0</v>
      </c>
      <c r="J20" s="67">
        <v>0</v>
      </c>
      <c r="K20" s="68">
        <v>5</v>
      </c>
      <c r="L20" s="69">
        <v>0</v>
      </c>
      <c r="M20" s="62">
        <v>1</v>
      </c>
      <c r="N20" s="70">
        <f t="shared" si="11"/>
        <v>6</v>
      </c>
      <c r="O20" s="71">
        <v>0</v>
      </c>
      <c r="P20" s="71"/>
      <c r="Q20" s="65"/>
      <c r="R20" s="33" t="s">
        <v>51</v>
      </c>
      <c r="S20" s="36" t="s">
        <v>90</v>
      </c>
      <c r="T20" s="33" t="s">
        <v>77</v>
      </c>
      <c r="U20" s="65">
        <v>10</v>
      </c>
      <c r="V20" s="196">
        <v>0</v>
      </c>
      <c r="W20" s="67">
        <v>0</v>
      </c>
      <c r="X20" s="68">
        <v>5</v>
      </c>
      <c r="Y20" s="69">
        <v>4</v>
      </c>
      <c r="Z20" s="62">
        <v>1</v>
      </c>
      <c r="AA20" s="70">
        <f t="shared" si="0"/>
        <v>10</v>
      </c>
      <c r="AB20" s="35">
        <v>0</v>
      </c>
      <c r="AC20" s="65">
        <v>5</v>
      </c>
      <c r="AD20" s="196">
        <v>0</v>
      </c>
      <c r="AE20" s="67">
        <v>0</v>
      </c>
      <c r="AF20" s="68">
        <v>3</v>
      </c>
      <c r="AG20" s="69">
        <v>0</v>
      </c>
      <c r="AH20" s="62">
        <v>0</v>
      </c>
      <c r="AI20" s="70">
        <f t="shared" si="1"/>
        <v>3</v>
      </c>
      <c r="AJ20" s="71">
        <v>0</v>
      </c>
      <c r="AK20" s="65"/>
      <c r="AL20" s="33"/>
      <c r="AM20" s="72"/>
      <c r="AN20" s="65"/>
      <c r="AO20" s="72"/>
      <c r="AP20" s="33" t="s">
        <v>91</v>
      </c>
      <c r="AQ20" s="65">
        <v>5</v>
      </c>
      <c r="AR20" s="73">
        <v>5</v>
      </c>
      <c r="AS20" s="74">
        <v>0</v>
      </c>
      <c r="AT20" s="75">
        <v>0</v>
      </c>
      <c r="AU20" s="76"/>
      <c r="AV20" s="65"/>
      <c r="AW20" s="33"/>
      <c r="AX20" s="32" t="s">
        <v>68</v>
      </c>
    </row>
    <row r="21" spans="1:286" s="79" customFormat="1" ht="82.5" customHeight="1" x14ac:dyDescent="0.25">
      <c r="A21" s="78"/>
      <c r="B21" s="30" t="s">
        <v>45</v>
      </c>
      <c r="C21" s="31" t="s">
        <v>88</v>
      </c>
      <c r="D21" s="32" t="s">
        <v>89</v>
      </c>
      <c r="E21" s="32" t="s">
        <v>70</v>
      </c>
      <c r="F21" s="51" t="s">
        <v>61</v>
      </c>
      <c r="G21" s="51"/>
      <c r="H21" s="52">
        <f>SUM(H20)</f>
        <v>10</v>
      </c>
      <c r="I21" s="52">
        <f t="shared" ref="I21" si="35">SUM(I20)</f>
        <v>0</v>
      </c>
      <c r="J21" s="52">
        <f t="shared" ref="J21:M21" si="36">SUM(J20)</f>
        <v>0</v>
      </c>
      <c r="K21" s="52">
        <f t="shared" si="36"/>
        <v>5</v>
      </c>
      <c r="L21" s="52">
        <f t="shared" si="36"/>
        <v>0</v>
      </c>
      <c r="M21" s="52">
        <f t="shared" si="36"/>
        <v>1</v>
      </c>
      <c r="N21" s="52">
        <f t="shared" si="11"/>
        <v>6</v>
      </c>
      <c r="O21" s="52">
        <f t="shared" ref="O21:P21" si="37">SUM(O20)</f>
        <v>0</v>
      </c>
      <c r="P21" s="52">
        <f t="shared" si="37"/>
        <v>0</v>
      </c>
      <c r="Q21" s="51"/>
      <c r="R21" s="51"/>
      <c r="S21" s="53"/>
      <c r="T21" s="51"/>
      <c r="U21" s="52">
        <f t="shared" ref="U21:AJ21" si="38">SUM(U20)</f>
        <v>10</v>
      </c>
      <c r="V21" s="52">
        <f t="shared" si="38"/>
        <v>0</v>
      </c>
      <c r="W21" s="52">
        <f t="shared" si="38"/>
        <v>0</v>
      </c>
      <c r="X21" s="52">
        <f t="shared" si="38"/>
        <v>5</v>
      </c>
      <c r="Y21" s="52">
        <f t="shared" si="38"/>
        <v>4</v>
      </c>
      <c r="Z21" s="52">
        <f t="shared" si="38"/>
        <v>1</v>
      </c>
      <c r="AA21" s="52">
        <f t="shared" si="0"/>
        <v>10</v>
      </c>
      <c r="AB21" s="52">
        <f t="shared" si="38"/>
        <v>0</v>
      </c>
      <c r="AC21" s="52">
        <f t="shared" si="38"/>
        <v>5</v>
      </c>
      <c r="AD21" s="52">
        <f t="shared" si="38"/>
        <v>0</v>
      </c>
      <c r="AE21" s="52">
        <f t="shared" si="38"/>
        <v>0</v>
      </c>
      <c r="AF21" s="52">
        <f t="shared" si="38"/>
        <v>3</v>
      </c>
      <c r="AG21" s="52">
        <f t="shared" si="38"/>
        <v>0</v>
      </c>
      <c r="AH21" s="52">
        <f t="shared" si="38"/>
        <v>0</v>
      </c>
      <c r="AI21" s="52">
        <f t="shared" si="1"/>
        <v>3</v>
      </c>
      <c r="AJ21" s="52">
        <f t="shared" si="38"/>
        <v>0</v>
      </c>
      <c r="AK21" s="51"/>
      <c r="AL21" s="51"/>
      <c r="AM21" s="51"/>
      <c r="AN21" s="51"/>
      <c r="AO21" s="51"/>
      <c r="AP21" s="51"/>
      <c r="AQ21" s="51">
        <f>SUM(AQ20)</f>
        <v>5</v>
      </c>
      <c r="AR21" s="51">
        <f t="shared" ref="AR21:AT21" si="39">SUM(AR20)</f>
        <v>5</v>
      </c>
      <c r="AS21" s="51">
        <f t="shared" si="39"/>
        <v>0</v>
      </c>
      <c r="AT21" s="51">
        <f t="shared" si="39"/>
        <v>0</v>
      </c>
      <c r="AU21" s="51"/>
      <c r="AV21" s="51"/>
      <c r="AW21" s="51"/>
      <c r="AX21" s="51" t="s">
        <v>68</v>
      </c>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7"/>
      <c r="CD21" s="77"/>
      <c r="CE21" s="77"/>
      <c r="CF21" s="77"/>
      <c r="CG21" s="77"/>
      <c r="CH21" s="77"/>
      <c r="CI21" s="77"/>
      <c r="CJ21" s="77"/>
      <c r="CK21" s="77"/>
      <c r="CL21" s="77"/>
      <c r="CM21" s="77"/>
      <c r="CN21" s="77"/>
      <c r="CO21" s="77"/>
      <c r="CP21" s="77"/>
      <c r="CQ21" s="77"/>
      <c r="CR21" s="77"/>
      <c r="CS21" s="77"/>
      <c r="CT21" s="77"/>
      <c r="CU21" s="77"/>
      <c r="CV21" s="77"/>
      <c r="CW21" s="77"/>
      <c r="CX21" s="77"/>
      <c r="CY21" s="77"/>
      <c r="CZ21" s="77"/>
      <c r="DA21" s="77"/>
      <c r="DB21" s="77"/>
      <c r="DC21" s="77"/>
      <c r="DD21" s="77"/>
      <c r="DE21" s="77"/>
      <c r="DF21" s="77"/>
      <c r="DG21" s="77"/>
      <c r="DH21" s="77"/>
      <c r="DI21" s="77"/>
      <c r="DJ21" s="77"/>
      <c r="DK21" s="77"/>
      <c r="DL21" s="77"/>
      <c r="DM21" s="77"/>
      <c r="DN21" s="77"/>
      <c r="DO21" s="77"/>
      <c r="DP21" s="77"/>
      <c r="DQ21" s="77"/>
      <c r="DR21" s="77"/>
      <c r="DS21" s="77"/>
      <c r="DT21" s="77"/>
      <c r="DU21" s="77"/>
      <c r="DV21" s="77"/>
      <c r="DW21" s="77"/>
      <c r="DX21" s="77"/>
      <c r="DY21" s="77"/>
      <c r="DZ21" s="77"/>
      <c r="EA21" s="77"/>
      <c r="EB21" s="77"/>
      <c r="EC21" s="77"/>
      <c r="ED21" s="77"/>
      <c r="EE21" s="77"/>
      <c r="EF21" s="77"/>
      <c r="EG21" s="77"/>
      <c r="EH21" s="77"/>
      <c r="EI21" s="77"/>
      <c r="EJ21" s="77"/>
      <c r="EK21" s="77"/>
      <c r="EL21" s="77"/>
      <c r="EM21" s="77"/>
      <c r="EN21" s="77"/>
      <c r="EO21" s="77"/>
      <c r="EP21" s="77"/>
      <c r="EQ21" s="77"/>
      <c r="ER21" s="77"/>
      <c r="ES21" s="77"/>
      <c r="ET21" s="77"/>
      <c r="EU21" s="77"/>
      <c r="EV21" s="77"/>
      <c r="EW21" s="77"/>
      <c r="EX21" s="77"/>
      <c r="EY21" s="77"/>
      <c r="EZ21" s="77"/>
      <c r="FA21" s="77"/>
      <c r="FB21" s="77"/>
      <c r="FC21" s="77"/>
      <c r="FD21" s="77"/>
      <c r="FE21" s="77"/>
      <c r="FF21" s="77"/>
      <c r="FG21" s="77"/>
      <c r="FH21" s="77"/>
      <c r="FI21" s="77"/>
      <c r="FJ21" s="77"/>
      <c r="FK21" s="77"/>
      <c r="FL21" s="77"/>
      <c r="FM21" s="77"/>
      <c r="FN21" s="77"/>
      <c r="FO21" s="77"/>
      <c r="FP21" s="77"/>
      <c r="FQ21" s="77"/>
      <c r="FR21" s="77"/>
      <c r="FS21" s="77"/>
      <c r="FT21" s="77"/>
      <c r="FU21" s="77"/>
      <c r="FV21" s="77"/>
      <c r="FW21" s="77"/>
      <c r="FX21" s="77"/>
      <c r="FY21" s="77"/>
      <c r="FZ21" s="77"/>
      <c r="GA21" s="77"/>
      <c r="GB21" s="77"/>
      <c r="GC21" s="77"/>
      <c r="GD21" s="77"/>
      <c r="GE21" s="77"/>
      <c r="GF21" s="77"/>
      <c r="GG21" s="77"/>
      <c r="GH21" s="77"/>
      <c r="GI21" s="77"/>
      <c r="GJ21" s="77"/>
      <c r="GK21" s="77"/>
      <c r="GL21" s="77"/>
      <c r="GM21" s="77"/>
      <c r="GN21" s="77"/>
      <c r="GO21" s="77"/>
      <c r="GP21" s="77"/>
      <c r="GQ21" s="77"/>
      <c r="GR21" s="77"/>
      <c r="GS21" s="77"/>
      <c r="GT21" s="77"/>
      <c r="GU21" s="77"/>
      <c r="GV21" s="77"/>
      <c r="GW21" s="77"/>
      <c r="GX21" s="77"/>
      <c r="GY21" s="77"/>
      <c r="GZ21" s="77"/>
      <c r="HA21" s="77"/>
      <c r="HB21" s="77"/>
      <c r="HC21" s="77"/>
      <c r="HD21" s="77"/>
      <c r="HE21" s="77"/>
      <c r="HF21" s="77"/>
      <c r="HG21" s="77"/>
      <c r="HH21" s="77"/>
      <c r="HI21" s="77"/>
      <c r="HJ21" s="77"/>
      <c r="HK21" s="77"/>
      <c r="HL21" s="77"/>
      <c r="HM21" s="77"/>
      <c r="HN21" s="77"/>
      <c r="HO21" s="77"/>
      <c r="HP21" s="77"/>
      <c r="HQ21" s="77"/>
      <c r="HR21" s="77"/>
      <c r="HS21" s="77"/>
      <c r="HT21" s="77"/>
      <c r="HU21" s="77"/>
      <c r="HV21" s="77"/>
      <c r="HW21" s="77"/>
      <c r="HX21" s="77"/>
      <c r="HY21" s="77"/>
      <c r="HZ21" s="77"/>
      <c r="IA21" s="77"/>
      <c r="IB21" s="77"/>
      <c r="IC21" s="77"/>
      <c r="ID21" s="77"/>
      <c r="IE21" s="77"/>
      <c r="IF21" s="77"/>
      <c r="IG21" s="77"/>
      <c r="IH21" s="77"/>
      <c r="II21" s="77"/>
      <c r="IJ21" s="77"/>
      <c r="IK21" s="77"/>
      <c r="IL21" s="77"/>
      <c r="IM21" s="77"/>
      <c r="IN21" s="77"/>
      <c r="IO21" s="77"/>
      <c r="IP21" s="77"/>
      <c r="IQ21" s="77"/>
      <c r="IR21" s="77"/>
      <c r="IS21" s="77"/>
      <c r="IT21" s="77"/>
      <c r="IU21" s="77"/>
      <c r="IV21" s="77"/>
      <c r="IW21" s="77"/>
      <c r="IX21" s="77"/>
      <c r="IY21" s="77"/>
      <c r="IZ21" s="77"/>
      <c r="JA21" s="77"/>
      <c r="JB21" s="77"/>
      <c r="JC21" s="77"/>
      <c r="JD21" s="77"/>
      <c r="JE21" s="77"/>
      <c r="JF21" s="77"/>
      <c r="JG21" s="77"/>
      <c r="JH21" s="77"/>
      <c r="JI21" s="77"/>
      <c r="JJ21" s="77"/>
      <c r="JK21" s="77"/>
      <c r="JL21" s="77"/>
      <c r="JM21" s="77"/>
      <c r="JN21" s="77"/>
      <c r="JO21" s="77"/>
      <c r="JP21" s="77"/>
      <c r="JQ21" s="77"/>
      <c r="JR21" s="77"/>
      <c r="JS21" s="77"/>
      <c r="JT21" s="77"/>
      <c r="JU21" s="77"/>
      <c r="JV21" s="77"/>
      <c r="JW21" s="77"/>
      <c r="JX21" s="77"/>
      <c r="JY21" s="77"/>
      <c r="JZ21" s="77"/>
    </row>
    <row r="22" spans="1:286" s="77" customFormat="1" ht="82.5" customHeight="1" x14ac:dyDescent="0.25">
      <c r="A22" s="78"/>
      <c r="B22" s="30" t="s">
        <v>45</v>
      </c>
      <c r="C22" s="31" t="s">
        <v>92</v>
      </c>
      <c r="D22" s="32" t="s">
        <v>89</v>
      </c>
      <c r="E22" s="32" t="s">
        <v>70</v>
      </c>
      <c r="F22" s="65" t="s">
        <v>49</v>
      </c>
      <c r="G22" s="65" t="s">
        <v>50</v>
      </c>
      <c r="H22" s="65">
        <v>10</v>
      </c>
      <c r="I22" s="66">
        <v>0</v>
      </c>
      <c r="J22" s="67">
        <v>0</v>
      </c>
      <c r="K22" s="68">
        <v>3</v>
      </c>
      <c r="L22" s="69">
        <v>1</v>
      </c>
      <c r="M22" s="62">
        <v>1</v>
      </c>
      <c r="N22" s="70">
        <f t="shared" si="11"/>
        <v>5</v>
      </c>
      <c r="O22" s="71">
        <v>0</v>
      </c>
      <c r="P22" s="71"/>
      <c r="Q22" s="65"/>
      <c r="R22" s="33" t="s">
        <v>51</v>
      </c>
      <c r="S22" s="36" t="s">
        <v>93</v>
      </c>
      <c r="T22" s="33" t="s">
        <v>77</v>
      </c>
      <c r="U22" s="65">
        <v>10</v>
      </c>
      <c r="V22" s="196">
        <v>0</v>
      </c>
      <c r="W22" s="67">
        <v>0</v>
      </c>
      <c r="X22" s="68">
        <v>3</v>
      </c>
      <c r="Y22" s="69">
        <v>2</v>
      </c>
      <c r="Z22" s="62">
        <v>1</v>
      </c>
      <c r="AA22" s="80">
        <f t="shared" si="0"/>
        <v>6</v>
      </c>
      <c r="AB22" s="35">
        <v>0</v>
      </c>
      <c r="AC22" s="65">
        <v>1</v>
      </c>
      <c r="AD22" s="196">
        <v>0</v>
      </c>
      <c r="AE22" s="67">
        <v>0</v>
      </c>
      <c r="AF22" s="68">
        <v>0</v>
      </c>
      <c r="AG22" s="69">
        <v>0</v>
      </c>
      <c r="AH22" s="81">
        <v>0</v>
      </c>
      <c r="AI22" s="70">
        <f t="shared" si="1"/>
        <v>0</v>
      </c>
      <c r="AJ22" s="71">
        <v>0</v>
      </c>
      <c r="AK22" s="65"/>
      <c r="AL22" s="33"/>
      <c r="AM22" s="72"/>
      <c r="AN22" s="65"/>
      <c r="AO22" s="72"/>
      <c r="AP22" s="33" t="s">
        <v>94</v>
      </c>
      <c r="AQ22" s="65">
        <v>1</v>
      </c>
      <c r="AR22" s="73">
        <v>0</v>
      </c>
      <c r="AS22" s="74">
        <v>0</v>
      </c>
      <c r="AT22" s="75">
        <v>1</v>
      </c>
      <c r="AU22" s="76"/>
      <c r="AV22" s="65"/>
      <c r="AW22" s="33"/>
      <c r="AX22" s="32" t="s">
        <v>87</v>
      </c>
    </row>
    <row r="23" spans="1:286" s="79" customFormat="1" ht="82.5" customHeight="1" x14ac:dyDescent="0.25">
      <c r="A23" s="78"/>
      <c r="B23" s="30" t="s">
        <v>45</v>
      </c>
      <c r="C23" s="31" t="s">
        <v>92</v>
      </c>
      <c r="D23" s="32" t="s">
        <v>89</v>
      </c>
      <c r="E23" s="32" t="s">
        <v>70</v>
      </c>
      <c r="F23" s="51" t="s">
        <v>61</v>
      </c>
      <c r="G23" s="51"/>
      <c r="H23" s="52">
        <f>SUM(H22)</f>
        <v>10</v>
      </c>
      <c r="I23" s="52">
        <f t="shared" ref="I23" si="40">SUM(I22)</f>
        <v>0</v>
      </c>
      <c r="J23" s="52">
        <f t="shared" ref="J23:M23" si="41">SUM(J22)</f>
        <v>0</v>
      </c>
      <c r="K23" s="52">
        <f t="shared" si="41"/>
        <v>3</v>
      </c>
      <c r="L23" s="52">
        <f t="shared" si="41"/>
        <v>1</v>
      </c>
      <c r="M23" s="52">
        <f t="shared" si="41"/>
        <v>1</v>
      </c>
      <c r="N23" s="52">
        <f t="shared" si="11"/>
        <v>5</v>
      </c>
      <c r="O23" s="52">
        <f t="shared" ref="O23:P23" si="42">SUM(O22)</f>
        <v>0</v>
      </c>
      <c r="P23" s="52">
        <f t="shared" si="42"/>
        <v>0</v>
      </c>
      <c r="Q23" s="51"/>
      <c r="R23" s="51"/>
      <c r="S23" s="53"/>
      <c r="T23" s="51"/>
      <c r="U23" s="52">
        <f t="shared" ref="U23:AJ23" si="43">SUM(U22)</f>
        <v>10</v>
      </c>
      <c r="V23" s="52">
        <f t="shared" si="43"/>
        <v>0</v>
      </c>
      <c r="W23" s="52">
        <f t="shared" si="43"/>
        <v>0</v>
      </c>
      <c r="X23" s="52">
        <f t="shared" si="43"/>
        <v>3</v>
      </c>
      <c r="Y23" s="52">
        <f t="shared" si="43"/>
        <v>2</v>
      </c>
      <c r="Z23" s="52">
        <f t="shared" si="43"/>
        <v>1</v>
      </c>
      <c r="AA23" s="52">
        <f t="shared" si="0"/>
        <v>6</v>
      </c>
      <c r="AB23" s="52">
        <f t="shared" si="43"/>
        <v>0</v>
      </c>
      <c r="AC23" s="52">
        <f t="shared" si="43"/>
        <v>1</v>
      </c>
      <c r="AD23" s="52">
        <f t="shared" si="43"/>
        <v>0</v>
      </c>
      <c r="AE23" s="52">
        <f t="shared" si="43"/>
        <v>0</v>
      </c>
      <c r="AF23" s="52">
        <f t="shared" si="43"/>
        <v>0</v>
      </c>
      <c r="AG23" s="52">
        <f t="shared" si="43"/>
        <v>0</v>
      </c>
      <c r="AH23" s="52">
        <f t="shared" si="43"/>
        <v>0</v>
      </c>
      <c r="AI23" s="52">
        <f t="shared" si="1"/>
        <v>0</v>
      </c>
      <c r="AJ23" s="52">
        <f t="shared" si="43"/>
        <v>0</v>
      </c>
      <c r="AK23" s="51"/>
      <c r="AL23" s="51"/>
      <c r="AM23" s="51"/>
      <c r="AN23" s="51"/>
      <c r="AO23" s="51"/>
      <c r="AP23" s="51"/>
      <c r="AQ23" s="51">
        <f>SUM(AQ22)</f>
        <v>1</v>
      </c>
      <c r="AR23" s="51">
        <f t="shared" ref="AR23:AT23" si="44">SUM(AR22)</f>
        <v>0</v>
      </c>
      <c r="AS23" s="51">
        <f t="shared" si="44"/>
        <v>0</v>
      </c>
      <c r="AT23" s="51">
        <f t="shared" si="44"/>
        <v>1</v>
      </c>
      <c r="AU23" s="51"/>
      <c r="AV23" s="51"/>
      <c r="AW23" s="51"/>
      <c r="AX23" s="51" t="s">
        <v>87</v>
      </c>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7"/>
      <c r="CD23" s="77"/>
      <c r="CE23" s="77"/>
      <c r="CF23" s="77"/>
      <c r="CG23" s="77"/>
      <c r="CH23" s="77"/>
      <c r="CI23" s="77"/>
      <c r="CJ23" s="77"/>
      <c r="CK23" s="77"/>
      <c r="CL23" s="77"/>
      <c r="CM23" s="77"/>
      <c r="CN23" s="77"/>
      <c r="CO23" s="77"/>
      <c r="CP23" s="77"/>
      <c r="CQ23" s="77"/>
      <c r="CR23" s="77"/>
      <c r="CS23" s="77"/>
      <c r="CT23" s="77"/>
      <c r="CU23" s="77"/>
      <c r="CV23" s="77"/>
      <c r="CW23" s="77"/>
      <c r="CX23" s="77"/>
      <c r="CY23" s="77"/>
      <c r="CZ23" s="77"/>
      <c r="DA23" s="77"/>
      <c r="DB23" s="77"/>
      <c r="DC23" s="77"/>
      <c r="DD23" s="77"/>
      <c r="DE23" s="77"/>
      <c r="DF23" s="77"/>
      <c r="DG23" s="77"/>
      <c r="DH23" s="77"/>
      <c r="DI23" s="77"/>
      <c r="DJ23" s="77"/>
      <c r="DK23" s="77"/>
      <c r="DL23" s="77"/>
      <c r="DM23" s="77"/>
      <c r="DN23" s="77"/>
      <c r="DO23" s="77"/>
      <c r="DP23" s="77"/>
      <c r="DQ23" s="77"/>
      <c r="DR23" s="77"/>
      <c r="DS23" s="77"/>
      <c r="DT23" s="77"/>
      <c r="DU23" s="77"/>
      <c r="DV23" s="77"/>
      <c r="DW23" s="77"/>
      <c r="DX23" s="77"/>
      <c r="DY23" s="77"/>
      <c r="DZ23" s="77"/>
      <c r="EA23" s="77"/>
      <c r="EB23" s="77"/>
      <c r="EC23" s="77"/>
      <c r="ED23" s="77"/>
      <c r="EE23" s="77"/>
      <c r="EF23" s="77"/>
      <c r="EG23" s="77"/>
      <c r="EH23" s="77"/>
      <c r="EI23" s="77"/>
      <c r="EJ23" s="77"/>
      <c r="EK23" s="77"/>
      <c r="EL23" s="77"/>
      <c r="EM23" s="77"/>
      <c r="EN23" s="77"/>
      <c r="EO23" s="77"/>
      <c r="EP23" s="77"/>
      <c r="EQ23" s="77"/>
      <c r="ER23" s="77"/>
      <c r="ES23" s="77"/>
      <c r="ET23" s="77"/>
      <c r="EU23" s="77"/>
      <c r="EV23" s="77"/>
      <c r="EW23" s="77"/>
      <c r="EX23" s="77"/>
      <c r="EY23" s="77"/>
      <c r="EZ23" s="77"/>
      <c r="FA23" s="77"/>
      <c r="FB23" s="77"/>
      <c r="FC23" s="77"/>
      <c r="FD23" s="77"/>
      <c r="FE23" s="77"/>
      <c r="FF23" s="77"/>
      <c r="FG23" s="77"/>
      <c r="FH23" s="77"/>
      <c r="FI23" s="77"/>
      <c r="FJ23" s="77"/>
      <c r="FK23" s="77"/>
      <c r="FL23" s="77"/>
      <c r="FM23" s="77"/>
      <c r="FN23" s="77"/>
      <c r="FO23" s="77"/>
      <c r="FP23" s="77"/>
      <c r="FQ23" s="77"/>
      <c r="FR23" s="77"/>
      <c r="FS23" s="77"/>
      <c r="FT23" s="77"/>
      <c r="FU23" s="77"/>
      <c r="FV23" s="77"/>
      <c r="FW23" s="77"/>
      <c r="FX23" s="77"/>
      <c r="FY23" s="77"/>
      <c r="FZ23" s="77"/>
      <c r="GA23" s="77"/>
      <c r="GB23" s="77"/>
      <c r="GC23" s="77"/>
      <c r="GD23" s="77"/>
      <c r="GE23" s="77"/>
      <c r="GF23" s="77"/>
      <c r="GG23" s="77"/>
      <c r="GH23" s="77"/>
      <c r="GI23" s="77"/>
      <c r="GJ23" s="77"/>
      <c r="GK23" s="77"/>
      <c r="GL23" s="77"/>
      <c r="GM23" s="77"/>
      <c r="GN23" s="77"/>
      <c r="GO23" s="77"/>
      <c r="GP23" s="77"/>
      <c r="GQ23" s="77"/>
      <c r="GR23" s="77"/>
      <c r="GS23" s="77"/>
      <c r="GT23" s="77"/>
      <c r="GU23" s="77"/>
      <c r="GV23" s="77"/>
      <c r="GW23" s="77"/>
      <c r="GX23" s="77"/>
      <c r="GY23" s="77"/>
      <c r="GZ23" s="77"/>
      <c r="HA23" s="77"/>
      <c r="HB23" s="77"/>
      <c r="HC23" s="77"/>
      <c r="HD23" s="77"/>
      <c r="HE23" s="77"/>
      <c r="HF23" s="77"/>
      <c r="HG23" s="77"/>
      <c r="HH23" s="77"/>
      <c r="HI23" s="77"/>
      <c r="HJ23" s="77"/>
      <c r="HK23" s="77"/>
      <c r="HL23" s="77"/>
      <c r="HM23" s="77"/>
      <c r="HN23" s="77"/>
      <c r="HO23" s="77"/>
      <c r="HP23" s="77"/>
      <c r="HQ23" s="77"/>
      <c r="HR23" s="77"/>
      <c r="HS23" s="77"/>
      <c r="HT23" s="77"/>
      <c r="HU23" s="77"/>
      <c r="HV23" s="77"/>
      <c r="HW23" s="77"/>
      <c r="HX23" s="77"/>
      <c r="HY23" s="77"/>
      <c r="HZ23" s="77"/>
      <c r="IA23" s="77"/>
      <c r="IB23" s="77"/>
      <c r="IC23" s="77"/>
      <c r="ID23" s="77"/>
      <c r="IE23" s="77"/>
      <c r="IF23" s="77"/>
      <c r="IG23" s="77"/>
      <c r="IH23" s="77"/>
      <c r="II23" s="77"/>
      <c r="IJ23" s="77"/>
      <c r="IK23" s="77"/>
      <c r="IL23" s="77"/>
      <c r="IM23" s="77"/>
      <c r="IN23" s="77"/>
      <c r="IO23" s="77"/>
      <c r="IP23" s="77"/>
      <c r="IQ23" s="77"/>
      <c r="IR23" s="77"/>
      <c r="IS23" s="77"/>
      <c r="IT23" s="77"/>
      <c r="IU23" s="77"/>
      <c r="IV23" s="77"/>
      <c r="IW23" s="77"/>
      <c r="IX23" s="77"/>
      <c r="IY23" s="77"/>
      <c r="IZ23" s="77"/>
      <c r="JA23" s="77"/>
      <c r="JB23" s="77"/>
      <c r="JC23" s="77"/>
      <c r="JD23" s="77"/>
      <c r="JE23" s="77"/>
      <c r="JF23" s="77"/>
      <c r="JG23" s="77"/>
      <c r="JH23" s="77"/>
      <c r="JI23" s="77"/>
      <c r="JJ23" s="77"/>
      <c r="JK23" s="77"/>
      <c r="JL23" s="77"/>
      <c r="JM23" s="77"/>
      <c r="JN23" s="77"/>
      <c r="JO23" s="77"/>
      <c r="JP23" s="77"/>
      <c r="JQ23" s="77"/>
      <c r="JR23" s="77"/>
      <c r="JS23" s="77"/>
      <c r="JT23" s="77"/>
      <c r="JU23" s="77"/>
      <c r="JV23" s="77"/>
      <c r="JW23" s="77"/>
      <c r="JX23" s="77"/>
      <c r="JY23" s="77"/>
      <c r="JZ23" s="77"/>
    </row>
    <row r="24" spans="1:286" s="77" customFormat="1" ht="82.5" customHeight="1" x14ac:dyDescent="0.25">
      <c r="A24" s="78"/>
      <c r="B24" s="30" t="s">
        <v>45</v>
      </c>
      <c r="C24" s="31" t="s">
        <v>95</v>
      </c>
      <c r="D24" s="32" t="s">
        <v>89</v>
      </c>
      <c r="E24" s="32" t="s">
        <v>70</v>
      </c>
      <c r="F24" s="65" t="s">
        <v>49</v>
      </c>
      <c r="G24" s="65" t="s">
        <v>50</v>
      </c>
      <c r="H24" s="65">
        <v>10</v>
      </c>
      <c r="I24" s="66">
        <v>0</v>
      </c>
      <c r="J24" s="67">
        <v>0</v>
      </c>
      <c r="K24" s="68">
        <v>4</v>
      </c>
      <c r="L24" s="69">
        <v>1</v>
      </c>
      <c r="M24" s="62">
        <v>4</v>
      </c>
      <c r="N24" s="70">
        <f t="shared" si="11"/>
        <v>9</v>
      </c>
      <c r="O24" s="71">
        <v>0</v>
      </c>
      <c r="P24" s="71"/>
      <c r="Q24" s="65"/>
      <c r="R24" s="33" t="s">
        <v>51</v>
      </c>
      <c r="S24" s="36" t="s">
        <v>96</v>
      </c>
      <c r="T24" s="33" t="s">
        <v>77</v>
      </c>
      <c r="U24" s="65">
        <v>10</v>
      </c>
      <c r="V24" s="196">
        <v>0</v>
      </c>
      <c r="W24" s="67">
        <v>0</v>
      </c>
      <c r="X24" s="68">
        <v>4</v>
      </c>
      <c r="Y24" s="69">
        <v>2</v>
      </c>
      <c r="Z24" s="62">
        <v>4</v>
      </c>
      <c r="AA24" s="70">
        <f t="shared" si="0"/>
        <v>10</v>
      </c>
      <c r="AB24" s="35">
        <v>0</v>
      </c>
      <c r="AC24" s="65">
        <v>1</v>
      </c>
      <c r="AD24" s="196">
        <v>0</v>
      </c>
      <c r="AE24" s="67">
        <v>0</v>
      </c>
      <c r="AF24" s="68">
        <v>1</v>
      </c>
      <c r="AG24" s="69">
        <v>0</v>
      </c>
      <c r="AH24" s="81">
        <v>0</v>
      </c>
      <c r="AI24" s="70">
        <f t="shared" si="1"/>
        <v>1</v>
      </c>
      <c r="AJ24" s="71">
        <v>0</v>
      </c>
      <c r="AK24" s="65"/>
      <c r="AL24" s="33"/>
      <c r="AM24" s="72"/>
      <c r="AN24" s="65"/>
      <c r="AO24" s="72"/>
      <c r="AP24" s="33" t="s">
        <v>91</v>
      </c>
      <c r="AQ24" s="65">
        <v>1</v>
      </c>
      <c r="AR24" s="73">
        <v>0</v>
      </c>
      <c r="AS24" s="74">
        <v>1</v>
      </c>
      <c r="AT24" s="75">
        <v>0</v>
      </c>
      <c r="AU24" s="76"/>
      <c r="AV24" s="65"/>
      <c r="AW24" s="33"/>
      <c r="AX24" s="32" t="s">
        <v>55</v>
      </c>
    </row>
    <row r="25" spans="1:286" s="79" customFormat="1" ht="82.5" customHeight="1" x14ac:dyDescent="0.25">
      <c r="A25" s="78"/>
      <c r="B25" s="30" t="s">
        <v>45</v>
      </c>
      <c r="C25" s="31" t="s">
        <v>95</v>
      </c>
      <c r="D25" s="32" t="s">
        <v>89</v>
      </c>
      <c r="E25" s="32" t="s">
        <v>70</v>
      </c>
      <c r="F25" s="51" t="s">
        <v>61</v>
      </c>
      <c r="G25" s="51"/>
      <c r="H25" s="52">
        <f>SUM(H24)</f>
        <v>10</v>
      </c>
      <c r="I25" s="52">
        <f t="shared" ref="I25" si="45">SUM(I24)</f>
        <v>0</v>
      </c>
      <c r="J25" s="52">
        <f t="shared" ref="J25:M25" si="46">SUM(J24)</f>
        <v>0</v>
      </c>
      <c r="K25" s="52">
        <f t="shared" si="46"/>
        <v>4</v>
      </c>
      <c r="L25" s="52">
        <f t="shared" si="46"/>
        <v>1</v>
      </c>
      <c r="M25" s="52">
        <f t="shared" si="46"/>
        <v>4</v>
      </c>
      <c r="N25" s="52">
        <f t="shared" si="11"/>
        <v>9</v>
      </c>
      <c r="O25" s="52">
        <f t="shared" ref="O25:P25" si="47">SUM(O24)</f>
        <v>0</v>
      </c>
      <c r="P25" s="52">
        <f t="shared" si="47"/>
        <v>0</v>
      </c>
      <c r="Q25" s="51"/>
      <c r="R25" s="51"/>
      <c r="S25" s="53"/>
      <c r="T25" s="51"/>
      <c r="U25" s="52">
        <f t="shared" ref="U25:AJ25" si="48">SUM(U24)</f>
        <v>10</v>
      </c>
      <c r="V25" s="52">
        <f t="shared" si="48"/>
        <v>0</v>
      </c>
      <c r="W25" s="52">
        <f t="shared" si="48"/>
        <v>0</v>
      </c>
      <c r="X25" s="52">
        <f t="shared" si="48"/>
        <v>4</v>
      </c>
      <c r="Y25" s="52">
        <f t="shared" si="48"/>
        <v>2</v>
      </c>
      <c r="Z25" s="52">
        <f t="shared" si="48"/>
        <v>4</v>
      </c>
      <c r="AA25" s="52">
        <f t="shared" si="0"/>
        <v>10</v>
      </c>
      <c r="AB25" s="52">
        <f t="shared" si="48"/>
        <v>0</v>
      </c>
      <c r="AC25" s="52">
        <f t="shared" si="48"/>
        <v>1</v>
      </c>
      <c r="AD25" s="52">
        <f t="shared" si="48"/>
        <v>0</v>
      </c>
      <c r="AE25" s="52">
        <f t="shared" si="48"/>
        <v>0</v>
      </c>
      <c r="AF25" s="52">
        <f t="shared" si="48"/>
        <v>1</v>
      </c>
      <c r="AG25" s="52">
        <f t="shared" si="48"/>
        <v>0</v>
      </c>
      <c r="AH25" s="52">
        <f t="shared" si="48"/>
        <v>0</v>
      </c>
      <c r="AI25" s="52">
        <f t="shared" si="1"/>
        <v>1</v>
      </c>
      <c r="AJ25" s="52">
        <f t="shared" si="48"/>
        <v>0</v>
      </c>
      <c r="AK25" s="51"/>
      <c r="AL25" s="51"/>
      <c r="AM25" s="51"/>
      <c r="AN25" s="51"/>
      <c r="AO25" s="51"/>
      <c r="AP25" s="51"/>
      <c r="AQ25" s="51">
        <f>SUM(AQ24)</f>
        <v>1</v>
      </c>
      <c r="AR25" s="51">
        <f t="shared" ref="AR25:AT25" si="49">SUM(AR24)</f>
        <v>0</v>
      </c>
      <c r="AS25" s="51">
        <f t="shared" si="49"/>
        <v>1</v>
      </c>
      <c r="AT25" s="51">
        <f t="shared" si="49"/>
        <v>0</v>
      </c>
      <c r="AU25" s="51"/>
      <c r="AV25" s="51"/>
      <c r="AW25" s="51"/>
      <c r="AX25" s="51" t="s">
        <v>55</v>
      </c>
      <c r="AY25" s="77"/>
      <c r="AZ25" s="77"/>
      <c r="BA25" s="77"/>
      <c r="BB25" s="77"/>
      <c r="BC25" s="77"/>
      <c r="BD25" s="77"/>
      <c r="BE25" s="77"/>
      <c r="BF25" s="77"/>
      <c r="BG25" s="77"/>
      <c r="BH25" s="77"/>
      <c r="BI25" s="77"/>
      <c r="BJ25" s="77"/>
      <c r="BK25" s="77"/>
      <c r="BL25" s="77"/>
      <c r="BM25" s="77"/>
      <c r="BN25" s="77"/>
      <c r="BO25" s="77"/>
      <c r="BP25" s="77"/>
      <c r="BQ25" s="77"/>
      <c r="BR25" s="77"/>
      <c r="BS25" s="77"/>
      <c r="BT25" s="77"/>
      <c r="BU25" s="77"/>
      <c r="BV25" s="77"/>
      <c r="BW25" s="77"/>
      <c r="BX25" s="77"/>
      <c r="BY25" s="77"/>
      <c r="BZ25" s="77"/>
      <c r="CA25" s="77"/>
      <c r="CB25" s="77"/>
      <c r="CC25" s="77"/>
      <c r="CD25" s="77"/>
      <c r="CE25" s="77"/>
      <c r="CF25" s="77"/>
      <c r="CG25" s="77"/>
      <c r="CH25" s="77"/>
      <c r="CI25" s="77"/>
      <c r="CJ25" s="77"/>
      <c r="CK25" s="77"/>
      <c r="CL25" s="77"/>
      <c r="CM25" s="77"/>
      <c r="CN25" s="77"/>
      <c r="CO25" s="77"/>
      <c r="CP25" s="77"/>
      <c r="CQ25" s="77"/>
      <c r="CR25" s="77"/>
      <c r="CS25" s="77"/>
      <c r="CT25" s="77"/>
      <c r="CU25" s="77"/>
      <c r="CV25" s="77"/>
      <c r="CW25" s="77"/>
      <c r="CX25" s="77"/>
      <c r="CY25" s="77"/>
      <c r="CZ25" s="77"/>
      <c r="DA25" s="77"/>
      <c r="DB25" s="77"/>
      <c r="DC25" s="77"/>
      <c r="DD25" s="77"/>
      <c r="DE25" s="77"/>
      <c r="DF25" s="77"/>
      <c r="DG25" s="77"/>
      <c r="DH25" s="77"/>
      <c r="DI25" s="77"/>
      <c r="DJ25" s="77"/>
      <c r="DK25" s="77"/>
      <c r="DL25" s="77"/>
      <c r="DM25" s="77"/>
      <c r="DN25" s="77"/>
      <c r="DO25" s="77"/>
      <c r="DP25" s="77"/>
      <c r="DQ25" s="77"/>
      <c r="DR25" s="77"/>
      <c r="DS25" s="77"/>
      <c r="DT25" s="77"/>
      <c r="DU25" s="77"/>
      <c r="DV25" s="77"/>
      <c r="DW25" s="77"/>
      <c r="DX25" s="77"/>
      <c r="DY25" s="77"/>
      <c r="DZ25" s="77"/>
      <c r="EA25" s="77"/>
      <c r="EB25" s="77"/>
      <c r="EC25" s="77"/>
      <c r="ED25" s="77"/>
      <c r="EE25" s="77"/>
      <c r="EF25" s="77"/>
      <c r="EG25" s="77"/>
      <c r="EH25" s="77"/>
      <c r="EI25" s="77"/>
      <c r="EJ25" s="77"/>
      <c r="EK25" s="77"/>
      <c r="EL25" s="77"/>
      <c r="EM25" s="77"/>
      <c r="EN25" s="77"/>
      <c r="EO25" s="77"/>
      <c r="EP25" s="77"/>
      <c r="EQ25" s="77"/>
      <c r="ER25" s="77"/>
      <c r="ES25" s="77"/>
      <c r="ET25" s="77"/>
      <c r="EU25" s="77"/>
      <c r="EV25" s="77"/>
      <c r="EW25" s="77"/>
      <c r="EX25" s="77"/>
      <c r="EY25" s="77"/>
      <c r="EZ25" s="77"/>
      <c r="FA25" s="77"/>
      <c r="FB25" s="77"/>
      <c r="FC25" s="77"/>
      <c r="FD25" s="77"/>
      <c r="FE25" s="77"/>
      <c r="FF25" s="77"/>
      <c r="FG25" s="77"/>
      <c r="FH25" s="77"/>
      <c r="FI25" s="77"/>
      <c r="FJ25" s="77"/>
      <c r="FK25" s="77"/>
      <c r="FL25" s="77"/>
      <c r="FM25" s="77"/>
      <c r="FN25" s="77"/>
      <c r="FO25" s="77"/>
      <c r="FP25" s="77"/>
      <c r="FQ25" s="77"/>
      <c r="FR25" s="77"/>
      <c r="FS25" s="77"/>
      <c r="FT25" s="77"/>
      <c r="FU25" s="77"/>
      <c r="FV25" s="77"/>
      <c r="FW25" s="77"/>
      <c r="FX25" s="77"/>
      <c r="FY25" s="77"/>
      <c r="FZ25" s="77"/>
      <c r="GA25" s="77"/>
      <c r="GB25" s="77"/>
      <c r="GC25" s="77"/>
      <c r="GD25" s="77"/>
      <c r="GE25" s="77"/>
      <c r="GF25" s="77"/>
      <c r="GG25" s="77"/>
      <c r="GH25" s="77"/>
      <c r="GI25" s="77"/>
      <c r="GJ25" s="77"/>
      <c r="GK25" s="77"/>
      <c r="GL25" s="77"/>
      <c r="GM25" s="77"/>
      <c r="GN25" s="77"/>
      <c r="GO25" s="77"/>
      <c r="GP25" s="77"/>
      <c r="GQ25" s="77"/>
      <c r="GR25" s="77"/>
      <c r="GS25" s="77"/>
      <c r="GT25" s="77"/>
      <c r="GU25" s="77"/>
      <c r="GV25" s="77"/>
      <c r="GW25" s="77"/>
      <c r="GX25" s="77"/>
      <c r="GY25" s="77"/>
      <c r="GZ25" s="77"/>
      <c r="HA25" s="77"/>
      <c r="HB25" s="77"/>
      <c r="HC25" s="77"/>
      <c r="HD25" s="77"/>
      <c r="HE25" s="77"/>
      <c r="HF25" s="77"/>
      <c r="HG25" s="77"/>
      <c r="HH25" s="77"/>
      <c r="HI25" s="77"/>
      <c r="HJ25" s="77"/>
      <c r="HK25" s="77"/>
      <c r="HL25" s="77"/>
      <c r="HM25" s="77"/>
      <c r="HN25" s="77"/>
      <c r="HO25" s="77"/>
      <c r="HP25" s="77"/>
      <c r="HQ25" s="77"/>
      <c r="HR25" s="77"/>
      <c r="HS25" s="77"/>
      <c r="HT25" s="77"/>
      <c r="HU25" s="77"/>
      <c r="HV25" s="77"/>
      <c r="HW25" s="77"/>
      <c r="HX25" s="77"/>
      <c r="HY25" s="77"/>
      <c r="HZ25" s="77"/>
      <c r="IA25" s="77"/>
      <c r="IB25" s="77"/>
      <c r="IC25" s="77"/>
      <c r="ID25" s="77"/>
      <c r="IE25" s="77"/>
      <c r="IF25" s="77"/>
      <c r="IG25" s="77"/>
      <c r="IH25" s="77"/>
      <c r="II25" s="77"/>
      <c r="IJ25" s="77"/>
      <c r="IK25" s="77"/>
      <c r="IL25" s="77"/>
      <c r="IM25" s="77"/>
      <c r="IN25" s="77"/>
      <c r="IO25" s="77"/>
      <c r="IP25" s="77"/>
      <c r="IQ25" s="77"/>
      <c r="IR25" s="77"/>
      <c r="IS25" s="77"/>
      <c r="IT25" s="77"/>
      <c r="IU25" s="77"/>
      <c r="IV25" s="77"/>
      <c r="IW25" s="77"/>
      <c r="IX25" s="77"/>
      <c r="IY25" s="77"/>
      <c r="IZ25" s="77"/>
      <c r="JA25" s="77"/>
      <c r="JB25" s="77"/>
      <c r="JC25" s="77"/>
      <c r="JD25" s="77"/>
      <c r="JE25" s="77"/>
      <c r="JF25" s="77"/>
      <c r="JG25" s="77"/>
      <c r="JH25" s="77"/>
      <c r="JI25" s="77"/>
      <c r="JJ25" s="77"/>
      <c r="JK25" s="77"/>
      <c r="JL25" s="77"/>
      <c r="JM25" s="77"/>
      <c r="JN25" s="77"/>
      <c r="JO25" s="77"/>
      <c r="JP25" s="77"/>
      <c r="JQ25" s="77"/>
      <c r="JR25" s="77"/>
      <c r="JS25" s="77"/>
      <c r="JT25" s="77"/>
      <c r="JU25" s="77"/>
      <c r="JV25" s="77"/>
      <c r="JW25" s="77"/>
      <c r="JX25" s="77"/>
      <c r="JY25" s="77"/>
      <c r="JZ25" s="77"/>
    </row>
    <row r="26" spans="1:286" s="9" customFormat="1" ht="82.5" customHeight="1" x14ac:dyDescent="0.25">
      <c r="A26" s="78"/>
      <c r="B26" s="30" t="s">
        <v>45</v>
      </c>
      <c r="C26" s="31" t="s">
        <v>97</v>
      </c>
      <c r="D26" s="32" t="s">
        <v>89</v>
      </c>
      <c r="E26" s="32" t="s">
        <v>48</v>
      </c>
      <c r="F26" s="203" t="s">
        <v>49</v>
      </c>
      <c r="G26" s="33" t="s">
        <v>50</v>
      </c>
      <c r="H26" s="33">
        <v>50</v>
      </c>
      <c r="I26" s="66">
        <v>0</v>
      </c>
      <c r="J26" s="67">
        <v>7</v>
      </c>
      <c r="K26" s="68">
        <v>32</v>
      </c>
      <c r="L26" s="69">
        <v>1</v>
      </c>
      <c r="M26" s="62">
        <v>1</v>
      </c>
      <c r="N26" s="42">
        <f t="shared" si="11"/>
        <v>41</v>
      </c>
      <c r="O26" s="71">
        <v>0</v>
      </c>
      <c r="P26" s="71"/>
      <c r="Q26" s="33"/>
      <c r="R26" s="33" t="s">
        <v>51</v>
      </c>
      <c r="S26" s="36" t="s">
        <v>98</v>
      </c>
      <c r="T26" s="33" t="s">
        <v>53</v>
      </c>
      <c r="U26" s="33">
        <v>50</v>
      </c>
      <c r="V26" s="196">
        <v>0</v>
      </c>
      <c r="W26" s="67">
        <v>7</v>
      </c>
      <c r="X26" s="68">
        <v>32</v>
      </c>
      <c r="Y26" s="69">
        <v>10</v>
      </c>
      <c r="Z26" s="62">
        <v>1</v>
      </c>
      <c r="AA26" s="42">
        <f t="shared" si="0"/>
        <v>50</v>
      </c>
      <c r="AB26" s="35">
        <v>0</v>
      </c>
      <c r="AC26" s="33">
        <v>50</v>
      </c>
      <c r="AD26" s="196">
        <v>0</v>
      </c>
      <c r="AE26" s="67">
        <v>35</v>
      </c>
      <c r="AF26" s="68">
        <v>14</v>
      </c>
      <c r="AG26" s="69">
        <v>1</v>
      </c>
      <c r="AH26" s="81">
        <v>1</v>
      </c>
      <c r="AI26" s="42">
        <f t="shared" si="1"/>
        <v>51</v>
      </c>
      <c r="AJ26" s="71">
        <v>0</v>
      </c>
      <c r="AK26" s="33"/>
      <c r="AL26" s="33"/>
      <c r="AM26" s="46"/>
      <c r="AN26" s="33"/>
      <c r="AO26" s="46"/>
      <c r="AP26" s="33" t="s">
        <v>99</v>
      </c>
      <c r="AQ26" s="33">
        <v>50</v>
      </c>
      <c r="AR26" s="47">
        <v>50</v>
      </c>
      <c r="AS26" s="48">
        <v>0</v>
      </c>
      <c r="AT26" s="49">
        <v>0</v>
      </c>
      <c r="AU26" s="33"/>
      <c r="AV26" s="33"/>
      <c r="AW26" s="33"/>
      <c r="AX26" s="32" t="s">
        <v>55</v>
      </c>
    </row>
    <row r="27" spans="1:286" s="82" customFormat="1" ht="82.5" customHeight="1" x14ac:dyDescent="0.25">
      <c r="A27" s="78"/>
      <c r="B27" s="30" t="s">
        <v>45</v>
      </c>
      <c r="C27" s="31" t="s">
        <v>97</v>
      </c>
      <c r="D27" s="32" t="s">
        <v>89</v>
      </c>
      <c r="E27" s="32" t="s">
        <v>48</v>
      </c>
      <c r="F27" s="203"/>
      <c r="G27" s="33" t="s">
        <v>60</v>
      </c>
      <c r="H27" s="33">
        <v>20</v>
      </c>
      <c r="I27" s="66">
        <v>0</v>
      </c>
      <c r="J27" s="67">
        <v>0</v>
      </c>
      <c r="K27" s="68">
        <v>5</v>
      </c>
      <c r="L27" s="69">
        <v>5</v>
      </c>
      <c r="M27" s="62">
        <v>5</v>
      </c>
      <c r="N27" s="42">
        <f t="shared" si="11"/>
        <v>15</v>
      </c>
      <c r="O27" s="71">
        <v>0</v>
      </c>
      <c r="P27" s="71"/>
      <c r="Q27" s="33"/>
      <c r="R27" s="33" t="s">
        <v>51</v>
      </c>
      <c r="S27" s="36" t="s">
        <v>100</v>
      </c>
      <c r="T27" s="33" t="s">
        <v>53</v>
      </c>
      <c r="U27" s="33">
        <v>20</v>
      </c>
      <c r="V27" s="196">
        <v>0</v>
      </c>
      <c r="W27" s="67">
        <v>0</v>
      </c>
      <c r="X27" s="68">
        <v>5</v>
      </c>
      <c r="Y27" s="69">
        <v>10</v>
      </c>
      <c r="Z27" s="62">
        <v>5</v>
      </c>
      <c r="AA27" s="42">
        <f t="shared" si="0"/>
        <v>20</v>
      </c>
      <c r="AB27" s="35">
        <v>0</v>
      </c>
      <c r="AC27" s="33">
        <v>10</v>
      </c>
      <c r="AD27" s="196">
        <v>0</v>
      </c>
      <c r="AE27" s="67">
        <v>5</v>
      </c>
      <c r="AF27" s="68">
        <v>0</v>
      </c>
      <c r="AG27" s="69">
        <v>1</v>
      </c>
      <c r="AH27" s="81">
        <v>2</v>
      </c>
      <c r="AI27" s="42">
        <f t="shared" si="1"/>
        <v>8</v>
      </c>
      <c r="AJ27" s="71">
        <v>0</v>
      </c>
      <c r="AK27" s="33"/>
      <c r="AL27" s="33"/>
      <c r="AM27" s="46"/>
      <c r="AN27" s="33"/>
      <c r="AO27" s="46"/>
      <c r="AP27" s="33" t="s">
        <v>101</v>
      </c>
      <c r="AQ27" s="33">
        <v>10</v>
      </c>
      <c r="AR27" s="47">
        <v>10</v>
      </c>
      <c r="AS27" s="48">
        <v>0</v>
      </c>
      <c r="AT27" s="49">
        <v>0</v>
      </c>
      <c r="AU27" s="33"/>
      <c r="AV27" s="33"/>
      <c r="AW27" s="33"/>
      <c r="AX27" s="32" t="s">
        <v>55</v>
      </c>
    </row>
    <row r="28" spans="1:286" s="79" customFormat="1" ht="82.5" customHeight="1" x14ac:dyDescent="0.25">
      <c r="A28" s="78"/>
      <c r="B28" s="30" t="s">
        <v>45</v>
      </c>
      <c r="C28" s="31" t="s">
        <v>97</v>
      </c>
      <c r="D28" s="32" t="s">
        <v>89</v>
      </c>
      <c r="E28" s="32" t="s">
        <v>48</v>
      </c>
      <c r="F28" s="51" t="s">
        <v>61</v>
      </c>
      <c r="G28" s="83"/>
      <c r="H28" s="84">
        <f>SUM(H26:H27)</f>
        <v>70</v>
      </c>
      <c r="I28" s="84">
        <f t="shared" ref="I28" si="50">SUM(I26:I27)</f>
        <v>0</v>
      </c>
      <c r="J28" s="84">
        <f t="shared" ref="J28:M28" si="51">SUM(J26:J27)</f>
        <v>7</v>
      </c>
      <c r="K28" s="84">
        <f t="shared" si="51"/>
        <v>37</v>
      </c>
      <c r="L28" s="84">
        <f t="shared" si="51"/>
        <v>6</v>
      </c>
      <c r="M28" s="84">
        <f t="shared" si="51"/>
        <v>6</v>
      </c>
      <c r="N28" s="84">
        <f t="shared" si="11"/>
        <v>56</v>
      </c>
      <c r="O28" s="84">
        <f t="shared" ref="O28:P28" si="52">SUM(O26:O27)</f>
        <v>0</v>
      </c>
      <c r="P28" s="84">
        <f t="shared" si="52"/>
        <v>0</v>
      </c>
      <c r="Q28" s="83"/>
      <c r="R28" s="85"/>
      <c r="S28" s="86"/>
      <c r="T28" s="51"/>
      <c r="U28" s="84">
        <f t="shared" ref="U28:AJ28" si="53">SUM(U26:U27)</f>
        <v>70</v>
      </c>
      <c r="V28" s="84">
        <f t="shared" si="53"/>
        <v>0</v>
      </c>
      <c r="W28" s="84">
        <f t="shared" si="53"/>
        <v>7</v>
      </c>
      <c r="X28" s="84">
        <f t="shared" si="53"/>
        <v>37</v>
      </c>
      <c r="Y28" s="84">
        <f t="shared" si="53"/>
        <v>20</v>
      </c>
      <c r="Z28" s="84">
        <f t="shared" si="53"/>
        <v>6</v>
      </c>
      <c r="AA28" s="84">
        <f t="shared" si="0"/>
        <v>70</v>
      </c>
      <c r="AB28" s="84">
        <f t="shared" si="53"/>
        <v>0</v>
      </c>
      <c r="AC28" s="84">
        <f t="shared" si="53"/>
        <v>60</v>
      </c>
      <c r="AD28" s="84">
        <f t="shared" si="53"/>
        <v>0</v>
      </c>
      <c r="AE28" s="84">
        <f t="shared" si="53"/>
        <v>40</v>
      </c>
      <c r="AF28" s="84">
        <f t="shared" si="53"/>
        <v>14</v>
      </c>
      <c r="AG28" s="84">
        <f t="shared" si="53"/>
        <v>2</v>
      </c>
      <c r="AH28" s="84">
        <f t="shared" si="53"/>
        <v>3</v>
      </c>
      <c r="AI28" s="84">
        <f t="shared" si="1"/>
        <v>59</v>
      </c>
      <c r="AJ28" s="84">
        <f t="shared" si="53"/>
        <v>0</v>
      </c>
      <c r="AK28" s="83"/>
      <c r="AL28" s="85"/>
      <c r="AM28" s="83"/>
      <c r="AN28" s="83"/>
      <c r="AO28" s="83"/>
      <c r="AP28" s="51"/>
      <c r="AQ28" s="83">
        <f>SUM(AQ26:AQ27)</f>
        <v>60</v>
      </c>
      <c r="AR28" s="83">
        <f t="shared" ref="AR28:AT28" si="54">SUM(AR26:AR27)</f>
        <v>60</v>
      </c>
      <c r="AS28" s="83">
        <f t="shared" si="54"/>
        <v>0</v>
      </c>
      <c r="AT28" s="83">
        <f t="shared" si="54"/>
        <v>0</v>
      </c>
      <c r="AU28" s="87"/>
      <c r="AV28" s="83"/>
      <c r="AW28" s="51"/>
      <c r="AX28" s="51" t="s">
        <v>55</v>
      </c>
      <c r="AY28" s="77"/>
      <c r="AZ28" s="77"/>
      <c r="BA28" s="77"/>
      <c r="BB28" s="77"/>
      <c r="BC28" s="77"/>
      <c r="BD28" s="77"/>
      <c r="BE28" s="77"/>
      <c r="BF28" s="77"/>
      <c r="BG28" s="77"/>
      <c r="BH28" s="77"/>
      <c r="BI28" s="77"/>
      <c r="BJ28" s="77"/>
      <c r="BK28" s="77"/>
      <c r="BL28" s="77"/>
      <c r="BM28" s="77"/>
      <c r="BN28" s="77"/>
      <c r="BO28" s="77"/>
      <c r="BP28" s="77"/>
      <c r="BQ28" s="77"/>
      <c r="BR28" s="77"/>
      <c r="BS28" s="77"/>
      <c r="BT28" s="77"/>
      <c r="BU28" s="77"/>
      <c r="BV28" s="77"/>
      <c r="BW28" s="77"/>
      <c r="BX28" s="77"/>
      <c r="BY28" s="77"/>
      <c r="BZ28" s="77"/>
      <c r="CA28" s="77"/>
      <c r="CB28" s="77"/>
      <c r="CC28" s="77"/>
      <c r="CD28" s="77"/>
      <c r="CE28" s="77"/>
      <c r="CF28" s="77"/>
      <c r="CG28" s="77"/>
      <c r="CH28" s="77"/>
      <c r="CI28" s="77"/>
      <c r="CJ28" s="77"/>
      <c r="CK28" s="77"/>
      <c r="CL28" s="77"/>
      <c r="CM28" s="77"/>
      <c r="CN28" s="77"/>
      <c r="CO28" s="77"/>
      <c r="CP28" s="77"/>
      <c r="CQ28" s="77"/>
      <c r="CR28" s="77"/>
      <c r="CS28" s="77"/>
      <c r="CT28" s="77"/>
      <c r="CU28" s="77"/>
      <c r="CV28" s="77"/>
      <c r="CW28" s="77"/>
      <c r="CX28" s="77"/>
      <c r="CY28" s="77"/>
      <c r="CZ28" s="77"/>
      <c r="DA28" s="77"/>
      <c r="DB28" s="77"/>
      <c r="DC28" s="77"/>
      <c r="DD28" s="77"/>
      <c r="DE28" s="77"/>
      <c r="DF28" s="77"/>
      <c r="DG28" s="77"/>
      <c r="DH28" s="77"/>
      <c r="DI28" s="77"/>
      <c r="DJ28" s="77"/>
      <c r="DK28" s="77"/>
      <c r="DL28" s="77"/>
      <c r="DM28" s="77"/>
      <c r="DN28" s="77"/>
      <c r="DO28" s="77"/>
      <c r="DP28" s="77"/>
      <c r="DQ28" s="77"/>
      <c r="DR28" s="77"/>
      <c r="DS28" s="77"/>
      <c r="DT28" s="77"/>
      <c r="DU28" s="77"/>
      <c r="DV28" s="77"/>
      <c r="DW28" s="77"/>
      <c r="DX28" s="77"/>
      <c r="DY28" s="77"/>
      <c r="DZ28" s="77"/>
      <c r="EA28" s="77"/>
      <c r="EB28" s="77"/>
      <c r="EC28" s="77"/>
      <c r="ED28" s="77"/>
      <c r="EE28" s="77"/>
      <c r="EF28" s="77"/>
      <c r="EG28" s="77"/>
      <c r="EH28" s="77"/>
      <c r="EI28" s="77"/>
      <c r="EJ28" s="77"/>
      <c r="EK28" s="77"/>
      <c r="EL28" s="77"/>
      <c r="EM28" s="77"/>
      <c r="EN28" s="77"/>
      <c r="EO28" s="77"/>
      <c r="EP28" s="77"/>
      <c r="EQ28" s="77"/>
      <c r="ER28" s="77"/>
      <c r="ES28" s="77"/>
      <c r="ET28" s="77"/>
      <c r="EU28" s="77"/>
      <c r="EV28" s="77"/>
      <c r="EW28" s="77"/>
      <c r="EX28" s="77"/>
      <c r="EY28" s="77"/>
      <c r="EZ28" s="77"/>
      <c r="FA28" s="77"/>
      <c r="FB28" s="77"/>
      <c r="FC28" s="77"/>
      <c r="FD28" s="77"/>
      <c r="FE28" s="77"/>
      <c r="FF28" s="77"/>
      <c r="FG28" s="77"/>
      <c r="FH28" s="77"/>
      <c r="FI28" s="77"/>
      <c r="FJ28" s="77"/>
      <c r="FK28" s="77"/>
      <c r="FL28" s="77"/>
      <c r="FM28" s="77"/>
      <c r="FN28" s="77"/>
      <c r="FO28" s="77"/>
      <c r="FP28" s="77"/>
      <c r="FQ28" s="77"/>
      <c r="FR28" s="77"/>
      <c r="FS28" s="77"/>
      <c r="FT28" s="77"/>
      <c r="FU28" s="77"/>
      <c r="FV28" s="77"/>
      <c r="FW28" s="77"/>
      <c r="FX28" s="77"/>
      <c r="FY28" s="77"/>
      <c r="FZ28" s="77"/>
      <c r="GA28" s="77"/>
      <c r="GB28" s="77"/>
      <c r="GC28" s="77"/>
      <c r="GD28" s="77"/>
      <c r="GE28" s="77"/>
      <c r="GF28" s="77"/>
      <c r="GG28" s="77"/>
      <c r="GH28" s="77"/>
      <c r="GI28" s="77"/>
      <c r="GJ28" s="77"/>
      <c r="GK28" s="77"/>
      <c r="GL28" s="77"/>
      <c r="GM28" s="77"/>
      <c r="GN28" s="77"/>
      <c r="GO28" s="77"/>
      <c r="GP28" s="77"/>
      <c r="GQ28" s="77"/>
      <c r="GR28" s="77"/>
      <c r="GS28" s="77"/>
      <c r="GT28" s="77"/>
      <c r="GU28" s="77"/>
      <c r="GV28" s="77"/>
      <c r="GW28" s="77"/>
      <c r="GX28" s="77"/>
      <c r="GY28" s="77"/>
      <c r="GZ28" s="77"/>
      <c r="HA28" s="77"/>
      <c r="HB28" s="77"/>
      <c r="HC28" s="77"/>
      <c r="HD28" s="77"/>
      <c r="HE28" s="77"/>
      <c r="HF28" s="77"/>
      <c r="HG28" s="77"/>
      <c r="HH28" s="77"/>
      <c r="HI28" s="77"/>
      <c r="HJ28" s="77"/>
      <c r="HK28" s="77"/>
      <c r="HL28" s="77"/>
      <c r="HM28" s="77"/>
      <c r="HN28" s="77"/>
      <c r="HO28" s="77"/>
      <c r="HP28" s="77"/>
      <c r="HQ28" s="77"/>
      <c r="HR28" s="77"/>
      <c r="HS28" s="77"/>
      <c r="HT28" s="77"/>
      <c r="HU28" s="77"/>
      <c r="HV28" s="77"/>
      <c r="HW28" s="77"/>
      <c r="HX28" s="77"/>
      <c r="HY28" s="77"/>
      <c r="HZ28" s="77"/>
      <c r="IA28" s="77"/>
      <c r="IB28" s="77"/>
      <c r="IC28" s="77"/>
      <c r="ID28" s="77"/>
      <c r="IE28" s="77"/>
      <c r="IF28" s="77"/>
      <c r="IG28" s="77"/>
      <c r="IH28" s="77"/>
      <c r="II28" s="77"/>
      <c r="IJ28" s="77"/>
      <c r="IK28" s="77"/>
      <c r="IL28" s="77"/>
      <c r="IM28" s="77"/>
      <c r="IN28" s="77"/>
      <c r="IO28" s="77"/>
      <c r="IP28" s="77"/>
      <c r="IQ28" s="77"/>
      <c r="IR28" s="77"/>
      <c r="IS28" s="77"/>
      <c r="IT28" s="77"/>
      <c r="IU28" s="77"/>
      <c r="IV28" s="77"/>
      <c r="IW28" s="77"/>
      <c r="IX28" s="77"/>
      <c r="IY28" s="77"/>
      <c r="IZ28" s="77"/>
      <c r="JA28" s="77"/>
      <c r="JB28" s="77"/>
      <c r="JC28" s="77"/>
      <c r="JD28" s="77"/>
      <c r="JE28" s="77"/>
      <c r="JF28" s="77"/>
      <c r="JG28" s="77"/>
      <c r="JH28" s="77"/>
      <c r="JI28" s="77"/>
      <c r="JJ28" s="77"/>
      <c r="JK28" s="77"/>
      <c r="JL28" s="77"/>
      <c r="JM28" s="77"/>
      <c r="JN28" s="77"/>
      <c r="JO28" s="77"/>
      <c r="JP28" s="77"/>
      <c r="JQ28" s="77"/>
      <c r="JR28" s="77"/>
      <c r="JS28" s="77"/>
      <c r="JT28" s="77"/>
      <c r="JU28" s="77"/>
      <c r="JV28" s="77"/>
      <c r="JW28" s="77"/>
      <c r="JX28" s="77"/>
      <c r="JY28" s="77"/>
      <c r="JZ28" s="77"/>
    </row>
    <row r="29" spans="1:286" s="77" customFormat="1" ht="243.75" customHeight="1" x14ac:dyDescent="0.25">
      <c r="A29" s="78"/>
      <c r="B29" s="30" t="s">
        <v>45</v>
      </c>
      <c r="C29" s="31" t="s">
        <v>102</v>
      </c>
      <c r="D29" s="32" t="s">
        <v>89</v>
      </c>
      <c r="E29" s="32" t="s">
        <v>75</v>
      </c>
      <c r="F29" s="65"/>
      <c r="G29" s="65" t="s">
        <v>50</v>
      </c>
      <c r="H29" s="65">
        <v>10</v>
      </c>
      <c r="I29" s="66">
        <v>2</v>
      </c>
      <c r="J29" s="67">
        <v>1</v>
      </c>
      <c r="K29" s="68">
        <v>5</v>
      </c>
      <c r="L29" s="69">
        <v>1</v>
      </c>
      <c r="M29" s="62">
        <v>1</v>
      </c>
      <c r="N29" s="70">
        <f t="shared" si="11"/>
        <v>10</v>
      </c>
      <c r="O29" s="71">
        <v>0</v>
      </c>
      <c r="P29" s="71"/>
      <c r="Q29" s="65"/>
      <c r="R29" s="33" t="s">
        <v>51</v>
      </c>
      <c r="S29" s="36" t="s">
        <v>103</v>
      </c>
      <c r="T29" s="33" t="s">
        <v>77</v>
      </c>
      <c r="U29" s="65">
        <v>10</v>
      </c>
      <c r="V29" s="196">
        <v>2</v>
      </c>
      <c r="W29" s="67">
        <v>1</v>
      </c>
      <c r="X29" s="68">
        <v>5</v>
      </c>
      <c r="Y29" s="69">
        <v>1</v>
      </c>
      <c r="Z29" s="62">
        <v>1</v>
      </c>
      <c r="AA29" s="70">
        <f t="shared" si="0"/>
        <v>10</v>
      </c>
      <c r="AB29" s="35">
        <v>0</v>
      </c>
      <c r="AC29" s="65">
        <v>1</v>
      </c>
      <c r="AD29" s="196">
        <v>0</v>
      </c>
      <c r="AE29" s="67">
        <v>0</v>
      </c>
      <c r="AF29" s="68">
        <v>0</v>
      </c>
      <c r="AG29" s="69">
        <v>0</v>
      </c>
      <c r="AH29" s="81">
        <v>0</v>
      </c>
      <c r="AI29" s="70">
        <f t="shared" si="1"/>
        <v>0</v>
      </c>
      <c r="AJ29" s="71">
        <v>0</v>
      </c>
      <c r="AK29" s="65"/>
      <c r="AL29" s="33"/>
      <c r="AM29" s="72"/>
      <c r="AN29" s="65"/>
      <c r="AO29" s="72"/>
      <c r="AP29" s="33" t="s">
        <v>104</v>
      </c>
      <c r="AQ29" s="65">
        <v>1</v>
      </c>
      <c r="AR29" s="73">
        <v>1</v>
      </c>
      <c r="AS29" s="74">
        <v>0</v>
      </c>
      <c r="AT29" s="75">
        <v>0</v>
      </c>
      <c r="AU29" s="76"/>
      <c r="AV29" s="65"/>
      <c r="AW29" s="33"/>
      <c r="AX29" s="32" t="s">
        <v>68</v>
      </c>
    </row>
    <row r="30" spans="1:286" s="79" customFormat="1" ht="82.5" customHeight="1" x14ac:dyDescent="0.25">
      <c r="A30" s="78"/>
      <c r="B30" s="30" t="s">
        <v>45</v>
      </c>
      <c r="C30" s="31" t="s">
        <v>102</v>
      </c>
      <c r="D30" s="32" t="s">
        <v>89</v>
      </c>
      <c r="E30" s="32" t="s">
        <v>75</v>
      </c>
      <c r="F30" s="51" t="s">
        <v>61</v>
      </c>
      <c r="G30" s="83"/>
      <c r="H30" s="84">
        <f>SUM(H29)</f>
        <v>10</v>
      </c>
      <c r="I30" s="84">
        <f t="shared" ref="I30" si="55">SUM(I29)</f>
        <v>2</v>
      </c>
      <c r="J30" s="84">
        <f t="shared" ref="J30:M30" si="56">SUM(J29)</f>
        <v>1</v>
      </c>
      <c r="K30" s="84">
        <f t="shared" si="56"/>
        <v>5</v>
      </c>
      <c r="L30" s="84">
        <f t="shared" si="56"/>
        <v>1</v>
      </c>
      <c r="M30" s="84">
        <f t="shared" si="56"/>
        <v>1</v>
      </c>
      <c r="N30" s="84">
        <f t="shared" si="11"/>
        <v>10</v>
      </c>
      <c r="O30" s="84">
        <f t="shared" ref="O30" si="57">SUM(O29)</f>
        <v>0</v>
      </c>
      <c r="P30" s="84">
        <v>0</v>
      </c>
      <c r="Q30" s="83"/>
      <c r="R30" s="85"/>
      <c r="S30" s="86"/>
      <c r="T30" s="51"/>
      <c r="U30" s="84">
        <f t="shared" ref="U30:AJ30" si="58">SUM(U29)</f>
        <v>10</v>
      </c>
      <c r="V30" s="84">
        <f t="shared" si="58"/>
        <v>2</v>
      </c>
      <c r="W30" s="84">
        <f t="shared" si="58"/>
        <v>1</v>
      </c>
      <c r="X30" s="84">
        <f t="shared" si="58"/>
        <v>5</v>
      </c>
      <c r="Y30" s="84">
        <f t="shared" si="58"/>
        <v>1</v>
      </c>
      <c r="Z30" s="84">
        <f t="shared" si="58"/>
        <v>1</v>
      </c>
      <c r="AA30" s="84">
        <f t="shared" si="0"/>
        <v>10</v>
      </c>
      <c r="AB30" s="84">
        <f t="shared" si="58"/>
        <v>0</v>
      </c>
      <c r="AC30" s="84">
        <f t="shared" si="58"/>
        <v>1</v>
      </c>
      <c r="AD30" s="84">
        <f t="shared" si="58"/>
        <v>0</v>
      </c>
      <c r="AE30" s="84">
        <f t="shared" si="58"/>
        <v>0</v>
      </c>
      <c r="AF30" s="84">
        <f t="shared" si="58"/>
        <v>0</v>
      </c>
      <c r="AG30" s="84">
        <f t="shared" si="58"/>
        <v>0</v>
      </c>
      <c r="AH30" s="84">
        <f t="shared" si="58"/>
        <v>0</v>
      </c>
      <c r="AI30" s="84">
        <f t="shared" si="1"/>
        <v>0</v>
      </c>
      <c r="AJ30" s="84">
        <f t="shared" si="58"/>
        <v>0</v>
      </c>
      <c r="AK30" s="83"/>
      <c r="AL30" s="85"/>
      <c r="AM30" s="83"/>
      <c r="AN30" s="83"/>
      <c r="AO30" s="83"/>
      <c r="AP30" s="51"/>
      <c r="AQ30" s="83">
        <f>SUM(AQ29)</f>
        <v>1</v>
      </c>
      <c r="AR30" s="83">
        <f t="shared" ref="AR30:AT30" si="59">SUM(AR29)</f>
        <v>1</v>
      </c>
      <c r="AS30" s="83">
        <f t="shared" si="59"/>
        <v>0</v>
      </c>
      <c r="AT30" s="83">
        <f t="shared" si="59"/>
        <v>0</v>
      </c>
      <c r="AU30" s="87"/>
      <c r="AV30" s="83"/>
      <c r="AW30" s="51"/>
      <c r="AX30" s="51" t="s">
        <v>68</v>
      </c>
      <c r="AY30" s="77"/>
      <c r="AZ30" s="77"/>
      <c r="BA30" s="77"/>
      <c r="BB30" s="77"/>
      <c r="BC30" s="77"/>
      <c r="BD30" s="77"/>
      <c r="BE30" s="77"/>
      <c r="BF30" s="77"/>
      <c r="BG30" s="77"/>
      <c r="BH30" s="77"/>
      <c r="BI30" s="77"/>
      <c r="BJ30" s="77"/>
      <c r="BK30" s="77"/>
      <c r="BL30" s="77"/>
      <c r="BM30" s="77"/>
      <c r="BN30" s="77"/>
      <c r="BO30" s="77"/>
      <c r="BP30" s="77"/>
      <c r="BQ30" s="77"/>
      <c r="BR30" s="77"/>
      <c r="BS30" s="77"/>
      <c r="BT30" s="77"/>
      <c r="BU30" s="77"/>
      <c r="BV30" s="77"/>
      <c r="BW30" s="77"/>
      <c r="BX30" s="77"/>
      <c r="BY30" s="77"/>
      <c r="BZ30" s="77"/>
      <c r="CA30" s="77"/>
      <c r="CB30" s="77"/>
      <c r="CC30" s="77"/>
      <c r="CD30" s="77"/>
      <c r="CE30" s="77"/>
      <c r="CF30" s="77"/>
      <c r="CG30" s="77"/>
      <c r="CH30" s="77"/>
      <c r="CI30" s="77"/>
      <c r="CJ30" s="77"/>
      <c r="CK30" s="77"/>
      <c r="CL30" s="77"/>
      <c r="CM30" s="77"/>
      <c r="CN30" s="77"/>
      <c r="CO30" s="77"/>
      <c r="CP30" s="77"/>
      <c r="CQ30" s="77"/>
      <c r="CR30" s="77"/>
      <c r="CS30" s="77"/>
      <c r="CT30" s="77"/>
      <c r="CU30" s="77"/>
      <c r="CV30" s="77"/>
      <c r="CW30" s="77"/>
      <c r="CX30" s="77"/>
      <c r="CY30" s="77"/>
      <c r="CZ30" s="77"/>
      <c r="DA30" s="77"/>
      <c r="DB30" s="77"/>
      <c r="DC30" s="77"/>
      <c r="DD30" s="77"/>
      <c r="DE30" s="77"/>
      <c r="DF30" s="77"/>
      <c r="DG30" s="77"/>
      <c r="DH30" s="77"/>
      <c r="DI30" s="77"/>
      <c r="DJ30" s="77"/>
      <c r="DK30" s="77"/>
      <c r="DL30" s="77"/>
      <c r="DM30" s="77"/>
      <c r="DN30" s="77"/>
      <c r="DO30" s="77"/>
      <c r="DP30" s="77"/>
      <c r="DQ30" s="77"/>
      <c r="DR30" s="77"/>
      <c r="DS30" s="77"/>
      <c r="DT30" s="77"/>
      <c r="DU30" s="77"/>
      <c r="DV30" s="77"/>
      <c r="DW30" s="77"/>
      <c r="DX30" s="77"/>
      <c r="DY30" s="77"/>
      <c r="DZ30" s="77"/>
      <c r="EA30" s="77"/>
      <c r="EB30" s="77"/>
      <c r="EC30" s="77"/>
      <c r="ED30" s="77"/>
      <c r="EE30" s="77"/>
      <c r="EF30" s="77"/>
      <c r="EG30" s="77"/>
      <c r="EH30" s="77"/>
      <c r="EI30" s="77"/>
      <c r="EJ30" s="77"/>
      <c r="EK30" s="77"/>
      <c r="EL30" s="77"/>
      <c r="EM30" s="77"/>
      <c r="EN30" s="77"/>
      <c r="EO30" s="77"/>
      <c r="EP30" s="77"/>
      <c r="EQ30" s="77"/>
      <c r="ER30" s="77"/>
      <c r="ES30" s="77"/>
      <c r="ET30" s="77"/>
      <c r="EU30" s="77"/>
      <c r="EV30" s="77"/>
      <c r="EW30" s="77"/>
      <c r="EX30" s="77"/>
      <c r="EY30" s="77"/>
      <c r="EZ30" s="77"/>
      <c r="FA30" s="77"/>
      <c r="FB30" s="77"/>
      <c r="FC30" s="77"/>
      <c r="FD30" s="77"/>
      <c r="FE30" s="77"/>
      <c r="FF30" s="77"/>
      <c r="FG30" s="77"/>
      <c r="FH30" s="77"/>
      <c r="FI30" s="77"/>
      <c r="FJ30" s="77"/>
      <c r="FK30" s="77"/>
      <c r="FL30" s="77"/>
      <c r="FM30" s="77"/>
      <c r="FN30" s="77"/>
      <c r="FO30" s="77"/>
      <c r="FP30" s="77"/>
      <c r="FQ30" s="77"/>
      <c r="FR30" s="77"/>
      <c r="FS30" s="77"/>
      <c r="FT30" s="77"/>
      <c r="FU30" s="77"/>
      <c r="FV30" s="77"/>
      <c r="FW30" s="77"/>
      <c r="FX30" s="77"/>
      <c r="FY30" s="77"/>
      <c r="FZ30" s="77"/>
      <c r="GA30" s="77"/>
      <c r="GB30" s="77"/>
      <c r="GC30" s="77"/>
      <c r="GD30" s="77"/>
      <c r="GE30" s="77"/>
      <c r="GF30" s="77"/>
      <c r="GG30" s="77"/>
      <c r="GH30" s="77"/>
      <c r="GI30" s="77"/>
      <c r="GJ30" s="77"/>
      <c r="GK30" s="77"/>
      <c r="GL30" s="77"/>
      <c r="GM30" s="77"/>
      <c r="GN30" s="77"/>
      <c r="GO30" s="77"/>
      <c r="GP30" s="77"/>
      <c r="GQ30" s="77"/>
      <c r="GR30" s="77"/>
      <c r="GS30" s="77"/>
      <c r="GT30" s="77"/>
      <c r="GU30" s="77"/>
      <c r="GV30" s="77"/>
      <c r="GW30" s="77"/>
      <c r="GX30" s="77"/>
      <c r="GY30" s="77"/>
      <c r="GZ30" s="77"/>
      <c r="HA30" s="77"/>
      <c r="HB30" s="77"/>
      <c r="HC30" s="77"/>
      <c r="HD30" s="77"/>
      <c r="HE30" s="77"/>
      <c r="HF30" s="77"/>
      <c r="HG30" s="77"/>
      <c r="HH30" s="77"/>
      <c r="HI30" s="77"/>
      <c r="HJ30" s="77"/>
      <c r="HK30" s="77"/>
      <c r="HL30" s="77"/>
      <c r="HM30" s="77"/>
      <c r="HN30" s="77"/>
      <c r="HO30" s="77"/>
      <c r="HP30" s="77"/>
      <c r="HQ30" s="77"/>
      <c r="HR30" s="77"/>
      <c r="HS30" s="77"/>
      <c r="HT30" s="77"/>
      <c r="HU30" s="77"/>
      <c r="HV30" s="77"/>
      <c r="HW30" s="77"/>
      <c r="HX30" s="77"/>
      <c r="HY30" s="77"/>
      <c r="HZ30" s="77"/>
      <c r="IA30" s="77"/>
      <c r="IB30" s="77"/>
      <c r="IC30" s="77"/>
      <c r="ID30" s="77"/>
      <c r="IE30" s="77"/>
      <c r="IF30" s="77"/>
      <c r="IG30" s="77"/>
      <c r="IH30" s="77"/>
      <c r="II30" s="77"/>
      <c r="IJ30" s="77"/>
      <c r="IK30" s="77"/>
      <c r="IL30" s="77"/>
      <c r="IM30" s="77"/>
      <c r="IN30" s="77"/>
      <c r="IO30" s="77"/>
      <c r="IP30" s="77"/>
      <c r="IQ30" s="77"/>
      <c r="IR30" s="77"/>
      <c r="IS30" s="77"/>
      <c r="IT30" s="77"/>
      <c r="IU30" s="77"/>
      <c r="IV30" s="77"/>
      <c r="IW30" s="77"/>
      <c r="IX30" s="77"/>
      <c r="IY30" s="77"/>
      <c r="IZ30" s="77"/>
      <c r="JA30" s="77"/>
      <c r="JB30" s="77"/>
      <c r="JC30" s="77"/>
      <c r="JD30" s="77"/>
      <c r="JE30" s="77"/>
      <c r="JF30" s="77"/>
      <c r="JG30" s="77"/>
      <c r="JH30" s="77"/>
      <c r="JI30" s="77"/>
      <c r="JJ30" s="77"/>
      <c r="JK30" s="77"/>
      <c r="JL30" s="77"/>
      <c r="JM30" s="77"/>
      <c r="JN30" s="77"/>
      <c r="JO30" s="77"/>
      <c r="JP30" s="77"/>
      <c r="JQ30" s="77"/>
      <c r="JR30" s="77"/>
      <c r="JS30" s="77"/>
      <c r="JT30" s="77"/>
      <c r="JU30" s="77"/>
      <c r="JV30" s="77"/>
      <c r="JW30" s="77"/>
      <c r="JX30" s="77"/>
      <c r="JY30" s="77"/>
      <c r="JZ30" s="77"/>
    </row>
    <row r="31" spans="1:286" s="95" customFormat="1" ht="82.5" customHeight="1" x14ac:dyDescent="0.25">
      <c r="A31" s="88"/>
      <c r="B31" s="30" t="s">
        <v>45</v>
      </c>
      <c r="C31" s="31" t="s">
        <v>105</v>
      </c>
      <c r="D31" s="32" t="s">
        <v>106</v>
      </c>
      <c r="E31" s="32" t="s">
        <v>48</v>
      </c>
      <c r="F31" s="65" t="s">
        <v>49</v>
      </c>
      <c r="G31" s="33" t="s">
        <v>50</v>
      </c>
      <c r="H31" s="65">
        <v>5</v>
      </c>
      <c r="I31" s="89">
        <v>0</v>
      </c>
      <c r="J31" s="90">
        <v>1</v>
      </c>
      <c r="K31" s="91">
        <v>3</v>
      </c>
      <c r="L31" s="92">
        <v>0</v>
      </c>
      <c r="M31" s="81">
        <v>1</v>
      </c>
      <c r="N31" s="70">
        <f t="shared" si="11"/>
        <v>5</v>
      </c>
      <c r="O31" s="71">
        <v>0</v>
      </c>
      <c r="P31" s="71"/>
      <c r="Q31" s="93"/>
      <c r="R31" s="33" t="s">
        <v>51</v>
      </c>
      <c r="S31" s="36" t="s">
        <v>107</v>
      </c>
      <c r="T31" s="33" t="s">
        <v>77</v>
      </c>
      <c r="U31" s="65">
        <v>5</v>
      </c>
      <c r="V31" s="197">
        <v>0</v>
      </c>
      <c r="W31" s="90">
        <v>1</v>
      </c>
      <c r="X31" s="91">
        <v>3</v>
      </c>
      <c r="Y31" s="92">
        <v>0</v>
      </c>
      <c r="Z31" s="81">
        <v>1</v>
      </c>
      <c r="AA31" s="70">
        <f t="shared" si="0"/>
        <v>5</v>
      </c>
      <c r="AB31" s="35">
        <v>0</v>
      </c>
      <c r="AC31" s="65">
        <v>1</v>
      </c>
      <c r="AD31" s="197">
        <v>0</v>
      </c>
      <c r="AE31" s="90">
        <v>0</v>
      </c>
      <c r="AF31" s="91">
        <v>0</v>
      </c>
      <c r="AG31" s="92">
        <v>0</v>
      </c>
      <c r="AH31" s="81">
        <v>0</v>
      </c>
      <c r="AI31" s="70">
        <f t="shared" si="1"/>
        <v>0</v>
      </c>
      <c r="AJ31" s="71">
        <v>0</v>
      </c>
      <c r="AK31" s="65"/>
      <c r="AL31" s="33"/>
      <c r="AM31" s="72"/>
      <c r="AN31" s="93"/>
      <c r="AO31" s="94"/>
      <c r="AP31" s="33" t="s">
        <v>58</v>
      </c>
      <c r="AQ31" s="65">
        <v>1</v>
      </c>
      <c r="AR31" s="73">
        <v>0</v>
      </c>
      <c r="AS31" s="74">
        <v>1</v>
      </c>
      <c r="AT31" s="75">
        <v>0</v>
      </c>
      <c r="AU31" s="76"/>
      <c r="AV31" s="65"/>
      <c r="AW31" s="33"/>
      <c r="AX31" s="32" t="s">
        <v>108</v>
      </c>
    </row>
    <row r="32" spans="1:286" s="97" customFormat="1" ht="82.5" customHeight="1" x14ac:dyDescent="0.25">
      <c r="A32" s="88"/>
      <c r="B32" s="30" t="s">
        <v>45</v>
      </c>
      <c r="C32" s="31" t="s">
        <v>105</v>
      </c>
      <c r="D32" s="32" t="s">
        <v>106</v>
      </c>
      <c r="E32" s="32" t="s">
        <v>48</v>
      </c>
      <c r="F32" s="51" t="s">
        <v>61</v>
      </c>
      <c r="G32" s="51"/>
      <c r="H32" s="84">
        <f>SUM(H31)</f>
        <v>5</v>
      </c>
      <c r="I32" s="84">
        <f t="shared" ref="I32" si="60">SUM(I31)</f>
        <v>0</v>
      </c>
      <c r="J32" s="84">
        <f t="shared" ref="J32:M32" si="61">SUM(J31)</f>
        <v>1</v>
      </c>
      <c r="K32" s="84">
        <f t="shared" si="61"/>
        <v>3</v>
      </c>
      <c r="L32" s="84">
        <f t="shared" si="61"/>
        <v>0</v>
      </c>
      <c r="M32" s="84">
        <f t="shared" si="61"/>
        <v>1</v>
      </c>
      <c r="N32" s="84">
        <f t="shared" si="11"/>
        <v>5</v>
      </c>
      <c r="O32" s="84">
        <f t="shared" ref="O32:P32" si="62">SUM(O31)</f>
        <v>0</v>
      </c>
      <c r="P32" s="84">
        <f t="shared" si="62"/>
        <v>0</v>
      </c>
      <c r="Q32" s="96"/>
      <c r="R32" s="85"/>
      <c r="S32" s="53"/>
      <c r="T32" s="51"/>
      <c r="U32" s="84">
        <f t="shared" ref="U32:AJ32" si="63">SUM(U31)</f>
        <v>5</v>
      </c>
      <c r="V32" s="84">
        <f t="shared" si="63"/>
        <v>0</v>
      </c>
      <c r="W32" s="84">
        <f t="shared" si="63"/>
        <v>1</v>
      </c>
      <c r="X32" s="84">
        <f t="shared" si="63"/>
        <v>3</v>
      </c>
      <c r="Y32" s="84">
        <f t="shared" si="63"/>
        <v>0</v>
      </c>
      <c r="Z32" s="84">
        <f t="shared" si="63"/>
        <v>1</v>
      </c>
      <c r="AA32" s="84">
        <f t="shared" si="0"/>
        <v>5</v>
      </c>
      <c r="AB32" s="84">
        <f t="shared" si="63"/>
        <v>0</v>
      </c>
      <c r="AC32" s="84">
        <f t="shared" si="63"/>
        <v>1</v>
      </c>
      <c r="AD32" s="84">
        <f t="shared" si="63"/>
        <v>0</v>
      </c>
      <c r="AE32" s="84">
        <f t="shared" si="63"/>
        <v>0</v>
      </c>
      <c r="AF32" s="84">
        <f t="shared" si="63"/>
        <v>0</v>
      </c>
      <c r="AG32" s="84">
        <f t="shared" si="63"/>
        <v>0</v>
      </c>
      <c r="AH32" s="84">
        <f t="shared" si="63"/>
        <v>0</v>
      </c>
      <c r="AI32" s="84">
        <f t="shared" si="1"/>
        <v>0</v>
      </c>
      <c r="AJ32" s="84">
        <f t="shared" si="63"/>
        <v>0</v>
      </c>
      <c r="AK32" s="83"/>
      <c r="AL32" s="85"/>
      <c r="AM32" s="83"/>
      <c r="AN32" s="96"/>
      <c r="AO32" s="96"/>
      <c r="AP32" s="51"/>
      <c r="AQ32" s="83">
        <f>SUM(AQ31)</f>
        <v>1</v>
      </c>
      <c r="AR32" s="83">
        <f t="shared" ref="AR32:AT32" si="64">SUM(AR31)</f>
        <v>0</v>
      </c>
      <c r="AS32" s="83">
        <f t="shared" si="64"/>
        <v>1</v>
      </c>
      <c r="AT32" s="83">
        <f t="shared" si="64"/>
        <v>0</v>
      </c>
      <c r="AU32" s="87"/>
      <c r="AV32" s="83"/>
      <c r="AW32" s="51"/>
      <c r="AX32" s="51" t="s">
        <v>108</v>
      </c>
      <c r="AY32" s="95"/>
      <c r="AZ32" s="95"/>
      <c r="BA32" s="95"/>
      <c r="BB32" s="95"/>
      <c r="BC32" s="95"/>
      <c r="BD32" s="95"/>
      <c r="BE32" s="95"/>
      <c r="BF32" s="95"/>
      <c r="BG32" s="95"/>
      <c r="BH32" s="95"/>
      <c r="BI32" s="95"/>
      <c r="BJ32" s="95"/>
      <c r="BK32" s="95"/>
      <c r="BL32" s="95"/>
      <c r="BM32" s="95"/>
      <c r="BN32" s="95"/>
      <c r="BO32" s="95"/>
      <c r="BP32" s="95"/>
      <c r="BQ32" s="95"/>
      <c r="BR32" s="95"/>
      <c r="BS32" s="95"/>
      <c r="BT32" s="95"/>
      <c r="BU32" s="95"/>
      <c r="BV32" s="95"/>
      <c r="BW32" s="95"/>
      <c r="BX32" s="95"/>
      <c r="BY32" s="95"/>
      <c r="BZ32" s="95"/>
      <c r="CA32" s="95"/>
      <c r="CB32" s="95"/>
      <c r="CC32" s="95"/>
      <c r="CD32" s="95"/>
      <c r="CE32" s="95"/>
      <c r="CF32" s="95"/>
      <c r="CG32" s="95"/>
      <c r="CH32" s="95"/>
      <c r="CI32" s="95"/>
      <c r="CJ32" s="95"/>
      <c r="CK32" s="95"/>
      <c r="CL32" s="95"/>
      <c r="CM32" s="95"/>
      <c r="CN32" s="95"/>
      <c r="CO32" s="95"/>
      <c r="CP32" s="95"/>
      <c r="CQ32" s="95"/>
      <c r="CR32" s="95"/>
      <c r="CS32" s="95"/>
      <c r="CT32" s="95"/>
      <c r="CU32" s="95"/>
      <c r="CV32" s="95"/>
      <c r="CW32" s="95"/>
      <c r="CX32" s="95"/>
      <c r="CY32" s="95"/>
      <c r="CZ32" s="95"/>
      <c r="DA32" s="95"/>
      <c r="DB32" s="95"/>
      <c r="DC32" s="95"/>
      <c r="DD32" s="95"/>
      <c r="DE32" s="95"/>
      <c r="DF32" s="95"/>
      <c r="DG32" s="95"/>
      <c r="DH32" s="95"/>
      <c r="DI32" s="95"/>
      <c r="DJ32" s="95"/>
      <c r="DK32" s="95"/>
      <c r="DL32" s="95"/>
      <c r="DM32" s="95"/>
      <c r="DN32" s="95"/>
      <c r="DO32" s="95"/>
      <c r="DP32" s="95"/>
      <c r="DQ32" s="95"/>
      <c r="DR32" s="95"/>
      <c r="DS32" s="95"/>
      <c r="DT32" s="95"/>
      <c r="DU32" s="95"/>
      <c r="DV32" s="95"/>
      <c r="DW32" s="95"/>
      <c r="DX32" s="95"/>
      <c r="DY32" s="95"/>
      <c r="DZ32" s="95"/>
      <c r="EA32" s="95"/>
      <c r="EB32" s="95"/>
      <c r="EC32" s="95"/>
      <c r="ED32" s="95"/>
      <c r="EE32" s="95"/>
      <c r="EF32" s="95"/>
      <c r="EG32" s="95"/>
      <c r="EH32" s="95"/>
      <c r="EI32" s="95"/>
      <c r="EJ32" s="95"/>
      <c r="EK32" s="95"/>
      <c r="EL32" s="95"/>
      <c r="EM32" s="95"/>
      <c r="EN32" s="95"/>
      <c r="EO32" s="95"/>
      <c r="EP32" s="95"/>
      <c r="EQ32" s="95"/>
      <c r="ER32" s="95"/>
      <c r="ES32" s="95"/>
      <c r="ET32" s="95"/>
      <c r="EU32" s="95"/>
      <c r="EV32" s="95"/>
      <c r="EW32" s="95"/>
      <c r="EX32" s="95"/>
      <c r="EY32" s="95"/>
      <c r="EZ32" s="95"/>
      <c r="FA32" s="95"/>
      <c r="FB32" s="95"/>
      <c r="FC32" s="95"/>
      <c r="FD32" s="95"/>
      <c r="FE32" s="95"/>
      <c r="FF32" s="95"/>
      <c r="FG32" s="95"/>
      <c r="FH32" s="95"/>
      <c r="FI32" s="95"/>
      <c r="FJ32" s="95"/>
      <c r="FK32" s="95"/>
      <c r="FL32" s="95"/>
      <c r="FM32" s="95"/>
      <c r="FN32" s="95"/>
      <c r="FO32" s="95"/>
      <c r="FP32" s="95"/>
      <c r="FQ32" s="95"/>
      <c r="FR32" s="95"/>
      <c r="FS32" s="95"/>
      <c r="FT32" s="95"/>
      <c r="FU32" s="95"/>
      <c r="FV32" s="95"/>
      <c r="FW32" s="95"/>
      <c r="FX32" s="95"/>
      <c r="FY32" s="95"/>
      <c r="FZ32" s="95"/>
      <c r="GA32" s="95"/>
      <c r="GB32" s="95"/>
      <c r="GC32" s="95"/>
      <c r="GD32" s="95"/>
      <c r="GE32" s="95"/>
      <c r="GF32" s="95"/>
      <c r="GG32" s="95"/>
      <c r="GH32" s="95"/>
      <c r="GI32" s="95"/>
      <c r="GJ32" s="95"/>
      <c r="GK32" s="95"/>
      <c r="GL32" s="95"/>
      <c r="GM32" s="95"/>
      <c r="GN32" s="95"/>
      <c r="GO32" s="95"/>
      <c r="GP32" s="95"/>
      <c r="GQ32" s="95"/>
      <c r="GR32" s="95"/>
      <c r="GS32" s="95"/>
      <c r="GT32" s="95"/>
      <c r="GU32" s="95"/>
      <c r="GV32" s="95"/>
      <c r="GW32" s="95"/>
      <c r="GX32" s="95"/>
      <c r="GY32" s="95"/>
      <c r="GZ32" s="95"/>
      <c r="HA32" s="95"/>
      <c r="HB32" s="95"/>
      <c r="HC32" s="95"/>
      <c r="HD32" s="95"/>
      <c r="HE32" s="95"/>
      <c r="HF32" s="95"/>
      <c r="HG32" s="95"/>
      <c r="HH32" s="95"/>
      <c r="HI32" s="95"/>
      <c r="HJ32" s="95"/>
      <c r="HK32" s="95"/>
      <c r="HL32" s="95"/>
      <c r="HM32" s="95"/>
      <c r="HN32" s="95"/>
      <c r="HO32" s="95"/>
      <c r="HP32" s="95"/>
      <c r="HQ32" s="95"/>
      <c r="HR32" s="95"/>
      <c r="HS32" s="95"/>
      <c r="HT32" s="95"/>
      <c r="HU32" s="95"/>
      <c r="HV32" s="95"/>
      <c r="HW32" s="95"/>
      <c r="HX32" s="95"/>
      <c r="HY32" s="95"/>
      <c r="HZ32" s="95"/>
      <c r="IA32" s="95"/>
      <c r="IB32" s="95"/>
      <c r="IC32" s="95"/>
      <c r="ID32" s="95"/>
      <c r="IE32" s="95"/>
      <c r="IF32" s="95"/>
      <c r="IG32" s="95"/>
      <c r="IH32" s="95"/>
      <c r="II32" s="95"/>
      <c r="IJ32" s="95"/>
      <c r="IK32" s="95"/>
      <c r="IL32" s="95"/>
      <c r="IM32" s="95"/>
      <c r="IN32" s="95"/>
      <c r="IO32" s="95"/>
      <c r="IP32" s="95"/>
      <c r="IQ32" s="95"/>
      <c r="IR32" s="95"/>
      <c r="IS32" s="95"/>
      <c r="IT32" s="95"/>
      <c r="IU32" s="95"/>
      <c r="IV32" s="95"/>
      <c r="IW32" s="95"/>
      <c r="IX32" s="95"/>
      <c r="IY32" s="95"/>
      <c r="IZ32" s="95"/>
      <c r="JA32" s="95"/>
      <c r="JB32" s="95"/>
      <c r="JC32" s="95"/>
      <c r="JD32" s="95"/>
      <c r="JE32" s="95"/>
      <c r="JF32" s="95"/>
      <c r="JG32" s="95"/>
      <c r="JH32" s="95"/>
      <c r="JI32" s="95"/>
      <c r="JJ32" s="95"/>
      <c r="JK32" s="95"/>
      <c r="JL32" s="95"/>
      <c r="JM32" s="95"/>
      <c r="JN32" s="95"/>
      <c r="JO32" s="95"/>
      <c r="JP32" s="95"/>
      <c r="JQ32" s="95"/>
      <c r="JR32" s="95"/>
      <c r="JS32" s="95"/>
      <c r="JT32" s="95"/>
      <c r="JU32" s="95"/>
      <c r="JV32" s="95"/>
      <c r="JW32" s="95"/>
      <c r="JX32" s="95"/>
      <c r="JY32" s="95"/>
      <c r="JZ32" s="95"/>
    </row>
    <row r="33" spans="1:286" s="95" customFormat="1" ht="82.5" customHeight="1" x14ac:dyDescent="0.25">
      <c r="A33" s="88"/>
      <c r="B33" s="30" t="s">
        <v>45</v>
      </c>
      <c r="C33" s="31" t="s">
        <v>109</v>
      </c>
      <c r="D33" s="32" t="s">
        <v>106</v>
      </c>
      <c r="E33" s="32" t="s">
        <v>48</v>
      </c>
      <c r="F33" s="65" t="s">
        <v>49</v>
      </c>
      <c r="G33" s="33" t="s">
        <v>50</v>
      </c>
      <c r="H33" s="65">
        <v>5</v>
      </c>
      <c r="I33" s="89">
        <v>0</v>
      </c>
      <c r="J33" s="90">
        <v>1</v>
      </c>
      <c r="K33" s="91">
        <v>2</v>
      </c>
      <c r="L33" s="92">
        <v>0</v>
      </c>
      <c r="M33" s="81">
        <v>2</v>
      </c>
      <c r="N33" s="70">
        <f t="shared" si="11"/>
        <v>5</v>
      </c>
      <c r="O33" s="71">
        <v>0</v>
      </c>
      <c r="P33" s="71"/>
      <c r="Q33" s="93"/>
      <c r="R33" s="33" t="s">
        <v>51</v>
      </c>
      <c r="S33" s="36" t="s">
        <v>110</v>
      </c>
      <c r="T33" s="33" t="s">
        <v>77</v>
      </c>
      <c r="U33" s="65">
        <v>5</v>
      </c>
      <c r="V33" s="197">
        <v>0</v>
      </c>
      <c r="W33" s="90">
        <v>1</v>
      </c>
      <c r="X33" s="91">
        <v>2</v>
      </c>
      <c r="Y33" s="92">
        <v>0</v>
      </c>
      <c r="Z33" s="81">
        <v>2</v>
      </c>
      <c r="AA33" s="70">
        <f t="shared" si="0"/>
        <v>5</v>
      </c>
      <c r="AB33" s="35">
        <v>0</v>
      </c>
      <c r="AC33" s="65">
        <v>1</v>
      </c>
      <c r="AD33" s="197">
        <v>0</v>
      </c>
      <c r="AE33" s="90">
        <v>0</v>
      </c>
      <c r="AF33" s="91">
        <v>0</v>
      </c>
      <c r="AG33" s="92">
        <v>0</v>
      </c>
      <c r="AH33" s="81">
        <v>0</v>
      </c>
      <c r="AI33" s="70">
        <f t="shared" si="1"/>
        <v>0</v>
      </c>
      <c r="AJ33" s="71">
        <v>0</v>
      </c>
      <c r="AK33" s="65"/>
      <c r="AL33" s="33"/>
      <c r="AM33" s="72"/>
      <c r="AN33" s="93"/>
      <c r="AO33" s="94"/>
      <c r="AP33" s="33" t="s">
        <v>58</v>
      </c>
      <c r="AQ33" s="65">
        <v>1</v>
      </c>
      <c r="AR33" s="73">
        <v>0</v>
      </c>
      <c r="AS33" s="74">
        <v>1</v>
      </c>
      <c r="AT33" s="75">
        <v>0</v>
      </c>
      <c r="AU33" s="76"/>
      <c r="AV33" s="65"/>
      <c r="AW33" s="33"/>
      <c r="AX33" s="32" t="s">
        <v>108</v>
      </c>
    </row>
    <row r="34" spans="1:286" s="97" customFormat="1" ht="82.5" customHeight="1" x14ac:dyDescent="0.25">
      <c r="A34" s="88"/>
      <c r="B34" s="30" t="s">
        <v>45</v>
      </c>
      <c r="C34" s="31" t="s">
        <v>109</v>
      </c>
      <c r="D34" s="32" t="s">
        <v>106</v>
      </c>
      <c r="E34" s="32" t="s">
        <v>48</v>
      </c>
      <c r="F34" s="51" t="s">
        <v>61</v>
      </c>
      <c r="G34" s="51"/>
      <c r="H34" s="84">
        <f>SUM(H33)</f>
        <v>5</v>
      </c>
      <c r="I34" s="84"/>
      <c r="J34" s="84"/>
      <c r="K34" s="84"/>
      <c r="L34" s="84"/>
      <c r="M34" s="84"/>
      <c r="N34" s="84">
        <f t="shared" si="11"/>
        <v>0</v>
      </c>
      <c r="O34" s="84">
        <f t="shared" ref="O34:P34" si="65">SUM(O33)</f>
        <v>0</v>
      </c>
      <c r="P34" s="84">
        <f t="shared" si="65"/>
        <v>0</v>
      </c>
      <c r="Q34" s="96"/>
      <c r="R34" s="85"/>
      <c r="S34" s="53"/>
      <c r="T34" s="51"/>
      <c r="U34" s="84">
        <f t="shared" ref="U34:AJ34" si="66">SUM(U33)</f>
        <v>5</v>
      </c>
      <c r="V34" s="84">
        <f t="shared" si="66"/>
        <v>0</v>
      </c>
      <c r="W34" s="84">
        <f t="shared" si="66"/>
        <v>1</v>
      </c>
      <c r="X34" s="84">
        <f t="shared" si="66"/>
        <v>2</v>
      </c>
      <c r="Y34" s="84">
        <f t="shared" si="66"/>
        <v>0</v>
      </c>
      <c r="Z34" s="84">
        <f t="shared" si="66"/>
        <v>2</v>
      </c>
      <c r="AA34" s="84">
        <f t="shared" si="0"/>
        <v>5</v>
      </c>
      <c r="AB34" s="84">
        <f t="shared" si="66"/>
        <v>0</v>
      </c>
      <c r="AC34" s="84">
        <f t="shared" si="66"/>
        <v>1</v>
      </c>
      <c r="AD34" s="84">
        <f t="shared" si="66"/>
        <v>0</v>
      </c>
      <c r="AE34" s="84">
        <f t="shared" si="66"/>
        <v>0</v>
      </c>
      <c r="AF34" s="84">
        <f t="shared" si="66"/>
        <v>0</v>
      </c>
      <c r="AG34" s="84">
        <f t="shared" si="66"/>
        <v>0</v>
      </c>
      <c r="AH34" s="84">
        <f t="shared" si="66"/>
        <v>0</v>
      </c>
      <c r="AI34" s="84">
        <f t="shared" si="1"/>
        <v>0</v>
      </c>
      <c r="AJ34" s="84">
        <f t="shared" si="66"/>
        <v>0</v>
      </c>
      <c r="AK34" s="83"/>
      <c r="AL34" s="85"/>
      <c r="AM34" s="83"/>
      <c r="AN34" s="96"/>
      <c r="AO34" s="96"/>
      <c r="AP34" s="51"/>
      <c r="AQ34" s="83">
        <f>SUM(AQ33)</f>
        <v>1</v>
      </c>
      <c r="AR34" s="83">
        <f t="shared" ref="AR34:AT34" si="67">SUM(AR33)</f>
        <v>0</v>
      </c>
      <c r="AS34" s="83">
        <f t="shared" si="67"/>
        <v>1</v>
      </c>
      <c r="AT34" s="83">
        <f t="shared" si="67"/>
        <v>0</v>
      </c>
      <c r="AU34" s="87"/>
      <c r="AV34" s="83"/>
      <c r="AW34" s="51"/>
      <c r="AX34" s="51" t="s">
        <v>108</v>
      </c>
      <c r="AY34" s="95"/>
      <c r="AZ34" s="95"/>
      <c r="BA34" s="95"/>
      <c r="BB34" s="95"/>
      <c r="BC34" s="95"/>
      <c r="BD34" s="95"/>
      <c r="BE34" s="95"/>
      <c r="BF34" s="95"/>
      <c r="BG34" s="95"/>
      <c r="BH34" s="95"/>
      <c r="BI34" s="95"/>
      <c r="BJ34" s="95"/>
      <c r="BK34" s="95"/>
      <c r="BL34" s="95"/>
      <c r="BM34" s="95"/>
      <c r="BN34" s="95"/>
      <c r="BO34" s="95"/>
      <c r="BP34" s="95"/>
      <c r="BQ34" s="95"/>
      <c r="BR34" s="95"/>
      <c r="BS34" s="95"/>
      <c r="BT34" s="95"/>
      <c r="BU34" s="95"/>
      <c r="BV34" s="95"/>
      <c r="BW34" s="95"/>
      <c r="BX34" s="95"/>
      <c r="BY34" s="95"/>
      <c r="BZ34" s="95"/>
      <c r="CA34" s="95"/>
      <c r="CB34" s="95"/>
      <c r="CC34" s="95"/>
      <c r="CD34" s="95"/>
      <c r="CE34" s="95"/>
      <c r="CF34" s="95"/>
      <c r="CG34" s="95"/>
      <c r="CH34" s="95"/>
      <c r="CI34" s="95"/>
      <c r="CJ34" s="95"/>
      <c r="CK34" s="95"/>
      <c r="CL34" s="95"/>
      <c r="CM34" s="95"/>
      <c r="CN34" s="95"/>
      <c r="CO34" s="95"/>
      <c r="CP34" s="95"/>
      <c r="CQ34" s="95"/>
      <c r="CR34" s="95"/>
      <c r="CS34" s="95"/>
      <c r="CT34" s="95"/>
      <c r="CU34" s="95"/>
      <c r="CV34" s="95"/>
      <c r="CW34" s="95"/>
      <c r="CX34" s="95"/>
      <c r="CY34" s="95"/>
      <c r="CZ34" s="95"/>
      <c r="DA34" s="95"/>
      <c r="DB34" s="95"/>
      <c r="DC34" s="95"/>
      <c r="DD34" s="95"/>
      <c r="DE34" s="95"/>
      <c r="DF34" s="95"/>
      <c r="DG34" s="95"/>
      <c r="DH34" s="95"/>
      <c r="DI34" s="95"/>
      <c r="DJ34" s="95"/>
      <c r="DK34" s="95"/>
      <c r="DL34" s="95"/>
      <c r="DM34" s="95"/>
      <c r="DN34" s="95"/>
      <c r="DO34" s="95"/>
      <c r="DP34" s="95"/>
      <c r="DQ34" s="95"/>
      <c r="DR34" s="95"/>
      <c r="DS34" s="95"/>
      <c r="DT34" s="95"/>
      <c r="DU34" s="95"/>
      <c r="DV34" s="95"/>
      <c r="DW34" s="95"/>
      <c r="DX34" s="95"/>
      <c r="DY34" s="95"/>
      <c r="DZ34" s="95"/>
      <c r="EA34" s="95"/>
      <c r="EB34" s="95"/>
      <c r="EC34" s="95"/>
      <c r="ED34" s="95"/>
      <c r="EE34" s="95"/>
      <c r="EF34" s="95"/>
      <c r="EG34" s="95"/>
      <c r="EH34" s="95"/>
      <c r="EI34" s="95"/>
      <c r="EJ34" s="95"/>
      <c r="EK34" s="95"/>
      <c r="EL34" s="95"/>
      <c r="EM34" s="95"/>
      <c r="EN34" s="95"/>
      <c r="EO34" s="95"/>
      <c r="EP34" s="95"/>
      <c r="EQ34" s="95"/>
      <c r="ER34" s="95"/>
      <c r="ES34" s="95"/>
      <c r="ET34" s="95"/>
      <c r="EU34" s="95"/>
      <c r="EV34" s="95"/>
      <c r="EW34" s="95"/>
      <c r="EX34" s="95"/>
      <c r="EY34" s="95"/>
      <c r="EZ34" s="95"/>
      <c r="FA34" s="95"/>
      <c r="FB34" s="95"/>
      <c r="FC34" s="95"/>
      <c r="FD34" s="95"/>
      <c r="FE34" s="95"/>
      <c r="FF34" s="95"/>
      <c r="FG34" s="95"/>
      <c r="FH34" s="95"/>
      <c r="FI34" s="95"/>
      <c r="FJ34" s="95"/>
      <c r="FK34" s="95"/>
      <c r="FL34" s="95"/>
      <c r="FM34" s="95"/>
      <c r="FN34" s="95"/>
      <c r="FO34" s="95"/>
      <c r="FP34" s="95"/>
      <c r="FQ34" s="95"/>
      <c r="FR34" s="95"/>
      <c r="FS34" s="95"/>
      <c r="FT34" s="95"/>
      <c r="FU34" s="95"/>
      <c r="FV34" s="95"/>
      <c r="FW34" s="95"/>
      <c r="FX34" s="95"/>
      <c r="FY34" s="95"/>
      <c r="FZ34" s="95"/>
      <c r="GA34" s="95"/>
      <c r="GB34" s="95"/>
      <c r="GC34" s="95"/>
      <c r="GD34" s="95"/>
      <c r="GE34" s="95"/>
      <c r="GF34" s="95"/>
      <c r="GG34" s="95"/>
      <c r="GH34" s="95"/>
      <c r="GI34" s="95"/>
      <c r="GJ34" s="95"/>
      <c r="GK34" s="95"/>
      <c r="GL34" s="95"/>
      <c r="GM34" s="95"/>
      <c r="GN34" s="95"/>
      <c r="GO34" s="95"/>
      <c r="GP34" s="95"/>
      <c r="GQ34" s="95"/>
      <c r="GR34" s="95"/>
      <c r="GS34" s="95"/>
      <c r="GT34" s="95"/>
      <c r="GU34" s="95"/>
      <c r="GV34" s="95"/>
      <c r="GW34" s="95"/>
      <c r="GX34" s="95"/>
      <c r="GY34" s="95"/>
      <c r="GZ34" s="95"/>
      <c r="HA34" s="95"/>
      <c r="HB34" s="95"/>
      <c r="HC34" s="95"/>
      <c r="HD34" s="95"/>
      <c r="HE34" s="95"/>
      <c r="HF34" s="95"/>
      <c r="HG34" s="95"/>
      <c r="HH34" s="95"/>
      <c r="HI34" s="95"/>
      <c r="HJ34" s="95"/>
      <c r="HK34" s="95"/>
      <c r="HL34" s="95"/>
      <c r="HM34" s="95"/>
      <c r="HN34" s="95"/>
      <c r="HO34" s="95"/>
      <c r="HP34" s="95"/>
      <c r="HQ34" s="95"/>
      <c r="HR34" s="95"/>
      <c r="HS34" s="95"/>
      <c r="HT34" s="95"/>
      <c r="HU34" s="95"/>
      <c r="HV34" s="95"/>
      <c r="HW34" s="95"/>
      <c r="HX34" s="95"/>
      <c r="HY34" s="95"/>
      <c r="HZ34" s="95"/>
      <c r="IA34" s="95"/>
      <c r="IB34" s="95"/>
      <c r="IC34" s="95"/>
      <c r="ID34" s="95"/>
      <c r="IE34" s="95"/>
      <c r="IF34" s="95"/>
      <c r="IG34" s="95"/>
      <c r="IH34" s="95"/>
      <c r="II34" s="95"/>
      <c r="IJ34" s="95"/>
      <c r="IK34" s="95"/>
      <c r="IL34" s="95"/>
      <c r="IM34" s="95"/>
      <c r="IN34" s="95"/>
      <c r="IO34" s="95"/>
      <c r="IP34" s="95"/>
      <c r="IQ34" s="95"/>
      <c r="IR34" s="95"/>
      <c r="IS34" s="95"/>
      <c r="IT34" s="95"/>
      <c r="IU34" s="95"/>
      <c r="IV34" s="95"/>
      <c r="IW34" s="95"/>
      <c r="IX34" s="95"/>
      <c r="IY34" s="95"/>
      <c r="IZ34" s="95"/>
      <c r="JA34" s="95"/>
      <c r="JB34" s="95"/>
      <c r="JC34" s="95"/>
      <c r="JD34" s="95"/>
      <c r="JE34" s="95"/>
      <c r="JF34" s="95"/>
      <c r="JG34" s="95"/>
      <c r="JH34" s="95"/>
      <c r="JI34" s="95"/>
      <c r="JJ34" s="95"/>
      <c r="JK34" s="95"/>
      <c r="JL34" s="95"/>
      <c r="JM34" s="95"/>
      <c r="JN34" s="95"/>
      <c r="JO34" s="95"/>
      <c r="JP34" s="95"/>
      <c r="JQ34" s="95"/>
      <c r="JR34" s="95"/>
      <c r="JS34" s="95"/>
      <c r="JT34" s="95"/>
      <c r="JU34" s="95"/>
      <c r="JV34" s="95"/>
      <c r="JW34" s="95"/>
      <c r="JX34" s="95"/>
      <c r="JY34" s="95"/>
      <c r="JZ34" s="95"/>
    </row>
    <row r="35" spans="1:286" s="95" customFormat="1" ht="82.5" customHeight="1" x14ac:dyDescent="0.25">
      <c r="A35" s="88"/>
      <c r="B35" s="30" t="s">
        <v>45</v>
      </c>
      <c r="C35" s="31" t="s">
        <v>111</v>
      </c>
      <c r="D35" s="32" t="s">
        <v>106</v>
      </c>
      <c r="E35" s="32" t="s">
        <v>70</v>
      </c>
      <c r="F35" s="217" t="s">
        <v>49</v>
      </c>
      <c r="G35" s="65" t="s">
        <v>50</v>
      </c>
      <c r="H35" s="65">
        <v>50</v>
      </c>
      <c r="I35" s="89">
        <v>5</v>
      </c>
      <c r="J35" s="90">
        <v>17</v>
      </c>
      <c r="K35" s="91">
        <v>3</v>
      </c>
      <c r="L35" s="92">
        <v>2</v>
      </c>
      <c r="M35" s="81">
        <v>15</v>
      </c>
      <c r="N35" s="70">
        <f t="shared" si="11"/>
        <v>42</v>
      </c>
      <c r="O35" s="71">
        <v>0</v>
      </c>
      <c r="P35" s="71"/>
      <c r="Q35" s="93"/>
      <c r="R35" s="33" t="s">
        <v>51</v>
      </c>
      <c r="S35" s="36" t="s">
        <v>112</v>
      </c>
      <c r="T35" s="33" t="s">
        <v>77</v>
      </c>
      <c r="U35" s="65">
        <v>50</v>
      </c>
      <c r="V35" s="197">
        <v>5</v>
      </c>
      <c r="W35" s="90">
        <v>17</v>
      </c>
      <c r="X35" s="91">
        <v>3</v>
      </c>
      <c r="Y35" s="92">
        <v>10</v>
      </c>
      <c r="Z35" s="81">
        <v>15</v>
      </c>
      <c r="AA35" s="70">
        <f t="shared" si="0"/>
        <v>50</v>
      </c>
      <c r="AB35" s="35">
        <v>0</v>
      </c>
      <c r="AC35" s="65">
        <v>5</v>
      </c>
      <c r="AD35" s="197">
        <v>0</v>
      </c>
      <c r="AE35" s="90">
        <v>0</v>
      </c>
      <c r="AF35" s="91">
        <v>3</v>
      </c>
      <c r="AG35" s="92">
        <v>0</v>
      </c>
      <c r="AH35" s="81">
        <v>0</v>
      </c>
      <c r="AI35" s="70">
        <f t="shared" si="1"/>
        <v>3</v>
      </c>
      <c r="AJ35" s="71">
        <v>0</v>
      </c>
      <c r="AK35" s="65"/>
      <c r="AL35" s="33"/>
      <c r="AM35" s="72"/>
      <c r="AN35" s="93"/>
      <c r="AO35" s="94"/>
      <c r="AP35" s="33" t="s">
        <v>58</v>
      </c>
      <c r="AQ35" s="65">
        <v>5</v>
      </c>
      <c r="AR35" s="73">
        <v>0</v>
      </c>
      <c r="AS35" s="74">
        <v>5</v>
      </c>
      <c r="AT35" s="75">
        <v>0</v>
      </c>
      <c r="AU35" s="76"/>
      <c r="AV35" s="65"/>
      <c r="AW35" s="33"/>
      <c r="AX35" s="32" t="s">
        <v>59</v>
      </c>
    </row>
    <row r="36" spans="1:286" s="95" customFormat="1" ht="82.5" customHeight="1" x14ac:dyDescent="0.25">
      <c r="A36" s="88"/>
      <c r="B36" s="30" t="s">
        <v>45</v>
      </c>
      <c r="C36" s="31" t="s">
        <v>111</v>
      </c>
      <c r="D36" s="32" t="s">
        <v>106</v>
      </c>
      <c r="E36" s="32" t="s">
        <v>70</v>
      </c>
      <c r="F36" s="217"/>
      <c r="G36" s="33" t="s">
        <v>60</v>
      </c>
      <c r="H36" s="65">
        <v>10</v>
      </c>
      <c r="I36" s="89">
        <v>0</v>
      </c>
      <c r="J36" s="90">
        <v>0</v>
      </c>
      <c r="K36" s="91">
        <v>0</v>
      </c>
      <c r="L36" s="92">
        <v>5</v>
      </c>
      <c r="M36" s="81">
        <v>5</v>
      </c>
      <c r="N36" s="70">
        <f t="shared" si="11"/>
        <v>10</v>
      </c>
      <c r="O36" s="71">
        <v>0</v>
      </c>
      <c r="P36" s="71"/>
      <c r="Q36" s="93"/>
      <c r="R36" s="33" t="s">
        <v>51</v>
      </c>
      <c r="S36" s="36" t="s">
        <v>100</v>
      </c>
      <c r="T36" s="33" t="s">
        <v>77</v>
      </c>
      <c r="U36" s="65">
        <v>10</v>
      </c>
      <c r="V36" s="197">
        <v>0</v>
      </c>
      <c r="W36" s="90">
        <v>0</v>
      </c>
      <c r="X36" s="91">
        <v>0</v>
      </c>
      <c r="Y36" s="92">
        <v>5</v>
      </c>
      <c r="Z36" s="81">
        <v>5</v>
      </c>
      <c r="AA36" s="70">
        <f t="shared" si="0"/>
        <v>10</v>
      </c>
      <c r="AB36" s="35">
        <v>0</v>
      </c>
      <c r="AC36" s="65">
        <v>5</v>
      </c>
      <c r="AD36" s="197">
        <v>0</v>
      </c>
      <c r="AE36" s="90">
        <v>0</v>
      </c>
      <c r="AF36" s="91">
        <v>0</v>
      </c>
      <c r="AG36" s="92">
        <v>2</v>
      </c>
      <c r="AH36" s="81">
        <v>2</v>
      </c>
      <c r="AI36" s="70">
        <f t="shared" si="1"/>
        <v>4</v>
      </c>
      <c r="AJ36" s="71">
        <v>0</v>
      </c>
      <c r="AK36" s="65"/>
      <c r="AL36" s="33"/>
      <c r="AM36" s="72"/>
      <c r="AN36" s="93"/>
      <c r="AO36" s="94"/>
      <c r="AP36" s="33" t="s">
        <v>58</v>
      </c>
      <c r="AQ36" s="65">
        <v>5</v>
      </c>
      <c r="AR36" s="73">
        <v>0</v>
      </c>
      <c r="AS36" s="74">
        <v>5</v>
      </c>
      <c r="AT36" s="75">
        <v>0</v>
      </c>
      <c r="AU36" s="76"/>
      <c r="AV36" s="65"/>
      <c r="AW36" s="33"/>
      <c r="AX36" s="32" t="s">
        <v>59</v>
      </c>
    </row>
    <row r="37" spans="1:286" s="97" customFormat="1" ht="82.5" customHeight="1" x14ac:dyDescent="0.25">
      <c r="A37" s="88"/>
      <c r="B37" s="30" t="s">
        <v>45</v>
      </c>
      <c r="C37" s="31" t="s">
        <v>111</v>
      </c>
      <c r="D37" s="32" t="s">
        <v>106</v>
      </c>
      <c r="E37" s="32" t="s">
        <v>70</v>
      </c>
      <c r="F37" s="51" t="s">
        <v>61</v>
      </c>
      <c r="G37" s="83"/>
      <c r="H37" s="84">
        <f>SUM(H35:H36)</f>
        <v>60</v>
      </c>
      <c r="I37" s="84">
        <f t="shared" ref="I37" si="68">SUM(I35:I36)</f>
        <v>5</v>
      </c>
      <c r="J37" s="84">
        <f t="shared" ref="J37:M37" si="69">SUM(J35:J36)</f>
        <v>17</v>
      </c>
      <c r="K37" s="84">
        <f t="shared" si="69"/>
        <v>3</v>
      </c>
      <c r="L37" s="84">
        <f t="shared" si="69"/>
        <v>7</v>
      </c>
      <c r="M37" s="84">
        <f t="shared" si="69"/>
        <v>20</v>
      </c>
      <c r="N37" s="84">
        <f t="shared" si="11"/>
        <v>52</v>
      </c>
      <c r="O37" s="84">
        <f t="shared" ref="O37:P37" si="70">SUM(O35:O36)</f>
        <v>0</v>
      </c>
      <c r="P37" s="84">
        <f t="shared" si="70"/>
        <v>0</v>
      </c>
      <c r="Q37" s="96"/>
      <c r="R37" s="85"/>
      <c r="S37" s="53"/>
      <c r="T37" s="51"/>
      <c r="U37" s="84">
        <f t="shared" ref="U37:AJ37" si="71">SUM(U35:U36)</f>
        <v>60</v>
      </c>
      <c r="V37" s="84">
        <f t="shared" si="71"/>
        <v>5</v>
      </c>
      <c r="W37" s="84">
        <f t="shared" si="71"/>
        <v>17</v>
      </c>
      <c r="X37" s="84">
        <f t="shared" si="71"/>
        <v>3</v>
      </c>
      <c r="Y37" s="84">
        <f t="shared" si="71"/>
        <v>15</v>
      </c>
      <c r="Z37" s="84">
        <f t="shared" si="71"/>
        <v>20</v>
      </c>
      <c r="AA37" s="84">
        <f t="shared" si="0"/>
        <v>60</v>
      </c>
      <c r="AB37" s="84">
        <f t="shared" si="71"/>
        <v>0</v>
      </c>
      <c r="AC37" s="84">
        <f t="shared" si="71"/>
        <v>10</v>
      </c>
      <c r="AD37" s="84">
        <f t="shared" si="71"/>
        <v>0</v>
      </c>
      <c r="AE37" s="84">
        <f t="shared" si="71"/>
        <v>0</v>
      </c>
      <c r="AF37" s="84">
        <f t="shared" si="71"/>
        <v>3</v>
      </c>
      <c r="AG37" s="84">
        <f t="shared" si="71"/>
        <v>2</v>
      </c>
      <c r="AH37" s="84">
        <f t="shared" si="71"/>
        <v>2</v>
      </c>
      <c r="AI37" s="84">
        <f t="shared" si="1"/>
        <v>7</v>
      </c>
      <c r="AJ37" s="84">
        <f t="shared" si="71"/>
        <v>0</v>
      </c>
      <c r="AK37" s="83"/>
      <c r="AL37" s="85"/>
      <c r="AM37" s="83"/>
      <c r="AN37" s="96"/>
      <c r="AO37" s="96"/>
      <c r="AP37" s="51"/>
      <c r="AQ37" s="83">
        <f>SUM(AQ35:AQ36)</f>
        <v>10</v>
      </c>
      <c r="AR37" s="83">
        <f t="shared" ref="AR37:AT37" si="72">SUM(AR35:AR36)</f>
        <v>0</v>
      </c>
      <c r="AS37" s="83">
        <f t="shared" si="72"/>
        <v>10</v>
      </c>
      <c r="AT37" s="83">
        <f t="shared" si="72"/>
        <v>0</v>
      </c>
      <c r="AU37" s="87"/>
      <c r="AV37" s="83"/>
      <c r="AW37" s="51"/>
      <c r="AX37" s="51" t="s">
        <v>59</v>
      </c>
      <c r="AY37" s="95"/>
      <c r="AZ37" s="95"/>
      <c r="BA37" s="95"/>
      <c r="BB37" s="95"/>
      <c r="BC37" s="95"/>
      <c r="BD37" s="95"/>
      <c r="BE37" s="95"/>
      <c r="BF37" s="95"/>
      <c r="BG37" s="95"/>
      <c r="BH37" s="95"/>
      <c r="BI37" s="95"/>
      <c r="BJ37" s="95"/>
      <c r="BK37" s="95"/>
      <c r="BL37" s="95"/>
      <c r="BM37" s="95"/>
      <c r="BN37" s="95"/>
      <c r="BO37" s="95"/>
      <c r="BP37" s="95"/>
      <c r="BQ37" s="95"/>
      <c r="BR37" s="95"/>
      <c r="BS37" s="95"/>
      <c r="BT37" s="95"/>
      <c r="BU37" s="95"/>
      <c r="BV37" s="95"/>
      <c r="BW37" s="95"/>
      <c r="BX37" s="95"/>
      <c r="BY37" s="95"/>
      <c r="BZ37" s="95"/>
      <c r="CA37" s="95"/>
      <c r="CB37" s="95"/>
      <c r="CC37" s="95"/>
      <c r="CD37" s="95"/>
      <c r="CE37" s="95"/>
      <c r="CF37" s="95"/>
      <c r="CG37" s="95"/>
      <c r="CH37" s="95"/>
      <c r="CI37" s="95"/>
      <c r="CJ37" s="95"/>
      <c r="CK37" s="95"/>
      <c r="CL37" s="95"/>
      <c r="CM37" s="95"/>
      <c r="CN37" s="95"/>
      <c r="CO37" s="95"/>
      <c r="CP37" s="95"/>
      <c r="CQ37" s="95"/>
      <c r="CR37" s="95"/>
      <c r="CS37" s="95"/>
      <c r="CT37" s="95"/>
      <c r="CU37" s="95"/>
      <c r="CV37" s="95"/>
      <c r="CW37" s="95"/>
      <c r="CX37" s="95"/>
      <c r="CY37" s="95"/>
      <c r="CZ37" s="95"/>
      <c r="DA37" s="95"/>
      <c r="DB37" s="95"/>
      <c r="DC37" s="95"/>
      <c r="DD37" s="95"/>
      <c r="DE37" s="95"/>
      <c r="DF37" s="95"/>
      <c r="DG37" s="95"/>
      <c r="DH37" s="95"/>
      <c r="DI37" s="95"/>
      <c r="DJ37" s="95"/>
      <c r="DK37" s="95"/>
      <c r="DL37" s="95"/>
      <c r="DM37" s="95"/>
      <c r="DN37" s="95"/>
      <c r="DO37" s="95"/>
      <c r="DP37" s="95"/>
      <c r="DQ37" s="95"/>
      <c r="DR37" s="95"/>
      <c r="DS37" s="95"/>
      <c r="DT37" s="95"/>
      <c r="DU37" s="95"/>
      <c r="DV37" s="95"/>
      <c r="DW37" s="95"/>
      <c r="DX37" s="95"/>
      <c r="DY37" s="95"/>
      <c r="DZ37" s="95"/>
      <c r="EA37" s="95"/>
      <c r="EB37" s="95"/>
      <c r="EC37" s="95"/>
      <c r="ED37" s="95"/>
      <c r="EE37" s="95"/>
      <c r="EF37" s="95"/>
      <c r="EG37" s="95"/>
      <c r="EH37" s="95"/>
      <c r="EI37" s="95"/>
      <c r="EJ37" s="95"/>
      <c r="EK37" s="95"/>
      <c r="EL37" s="95"/>
      <c r="EM37" s="95"/>
      <c r="EN37" s="95"/>
      <c r="EO37" s="95"/>
      <c r="EP37" s="95"/>
      <c r="EQ37" s="95"/>
      <c r="ER37" s="95"/>
      <c r="ES37" s="95"/>
      <c r="ET37" s="95"/>
      <c r="EU37" s="95"/>
      <c r="EV37" s="95"/>
      <c r="EW37" s="95"/>
      <c r="EX37" s="95"/>
      <c r="EY37" s="95"/>
      <c r="EZ37" s="95"/>
      <c r="FA37" s="95"/>
      <c r="FB37" s="95"/>
      <c r="FC37" s="95"/>
      <c r="FD37" s="95"/>
      <c r="FE37" s="95"/>
      <c r="FF37" s="95"/>
      <c r="FG37" s="95"/>
      <c r="FH37" s="95"/>
      <c r="FI37" s="95"/>
      <c r="FJ37" s="95"/>
      <c r="FK37" s="95"/>
      <c r="FL37" s="95"/>
      <c r="FM37" s="95"/>
      <c r="FN37" s="95"/>
      <c r="FO37" s="95"/>
      <c r="FP37" s="95"/>
      <c r="FQ37" s="95"/>
      <c r="FR37" s="95"/>
      <c r="FS37" s="95"/>
      <c r="FT37" s="95"/>
      <c r="FU37" s="95"/>
      <c r="FV37" s="95"/>
      <c r="FW37" s="95"/>
      <c r="FX37" s="95"/>
      <c r="FY37" s="95"/>
      <c r="FZ37" s="95"/>
      <c r="GA37" s="95"/>
      <c r="GB37" s="95"/>
      <c r="GC37" s="95"/>
      <c r="GD37" s="95"/>
      <c r="GE37" s="95"/>
      <c r="GF37" s="95"/>
      <c r="GG37" s="95"/>
      <c r="GH37" s="95"/>
      <c r="GI37" s="95"/>
      <c r="GJ37" s="95"/>
      <c r="GK37" s="95"/>
      <c r="GL37" s="95"/>
      <c r="GM37" s="95"/>
      <c r="GN37" s="95"/>
      <c r="GO37" s="95"/>
      <c r="GP37" s="95"/>
      <c r="GQ37" s="95"/>
      <c r="GR37" s="95"/>
      <c r="GS37" s="95"/>
      <c r="GT37" s="95"/>
      <c r="GU37" s="95"/>
      <c r="GV37" s="95"/>
      <c r="GW37" s="95"/>
      <c r="GX37" s="95"/>
      <c r="GY37" s="95"/>
      <c r="GZ37" s="95"/>
      <c r="HA37" s="95"/>
      <c r="HB37" s="95"/>
      <c r="HC37" s="95"/>
      <c r="HD37" s="95"/>
      <c r="HE37" s="95"/>
      <c r="HF37" s="95"/>
      <c r="HG37" s="95"/>
      <c r="HH37" s="95"/>
      <c r="HI37" s="95"/>
      <c r="HJ37" s="95"/>
      <c r="HK37" s="95"/>
      <c r="HL37" s="95"/>
      <c r="HM37" s="95"/>
      <c r="HN37" s="95"/>
      <c r="HO37" s="95"/>
      <c r="HP37" s="95"/>
      <c r="HQ37" s="95"/>
      <c r="HR37" s="95"/>
      <c r="HS37" s="95"/>
      <c r="HT37" s="95"/>
      <c r="HU37" s="95"/>
      <c r="HV37" s="95"/>
      <c r="HW37" s="95"/>
      <c r="HX37" s="95"/>
      <c r="HY37" s="95"/>
      <c r="HZ37" s="95"/>
      <c r="IA37" s="95"/>
      <c r="IB37" s="95"/>
      <c r="IC37" s="95"/>
      <c r="ID37" s="95"/>
      <c r="IE37" s="95"/>
      <c r="IF37" s="95"/>
      <c r="IG37" s="95"/>
      <c r="IH37" s="95"/>
      <c r="II37" s="95"/>
      <c r="IJ37" s="95"/>
      <c r="IK37" s="95"/>
      <c r="IL37" s="95"/>
      <c r="IM37" s="95"/>
      <c r="IN37" s="95"/>
      <c r="IO37" s="95"/>
      <c r="IP37" s="95"/>
      <c r="IQ37" s="95"/>
      <c r="IR37" s="95"/>
      <c r="IS37" s="95"/>
      <c r="IT37" s="95"/>
      <c r="IU37" s="95"/>
      <c r="IV37" s="95"/>
      <c r="IW37" s="95"/>
      <c r="IX37" s="95"/>
      <c r="IY37" s="95"/>
      <c r="IZ37" s="95"/>
      <c r="JA37" s="95"/>
      <c r="JB37" s="95"/>
      <c r="JC37" s="95"/>
      <c r="JD37" s="95"/>
      <c r="JE37" s="95"/>
      <c r="JF37" s="95"/>
      <c r="JG37" s="95"/>
      <c r="JH37" s="95"/>
      <c r="JI37" s="95"/>
      <c r="JJ37" s="95"/>
      <c r="JK37" s="95"/>
      <c r="JL37" s="95"/>
      <c r="JM37" s="95"/>
      <c r="JN37" s="95"/>
      <c r="JO37" s="95"/>
      <c r="JP37" s="95"/>
      <c r="JQ37" s="95"/>
      <c r="JR37" s="95"/>
      <c r="JS37" s="95"/>
      <c r="JT37" s="95"/>
      <c r="JU37" s="95"/>
      <c r="JV37" s="95"/>
      <c r="JW37" s="95"/>
      <c r="JX37" s="95"/>
      <c r="JY37" s="95"/>
      <c r="JZ37" s="95"/>
    </row>
    <row r="38" spans="1:286" s="98" customFormat="1" ht="82.5" customHeight="1" x14ac:dyDescent="0.25">
      <c r="A38" s="297"/>
      <c r="B38" s="30" t="s">
        <v>45</v>
      </c>
      <c r="C38" s="31" t="s">
        <v>113</v>
      </c>
      <c r="D38" s="32" t="s">
        <v>106</v>
      </c>
      <c r="E38" s="32" t="s">
        <v>75</v>
      </c>
      <c r="F38" s="65" t="s">
        <v>49</v>
      </c>
      <c r="G38" s="33" t="s">
        <v>50</v>
      </c>
      <c r="H38" s="65">
        <v>20</v>
      </c>
      <c r="I38" s="66">
        <v>0</v>
      </c>
      <c r="J38" s="90">
        <v>5</v>
      </c>
      <c r="K38" s="91">
        <v>3</v>
      </c>
      <c r="L38" s="92">
        <v>2</v>
      </c>
      <c r="M38" s="81">
        <v>5</v>
      </c>
      <c r="N38" s="70">
        <f t="shared" si="11"/>
        <v>15</v>
      </c>
      <c r="O38" s="71">
        <v>0</v>
      </c>
      <c r="P38" s="71"/>
      <c r="Q38" s="93"/>
      <c r="R38" s="33" t="s">
        <v>114</v>
      </c>
      <c r="S38" s="36" t="s">
        <v>115</v>
      </c>
      <c r="T38" s="33" t="s">
        <v>77</v>
      </c>
      <c r="U38" s="65">
        <v>20</v>
      </c>
      <c r="V38" s="196">
        <v>0</v>
      </c>
      <c r="W38" s="90">
        <v>5</v>
      </c>
      <c r="X38" s="91">
        <v>3</v>
      </c>
      <c r="Y38" s="92">
        <v>5</v>
      </c>
      <c r="Z38" s="81">
        <v>5</v>
      </c>
      <c r="AA38" s="70">
        <f t="shared" si="0"/>
        <v>18</v>
      </c>
      <c r="AB38" s="35"/>
      <c r="AC38" s="65">
        <v>5</v>
      </c>
      <c r="AD38" s="197">
        <v>0</v>
      </c>
      <c r="AE38" s="90">
        <v>0</v>
      </c>
      <c r="AF38" s="91">
        <v>0</v>
      </c>
      <c r="AG38" s="92">
        <v>0</v>
      </c>
      <c r="AH38" s="81">
        <v>0</v>
      </c>
      <c r="AI38" s="70">
        <f t="shared" si="1"/>
        <v>0</v>
      </c>
      <c r="AJ38" s="71"/>
      <c r="AK38" s="65"/>
      <c r="AL38" s="33"/>
      <c r="AM38" s="72"/>
      <c r="AN38" s="93"/>
      <c r="AO38" s="94"/>
      <c r="AP38" s="33" t="s">
        <v>58</v>
      </c>
      <c r="AQ38" s="65"/>
      <c r="AR38" s="73"/>
      <c r="AS38" s="74"/>
      <c r="AT38" s="75"/>
      <c r="AU38" s="76"/>
      <c r="AV38" s="65"/>
      <c r="AW38" s="33"/>
      <c r="AX38" s="32" t="s">
        <v>59</v>
      </c>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row>
    <row r="39" spans="1:286" s="97" customFormat="1" ht="82.5" customHeight="1" x14ac:dyDescent="0.25">
      <c r="A39" s="297"/>
      <c r="B39" s="30" t="s">
        <v>45</v>
      </c>
      <c r="C39" s="31" t="s">
        <v>113</v>
      </c>
      <c r="D39" s="32" t="s">
        <v>106</v>
      </c>
      <c r="E39" s="32" t="s">
        <v>75</v>
      </c>
      <c r="F39" s="51" t="s">
        <v>61</v>
      </c>
      <c r="G39" s="83"/>
      <c r="H39" s="84">
        <f>SUM(H38)</f>
        <v>20</v>
      </c>
      <c r="I39" s="84">
        <f t="shared" ref="I39" si="73">SUM(I38)</f>
        <v>0</v>
      </c>
      <c r="J39" s="84">
        <f t="shared" ref="J39:M39" si="74">SUM(J38)</f>
        <v>5</v>
      </c>
      <c r="K39" s="84">
        <f t="shared" si="74"/>
        <v>3</v>
      </c>
      <c r="L39" s="84">
        <f t="shared" si="74"/>
        <v>2</v>
      </c>
      <c r="M39" s="84">
        <f t="shared" si="74"/>
        <v>5</v>
      </c>
      <c r="N39" s="84">
        <f t="shared" si="11"/>
        <v>15</v>
      </c>
      <c r="O39" s="84">
        <f>SUM(O38)</f>
        <v>0</v>
      </c>
      <c r="P39" s="84"/>
      <c r="Q39" s="96"/>
      <c r="R39" s="85"/>
      <c r="S39" s="53"/>
      <c r="T39" s="51"/>
      <c r="U39" s="84">
        <f>SUM(U38)</f>
        <v>20</v>
      </c>
      <c r="V39" s="84">
        <f t="shared" ref="V39" si="75">SUM(V38)</f>
        <v>0</v>
      </c>
      <c r="W39" s="84">
        <f t="shared" ref="W39:AJ39" si="76">SUM(W38)</f>
        <v>5</v>
      </c>
      <c r="X39" s="84">
        <f t="shared" si="76"/>
        <v>3</v>
      </c>
      <c r="Y39" s="84">
        <f t="shared" si="76"/>
        <v>5</v>
      </c>
      <c r="Z39" s="84">
        <f t="shared" si="76"/>
        <v>5</v>
      </c>
      <c r="AA39" s="84">
        <f t="shared" si="0"/>
        <v>18</v>
      </c>
      <c r="AB39" s="84">
        <f t="shared" si="76"/>
        <v>0</v>
      </c>
      <c r="AC39" s="84">
        <f t="shared" si="76"/>
        <v>5</v>
      </c>
      <c r="AD39" s="84">
        <f t="shared" si="76"/>
        <v>0</v>
      </c>
      <c r="AE39" s="84">
        <f t="shared" si="76"/>
        <v>0</v>
      </c>
      <c r="AF39" s="84">
        <f t="shared" si="76"/>
        <v>0</v>
      </c>
      <c r="AG39" s="84">
        <f t="shared" si="76"/>
        <v>0</v>
      </c>
      <c r="AH39" s="84">
        <f t="shared" si="76"/>
        <v>0</v>
      </c>
      <c r="AI39" s="84">
        <f t="shared" si="1"/>
        <v>0</v>
      </c>
      <c r="AJ39" s="84">
        <f t="shared" si="76"/>
        <v>0</v>
      </c>
      <c r="AK39" s="83"/>
      <c r="AL39" s="85"/>
      <c r="AM39" s="83"/>
      <c r="AN39" s="96"/>
      <c r="AO39" s="96"/>
      <c r="AP39" s="51"/>
      <c r="AQ39" s="83"/>
      <c r="AR39" s="83"/>
      <c r="AS39" s="83"/>
      <c r="AT39" s="83"/>
      <c r="AU39" s="87"/>
      <c r="AV39" s="83"/>
      <c r="AW39" s="51"/>
      <c r="AX39" s="51" t="s">
        <v>59</v>
      </c>
      <c r="AY39" s="95"/>
      <c r="AZ39" s="95"/>
      <c r="BA39" s="95"/>
      <c r="BB39" s="95"/>
      <c r="BC39" s="95"/>
      <c r="BD39" s="95"/>
      <c r="BE39" s="95"/>
      <c r="BF39" s="95"/>
      <c r="BG39" s="95"/>
      <c r="BH39" s="95"/>
      <c r="BI39" s="95"/>
      <c r="BJ39" s="95"/>
      <c r="BK39" s="95"/>
      <c r="BL39" s="95"/>
      <c r="BM39" s="95"/>
      <c r="BN39" s="95"/>
      <c r="BO39" s="95"/>
      <c r="BP39" s="95"/>
      <c r="BQ39" s="95"/>
      <c r="BR39" s="95"/>
      <c r="BS39" s="95"/>
      <c r="BT39" s="95"/>
      <c r="BU39" s="95"/>
      <c r="BV39" s="95"/>
      <c r="BW39" s="95"/>
      <c r="BX39" s="95"/>
      <c r="BY39" s="95"/>
      <c r="BZ39" s="95"/>
      <c r="CA39" s="95"/>
      <c r="CB39" s="95"/>
      <c r="CC39" s="95"/>
      <c r="CD39" s="95"/>
      <c r="CE39" s="95"/>
      <c r="CF39" s="95"/>
      <c r="CG39" s="95"/>
      <c r="CH39" s="95"/>
      <c r="CI39" s="95"/>
      <c r="CJ39" s="95"/>
      <c r="CK39" s="95"/>
      <c r="CL39" s="95"/>
      <c r="CM39" s="95"/>
      <c r="CN39" s="95"/>
      <c r="CO39" s="95"/>
      <c r="CP39" s="95"/>
      <c r="CQ39" s="95"/>
      <c r="CR39" s="95"/>
      <c r="CS39" s="95"/>
      <c r="CT39" s="95"/>
      <c r="CU39" s="95"/>
      <c r="CV39" s="95"/>
      <c r="CW39" s="95"/>
      <c r="CX39" s="95"/>
      <c r="CY39" s="95"/>
      <c r="CZ39" s="95"/>
      <c r="DA39" s="95"/>
      <c r="DB39" s="95"/>
      <c r="DC39" s="95"/>
      <c r="DD39" s="95"/>
      <c r="DE39" s="95"/>
      <c r="DF39" s="95"/>
      <c r="DG39" s="95"/>
      <c r="DH39" s="95"/>
      <c r="DI39" s="95"/>
      <c r="DJ39" s="95"/>
      <c r="DK39" s="95"/>
      <c r="DL39" s="95"/>
      <c r="DM39" s="95"/>
      <c r="DN39" s="95"/>
      <c r="DO39" s="95"/>
      <c r="DP39" s="95"/>
      <c r="DQ39" s="95"/>
      <c r="DR39" s="95"/>
      <c r="DS39" s="95"/>
      <c r="DT39" s="95"/>
      <c r="DU39" s="95"/>
      <c r="DV39" s="95"/>
      <c r="DW39" s="95"/>
      <c r="DX39" s="95"/>
      <c r="DY39" s="95"/>
      <c r="DZ39" s="95"/>
      <c r="EA39" s="95"/>
      <c r="EB39" s="95"/>
      <c r="EC39" s="95"/>
      <c r="ED39" s="95"/>
      <c r="EE39" s="95"/>
      <c r="EF39" s="95"/>
      <c r="EG39" s="95"/>
      <c r="EH39" s="95"/>
      <c r="EI39" s="95"/>
      <c r="EJ39" s="95"/>
      <c r="EK39" s="95"/>
      <c r="EL39" s="95"/>
      <c r="EM39" s="95"/>
      <c r="EN39" s="95"/>
      <c r="EO39" s="95"/>
      <c r="EP39" s="95"/>
      <c r="EQ39" s="95"/>
      <c r="ER39" s="95"/>
      <c r="ES39" s="95"/>
      <c r="ET39" s="95"/>
      <c r="EU39" s="95"/>
      <c r="EV39" s="95"/>
      <c r="EW39" s="95"/>
      <c r="EX39" s="95"/>
      <c r="EY39" s="95"/>
      <c r="EZ39" s="95"/>
      <c r="FA39" s="95"/>
      <c r="FB39" s="95"/>
      <c r="FC39" s="95"/>
      <c r="FD39" s="95"/>
      <c r="FE39" s="95"/>
      <c r="FF39" s="95"/>
      <c r="FG39" s="95"/>
      <c r="FH39" s="95"/>
      <c r="FI39" s="95"/>
      <c r="FJ39" s="95"/>
      <c r="FK39" s="95"/>
      <c r="FL39" s="95"/>
      <c r="FM39" s="95"/>
      <c r="FN39" s="95"/>
      <c r="FO39" s="95"/>
      <c r="FP39" s="95"/>
      <c r="FQ39" s="95"/>
      <c r="FR39" s="95"/>
      <c r="FS39" s="95"/>
      <c r="FT39" s="95"/>
      <c r="FU39" s="95"/>
      <c r="FV39" s="95"/>
      <c r="FW39" s="95"/>
      <c r="FX39" s="95"/>
      <c r="FY39" s="95"/>
      <c r="FZ39" s="95"/>
      <c r="GA39" s="95"/>
      <c r="GB39" s="95"/>
      <c r="GC39" s="95"/>
      <c r="GD39" s="95"/>
      <c r="GE39" s="95"/>
      <c r="GF39" s="95"/>
      <c r="GG39" s="95"/>
      <c r="GH39" s="95"/>
      <c r="GI39" s="95"/>
      <c r="GJ39" s="95"/>
      <c r="GK39" s="95"/>
      <c r="GL39" s="95"/>
      <c r="GM39" s="95"/>
      <c r="GN39" s="95"/>
      <c r="GO39" s="95"/>
      <c r="GP39" s="95"/>
      <c r="GQ39" s="95"/>
      <c r="GR39" s="95"/>
      <c r="GS39" s="95"/>
      <c r="GT39" s="95"/>
      <c r="GU39" s="95"/>
      <c r="GV39" s="95"/>
      <c r="GW39" s="95"/>
      <c r="GX39" s="95"/>
      <c r="GY39" s="95"/>
      <c r="GZ39" s="95"/>
      <c r="HA39" s="95"/>
      <c r="HB39" s="95"/>
      <c r="HC39" s="95"/>
      <c r="HD39" s="95"/>
      <c r="HE39" s="95"/>
      <c r="HF39" s="95"/>
      <c r="HG39" s="95"/>
      <c r="HH39" s="95"/>
      <c r="HI39" s="95"/>
      <c r="HJ39" s="95"/>
      <c r="HK39" s="95"/>
      <c r="HL39" s="95"/>
      <c r="HM39" s="95"/>
      <c r="HN39" s="95"/>
      <c r="HO39" s="95"/>
      <c r="HP39" s="95"/>
      <c r="HQ39" s="95"/>
      <c r="HR39" s="95"/>
      <c r="HS39" s="95"/>
      <c r="HT39" s="95"/>
      <c r="HU39" s="95"/>
      <c r="HV39" s="95"/>
      <c r="HW39" s="95"/>
      <c r="HX39" s="95"/>
      <c r="HY39" s="95"/>
      <c r="HZ39" s="95"/>
      <c r="IA39" s="95"/>
      <c r="IB39" s="95"/>
      <c r="IC39" s="95"/>
      <c r="ID39" s="95"/>
      <c r="IE39" s="95"/>
      <c r="IF39" s="95"/>
      <c r="IG39" s="95"/>
      <c r="IH39" s="95"/>
      <c r="II39" s="95"/>
      <c r="IJ39" s="95"/>
      <c r="IK39" s="95"/>
      <c r="IL39" s="95"/>
      <c r="IM39" s="95"/>
      <c r="IN39" s="95"/>
      <c r="IO39" s="95"/>
      <c r="IP39" s="95"/>
      <c r="IQ39" s="95"/>
      <c r="IR39" s="95"/>
      <c r="IS39" s="95"/>
      <c r="IT39" s="95"/>
      <c r="IU39" s="95"/>
      <c r="IV39" s="95"/>
      <c r="IW39" s="95"/>
      <c r="IX39" s="95"/>
      <c r="IY39" s="95"/>
      <c r="IZ39" s="95"/>
      <c r="JA39" s="95"/>
      <c r="JB39" s="95"/>
      <c r="JC39" s="95"/>
      <c r="JD39" s="95"/>
      <c r="JE39" s="95"/>
      <c r="JF39" s="95"/>
      <c r="JG39" s="95"/>
      <c r="JH39" s="95"/>
      <c r="JI39" s="95"/>
      <c r="JJ39" s="95"/>
      <c r="JK39" s="95"/>
      <c r="JL39" s="95"/>
      <c r="JM39" s="95"/>
      <c r="JN39" s="95"/>
      <c r="JO39" s="95"/>
      <c r="JP39" s="95"/>
      <c r="JQ39" s="95"/>
      <c r="JR39" s="95"/>
      <c r="JS39" s="95"/>
      <c r="JT39" s="95"/>
      <c r="JU39" s="95"/>
      <c r="JV39" s="95"/>
      <c r="JW39" s="95"/>
      <c r="JX39" s="95"/>
      <c r="JY39" s="95"/>
      <c r="JZ39" s="95"/>
    </row>
    <row r="40" spans="1:286" s="98" customFormat="1" ht="82.5" customHeight="1" x14ac:dyDescent="0.25">
      <c r="A40" s="297"/>
      <c r="B40" s="30" t="s">
        <v>45</v>
      </c>
      <c r="C40" s="31" t="s">
        <v>116</v>
      </c>
      <c r="D40" s="32" t="s">
        <v>106</v>
      </c>
      <c r="E40" s="32" t="s">
        <v>75</v>
      </c>
      <c r="F40" s="65" t="s">
        <v>49</v>
      </c>
      <c r="G40" s="33" t="s">
        <v>50</v>
      </c>
      <c r="H40" s="65">
        <v>20</v>
      </c>
      <c r="I40" s="66">
        <v>0</v>
      </c>
      <c r="J40" s="90">
        <v>5</v>
      </c>
      <c r="K40" s="91">
        <v>3</v>
      </c>
      <c r="L40" s="92">
        <v>2</v>
      </c>
      <c r="M40" s="81">
        <v>5</v>
      </c>
      <c r="N40" s="70">
        <f t="shared" si="11"/>
        <v>15</v>
      </c>
      <c r="O40" s="71"/>
      <c r="P40" s="71"/>
      <c r="Q40" s="93"/>
      <c r="R40" s="33" t="s">
        <v>114</v>
      </c>
      <c r="S40" s="36" t="s">
        <v>115</v>
      </c>
      <c r="T40" s="33" t="s">
        <v>77</v>
      </c>
      <c r="U40" s="65">
        <v>20</v>
      </c>
      <c r="V40" s="197">
        <v>0</v>
      </c>
      <c r="W40" s="90">
        <v>5</v>
      </c>
      <c r="X40" s="91">
        <v>3</v>
      </c>
      <c r="Y40" s="92">
        <v>5</v>
      </c>
      <c r="Z40" s="81">
        <v>5</v>
      </c>
      <c r="AA40" s="70">
        <f t="shared" si="0"/>
        <v>18</v>
      </c>
      <c r="AB40" s="35"/>
      <c r="AC40" s="65">
        <v>5</v>
      </c>
      <c r="AD40" s="197">
        <v>0</v>
      </c>
      <c r="AE40" s="90">
        <v>0</v>
      </c>
      <c r="AF40" s="91">
        <v>0</v>
      </c>
      <c r="AG40" s="92">
        <v>0</v>
      </c>
      <c r="AH40" s="81">
        <v>0</v>
      </c>
      <c r="AI40" s="70">
        <f t="shared" si="1"/>
        <v>0</v>
      </c>
      <c r="AJ40" s="71"/>
      <c r="AK40" s="65"/>
      <c r="AL40" s="33"/>
      <c r="AM40" s="72"/>
      <c r="AN40" s="93"/>
      <c r="AO40" s="94"/>
      <c r="AP40" s="33"/>
      <c r="AQ40" s="65"/>
      <c r="AR40" s="73"/>
      <c r="AS40" s="74"/>
      <c r="AT40" s="75"/>
      <c r="AU40" s="76"/>
      <c r="AV40" s="65"/>
      <c r="AW40" s="33"/>
      <c r="AX40" s="32" t="s">
        <v>59</v>
      </c>
      <c r="AY40" s="95"/>
      <c r="AZ40" s="95"/>
      <c r="BA40" s="95"/>
      <c r="BB40" s="95"/>
      <c r="BC40" s="95"/>
      <c r="BD40" s="95"/>
      <c r="BE40" s="95"/>
      <c r="BF40" s="95"/>
      <c r="BG40" s="95"/>
      <c r="BH40" s="95"/>
      <c r="BI40" s="95"/>
      <c r="BJ40" s="95"/>
      <c r="BK40" s="95"/>
      <c r="BL40" s="95"/>
      <c r="BM40" s="95"/>
      <c r="BN40" s="95"/>
      <c r="BO40" s="95"/>
      <c r="BP40" s="95"/>
      <c r="BQ40" s="95"/>
      <c r="BR40" s="95"/>
      <c r="BS40" s="95"/>
      <c r="BT40" s="95"/>
      <c r="BU40" s="95"/>
      <c r="BV40" s="95"/>
      <c r="BW40" s="95"/>
      <c r="BX40" s="95"/>
      <c r="BY40" s="95"/>
      <c r="BZ40" s="95"/>
      <c r="CA40" s="95"/>
      <c r="CB40" s="95"/>
    </row>
    <row r="41" spans="1:286" s="97" customFormat="1" ht="82.5" customHeight="1" x14ac:dyDescent="0.25">
      <c r="A41" s="297"/>
      <c r="B41" s="30" t="s">
        <v>45</v>
      </c>
      <c r="C41" s="31" t="s">
        <v>116</v>
      </c>
      <c r="D41" s="32" t="s">
        <v>106</v>
      </c>
      <c r="E41" s="32" t="s">
        <v>75</v>
      </c>
      <c r="F41" s="51" t="s">
        <v>61</v>
      </c>
      <c r="G41" s="83"/>
      <c r="H41" s="84">
        <f>SUM(H40)</f>
        <v>20</v>
      </c>
      <c r="I41" s="84">
        <f t="shared" ref="I41" si="77">SUM(I40)</f>
        <v>0</v>
      </c>
      <c r="J41" s="84">
        <f t="shared" ref="J41:O41" si="78">SUM(J40)</f>
        <v>5</v>
      </c>
      <c r="K41" s="84">
        <f t="shared" si="78"/>
        <v>3</v>
      </c>
      <c r="L41" s="84">
        <f t="shared" si="78"/>
        <v>2</v>
      </c>
      <c r="M41" s="84">
        <f t="shared" si="78"/>
        <v>5</v>
      </c>
      <c r="N41" s="84">
        <f t="shared" si="11"/>
        <v>15</v>
      </c>
      <c r="O41" s="84">
        <f t="shared" si="78"/>
        <v>0</v>
      </c>
      <c r="P41" s="84"/>
      <c r="Q41" s="96"/>
      <c r="R41" s="85"/>
      <c r="S41" s="53"/>
      <c r="T41" s="51"/>
      <c r="U41" s="84">
        <f>SUM(U40)</f>
        <v>20</v>
      </c>
      <c r="V41" s="84">
        <f t="shared" ref="V41" si="79">SUM(V40)</f>
        <v>0</v>
      </c>
      <c r="W41" s="84">
        <f t="shared" ref="W41:AJ41" si="80">SUM(W40)</f>
        <v>5</v>
      </c>
      <c r="X41" s="84">
        <f t="shared" si="80"/>
        <v>3</v>
      </c>
      <c r="Y41" s="84">
        <f t="shared" si="80"/>
        <v>5</v>
      </c>
      <c r="Z41" s="84">
        <f t="shared" si="80"/>
        <v>5</v>
      </c>
      <c r="AA41" s="84">
        <f t="shared" si="0"/>
        <v>18</v>
      </c>
      <c r="AB41" s="84">
        <f t="shared" si="80"/>
        <v>0</v>
      </c>
      <c r="AC41" s="84">
        <f t="shared" si="80"/>
        <v>5</v>
      </c>
      <c r="AD41" s="84">
        <f t="shared" si="80"/>
        <v>0</v>
      </c>
      <c r="AE41" s="84">
        <f t="shared" si="80"/>
        <v>0</v>
      </c>
      <c r="AF41" s="84">
        <f t="shared" si="80"/>
        <v>0</v>
      </c>
      <c r="AG41" s="84">
        <f t="shared" si="80"/>
        <v>0</v>
      </c>
      <c r="AH41" s="84">
        <f t="shared" si="80"/>
        <v>0</v>
      </c>
      <c r="AI41" s="84">
        <f t="shared" si="1"/>
        <v>0</v>
      </c>
      <c r="AJ41" s="84">
        <f t="shared" si="80"/>
        <v>0</v>
      </c>
      <c r="AK41" s="83"/>
      <c r="AL41" s="85"/>
      <c r="AM41" s="83"/>
      <c r="AN41" s="96"/>
      <c r="AO41" s="96"/>
      <c r="AP41" s="51"/>
      <c r="AQ41" s="83"/>
      <c r="AR41" s="83"/>
      <c r="AS41" s="83"/>
      <c r="AT41" s="83"/>
      <c r="AU41" s="87"/>
      <c r="AV41" s="83"/>
      <c r="AW41" s="51"/>
      <c r="AX41" s="51" t="s">
        <v>59</v>
      </c>
      <c r="AY41" s="95"/>
      <c r="AZ41" s="95"/>
      <c r="BA41" s="95"/>
      <c r="BB41" s="95"/>
      <c r="BC41" s="95"/>
      <c r="BD41" s="95"/>
      <c r="BE41" s="95"/>
      <c r="BF41" s="95"/>
      <c r="BG41" s="95"/>
      <c r="BH41" s="95"/>
      <c r="BI41" s="95"/>
      <c r="BJ41" s="95"/>
      <c r="BK41" s="95"/>
      <c r="BL41" s="95"/>
      <c r="BM41" s="95"/>
      <c r="BN41" s="95"/>
      <c r="BO41" s="95"/>
      <c r="BP41" s="95"/>
      <c r="BQ41" s="95"/>
      <c r="BR41" s="95"/>
      <c r="BS41" s="95"/>
      <c r="BT41" s="95"/>
      <c r="BU41" s="95"/>
      <c r="BV41" s="95"/>
      <c r="BW41" s="95"/>
      <c r="BX41" s="95"/>
      <c r="BY41" s="95"/>
      <c r="BZ41" s="95"/>
      <c r="CA41" s="95"/>
      <c r="CB41" s="95"/>
      <c r="CC41" s="95"/>
      <c r="CD41" s="95"/>
      <c r="CE41" s="95"/>
      <c r="CF41" s="95"/>
      <c r="CG41" s="95"/>
      <c r="CH41" s="95"/>
      <c r="CI41" s="95"/>
      <c r="CJ41" s="95"/>
      <c r="CK41" s="95"/>
      <c r="CL41" s="95"/>
      <c r="CM41" s="95"/>
      <c r="CN41" s="95"/>
      <c r="CO41" s="95"/>
      <c r="CP41" s="95"/>
      <c r="CQ41" s="95"/>
      <c r="CR41" s="95"/>
      <c r="CS41" s="95"/>
      <c r="CT41" s="95"/>
      <c r="CU41" s="95"/>
      <c r="CV41" s="95"/>
      <c r="CW41" s="95"/>
      <c r="CX41" s="95"/>
      <c r="CY41" s="95"/>
      <c r="CZ41" s="95"/>
      <c r="DA41" s="95"/>
      <c r="DB41" s="95"/>
      <c r="DC41" s="95"/>
      <c r="DD41" s="95"/>
      <c r="DE41" s="95"/>
      <c r="DF41" s="95"/>
      <c r="DG41" s="95"/>
      <c r="DH41" s="95"/>
      <c r="DI41" s="95"/>
      <c r="DJ41" s="95"/>
      <c r="DK41" s="95"/>
      <c r="DL41" s="95"/>
      <c r="DM41" s="95"/>
      <c r="DN41" s="95"/>
      <c r="DO41" s="95"/>
      <c r="DP41" s="95"/>
      <c r="DQ41" s="95"/>
      <c r="DR41" s="95"/>
      <c r="DS41" s="95"/>
      <c r="DT41" s="95"/>
      <c r="DU41" s="95"/>
      <c r="DV41" s="95"/>
      <c r="DW41" s="95"/>
      <c r="DX41" s="95"/>
      <c r="DY41" s="95"/>
      <c r="DZ41" s="95"/>
      <c r="EA41" s="95"/>
      <c r="EB41" s="95"/>
      <c r="EC41" s="95"/>
      <c r="ED41" s="95"/>
      <c r="EE41" s="95"/>
      <c r="EF41" s="95"/>
      <c r="EG41" s="95"/>
      <c r="EH41" s="95"/>
      <c r="EI41" s="95"/>
      <c r="EJ41" s="95"/>
      <c r="EK41" s="95"/>
      <c r="EL41" s="95"/>
      <c r="EM41" s="95"/>
      <c r="EN41" s="95"/>
      <c r="EO41" s="95"/>
      <c r="EP41" s="95"/>
      <c r="EQ41" s="95"/>
      <c r="ER41" s="95"/>
      <c r="ES41" s="95"/>
      <c r="ET41" s="95"/>
      <c r="EU41" s="95"/>
      <c r="EV41" s="95"/>
      <c r="EW41" s="95"/>
      <c r="EX41" s="95"/>
      <c r="EY41" s="95"/>
      <c r="EZ41" s="95"/>
      <c r="FA41" s="95"/>
      <c r="FB41" s="95"/>
      <c r="FC41" s="95"/>
      <c r="FD41" s="95"/>
      <c r="FE41" s="95"/>
      <c r="FF41" s="95"/>
      <c r="FG41" s="95"/>
      <c r="FH41" s="95"/>
      <c r="FI41" s="95"/>
      <c r="FJ41" s="95"/>
      <c r="FK41" s="95"/>
      <c r="FL41" s="95"/>
      <c r="FM41" s="95"/>
      <c r="FN41" s="95"/>
      <c r="FO41" s="95"/>
      <c r="FP41" s="95"/>
      <c r="FQ41" s="95"/>
      <c r="FR41" s="95"/>
      <c r="FS41" s="95"/>
      <c r="FT41" s="95"/>
      <c r="FU41" s="95"/>
      <c r="FV41" s="95"/>
      <c r="FW41" s="95"/>
      <c r="FX41" s="95"/>
      <c r="FY41" s="95"/>
      <c r="FZ41" s="95"/>
      <c r="GA41" s="95"/>
      <c r="GB41" s="95"/>
      <c r="GC41" s="95"/>
      <c r="GD41" s="95"/>
      <c r="GE41" s="95"/>
      <c r="GF41" s="95"/>
      <c r="GG41" s="95"/>
      <c r="GH41" s="95"/>
      <c r="GI41" s="95"/>
      <c r="GJ41" s="95"/>
      <c r="GK41" s="95"/>
      <c r="GL41" s="95"/>
      <c r="GM41" s="95"/>
      <c r="GN41" s="95"/>
      <c r="GO41" s="95"/>
      <c r="GP41" s="95"/>
      <c r="GQ41" s="95"/>
      <c r="GR41" s="95"/>
      <c r="GS41" s="95"/>
      <c r="GT41" s="95"/>
      <c r="GU41" s="95"/>
      <c r="GV41" s="95"/>
      <c r="GW41" s="95"/>
      <c r="GX41" s="95"/>
      <c r="GY41" s="95"/>
      <c r="GZ41" s="95"/>
      <c r="HA41" s="95"/>
      <c r="HB41" s="95"/>
      <c r="HC41" s="95"/>
      <c r="HD41" s="95"/>
      <c r="HE41" s="95"/>
      <c r="HF41" s="95"/>
      <c r="HG41" s="95"/>
      <c r="HH41" s="95"/>
      <c r="HI41" s="95"/>
      <c r="HJ41" s="95"/>
      <c r="HK41" s="95"/>
      <c r="HL41" s="95"/>
      <c r="HM41" s="95"/>
      <c r="HN41" s="95"/>
      <c r="HO41" s="95"/>
      <c r="HP41" s="95"/>
      <c r="HQ41" s="95"/>
      <c r="HR41" s="95"/>
      <c r="HS41" s="95"/>
      <c r="HT41" s="95"/>
      <c r="HU41" s="95"/>
      <c r="HV41" s="95"/>
      <c r="HW41" s="95"/>
      <c r="HX41" s="95"/>
      <c r="HY41" s="95"/>
      <c r="HZ41" s="95"/>
      <c r="IA41" s="95"/>
      <c r="IB41" s="95"/>
      <c r="IC41" s="95"/>
      <c r="ID41" s="95"/>
      <c r="IE41" s="95"/>
      <c r="IF41" s="95"/>
      <c r="IG41" s="95"/>
      <c r="IH41" s="95"/>
      <c r="II41" s="95"/>
      <c r="IJ41" s="95"/>
      <c r="IK41" s="95"/>
      <c r="IL41" s="95"/>
      <c r="IM41" s="95"/>
      <c r="IN41" s="95"/>
      <c r="IO41" s="95"/>
      <c r="IP41" s="95"/>
      <c r="IQ41" s="95"/>
      <c r="IR41" s="95"/>
      <c r="IS41" s="95"/>
      <c r="IT41" s="95"/>
      <c r="IU41" s="95"/>
      <c r="IV41" s="95"/>
      <c r="IW41" s="95"/>
      <c r="IX41" s="95"/>
      <c r="IY41" s="95"/>
      <c r="IZ41" s="95"/>
      <c r="JA41" s="95"/>
      <c r="JB41" s="95"/>
      <c r="JC41" s="95"/>
      <c r="JD41" s="95"/>
      <c r="JE41" s="95"/>
      <c r="JF41" s="95"/>
      <c r="JG41" s="95"/>
      <c r="JH41" s="95"/>
      <c r="JI41" s="95"/>
      <c r="JJ41" s="95"/>
      <c r="JK41" s="95"/>
      <c r="JL41" s="95"/>
      <c r="JM41" s="95"/>
      <c r="JN41" s="95"/>
      <c r="JO41" s="95"/>
      <c r="JP41" s="95"/>
      <c r="JQ41" s="95"/>
      <c r="JR41" s="95"/>
      <c r="JS41" s="95"/>
      <c r="JT41" s="95"/>
      <c r="JU41" s="95"/>
      <c r="JV41" s="95"/>
      <c r="JW41" s="95"/>
      <c r="JX41" s="95"/>
      <c r="JY41" s="95"/>
      <c r="JZ41" s="95"/>
    </row>
    <row r="42" spans="1:286" s="95" customFormat="1" ht="82.5" customHeight="1" x14ac:dyDescent="0.25">
      <c r="A42" s="88"/>
      <c r="B42" s="30" t="s">
        <v>45</v>
      </c>
      <c r="C42" s="31" t="s">
        <v>117</v>
      </c>
      <c r="D42" s="32" t="s">
        <v>106</v>
      </c>
      <c r="E42" s="32" t="s">
        <v>48</v>
      </c>
      <c r="F42" s="217" t="s">
        <v>49</v>
      </c>
      <c r="G42" s="33" t="s">
        <v>50</v>
      </c>
      <c r="H42" s="65">
        <v>200</v>
      </c>
      <c r="I42" s="89">
        <v>8</v>
      </c>
      <c r="J42" s="90">
        <v>30</v>
      </c>
      <c r="K42" s="91">
        <v>50</v>
      </c>
      <c r="L42" s="92">
        <v>20</v>
      </c>
      <c r="M42" s="81">
        <v>35</v>
      </c>
      <c r="N42" s="70">
        <f t="shared" si="11"/>
        <v>143</v>
      </c>
      <c r="O42" s="71">
        <v>0</v>
      </c>
      <c r="P42" s="71"/>
      <c r="Q42" s="93"/>
      <c r="R42" s="33" t="s">
        <v>51</v>
      </c>
      <c r="S42" s="36" t="s">
        <v>118</v>
      </c>
      <c r="T42" s="33" t="s">
        <v>77</v>
      </c>
      <c r="U42" s="65">
        <v>200</v>
      </c>
      <c r="V42" s="197">
        <v>8</v>
      </c>
      <c r="W42" s="90">
        <v>30</v>
      </c>
      <c r="X42" s="91">
        <v>50</v>
      </c>
      <c r="Y42" s="92">
        <v>40</v>
      </c>
      <c r="Z42" s="81">
        <v>35</v>
      </c>
      <c r="AA42" s="70">
        <f t="shared" si="0"/>
        <v>163</v>
      </c>
      <c r="AB42" s="35">
        <v>0</v>
      </c>
      <c r="AC42" s="65">
        <v>1</v>
      </c>
      <c r="AD42" s="197">
        <v>0</v>
      </c>
      <c r="AE42" s="90">
        <v>0</v>
      </c>
      <c r="AF42" s="91">
        <v>0</v>
      </c>
      <c r="AG42" s="92">
        <v>0</v>
      </c>
      <c r="AH42" s="81">
        <v>0</v>
      </c>
      <c r="AI42" s="70">
        <f t="shared" si="1"/>
        <v>0</v>
      </c>
      <c r="AJ42" s="71">
        <v>0</v>
      </c>
      <c r="AK42" s="65"/>
      <c r="AL42" s="33"/>
      <c r="AM42" s="72"/>
      <c r="AN42" s="93"/>
      <c r="AO42" s="94"/>
      <c r="AP42" s="33" t="s">
        <v>58</v>
      </c>
      <c r="AQ42" s="65">
        <v>1</v>
      </c>
      <c r="AR42" s="73">
        <v>0</v>
      </c>
      <c r="AS42" s="74">
        <v>1</v>
      </c>
      <c r="AT42" s="75">
        <v>0</v>
      </c>
      <c r="AU42" s="76"/>
      <c r="AV42" s="65"/>
      <c r="AW42" s="33"/>
      <c r="AX42" s="32" t="s">
        <v>108</v>
      </c>
    </row>
    <row r="43" spans="1:286" s="95" customFormat="1" ht="82.5" customHeight="1" x14ac:dyDescent="0.25">
      <c r="A43" s="88"/>
      <c r="B43" s="30" t="s">
        <v>45</v>
      </c>
      <c r="C43" s="31" t="s">
        <v>117</v>
      </c>
      <c r="D43" s="32" t="s">
        <v>106</v>
      </c>
      <c r="E43" s="32" t="s">
        <v>48</v>
      </c>
      <c r="F43" s="217"/>
      <c r="G43" s="33" t="s">
        <v>60</v>
      </c>
      <c r="H43" s="65">
        <v>10</v>
      </c>
      <c r="I43" s="89">
        <v>0</v>
      </c>
      <c r="J43" s="90">
        <v>0</v>
      </c>
      <c r="K43" s="91">
        <v>0</v>
      </c>
      <c r="L43" s="92">
        <v>5</v>
      </c>
      <c r="M43" s="81">
        <v>5</v>
      </c>
      <c r="N43" s="70">
        <f t="shared" si="11"/>
        <v>10</v>
      </c>
      <c r="O43" s="71">
        <v>0</v>
      </c>
      <c r="P43" s="71"/>
      <c r="Q43" s="93"/>
      <c r="R43" s="33" t="s">
        <v>51</v>
      </c>
      <c r="S43" s="36" t="s">
        <v>100</v>
      </c>
      <c r="T43" s="33" t="s">
        <v>77</v>
      </c>
      <c r="U43" s="65">
        <v>10</v>
      </c>
      <c r="V43" s="197">
        <v>0</v>
      </c>
      <c r="W43" s="90">
        <v>0</v>
      </c>
      <c r="X43" s="91">
        <v>0</v>
      </c>
      <c r="Y43" s="92">
        <v>5</v>
      </c>
      <c r="Z43" s="81">
        <v>5</v>
      </c>
      <c r="AA43" s="70">
        <f t="shared" si="0"/>
        <v>10</v>
      </c>
      <c r="AB43" s="35">
        <v>0</v>
      </c>
      <c r="AC43" s="65">
        <v>1</v>
      </c>
      <c r="AD43" s="197">
        <v>0</v>
      </c>
      <c r="AE43" s="90">
        <v>0</v>
      </c>
      <c r="AF43" s="91">
        <v>0</v>
      </c>
      <c r="AG43" s="92">
        <v>0</v>
      </c>
      <c r="AH43" s="81">
        <v>0</v>
      </c>
      <c r="AI43" s="70">
        <f t="shared" si="1"/>
        <v>0</v>
      </c>
      <c r="AJ43" s="71">
        <v>0</v>
      </c>
      <c r="AK43" s="65"/>
      <c r="AL43" s="33"/>
      <c r="AM43" s="72"/>
      <c r="AN43" s="93"/>
      <c r="AO43" s="94"/>
      <c r="AP43" s="33" t="s">
        <v>58</v>
      </c>
      <c r="AQ43" s="65">
        <v>1</v>
      </c>
      <c r="AR43" s="73">
        <v>0</v>
      </c>
      <c r="AS43" s="74">
        <v>1</v>
      </c>
      <c r="AT43" s="75">
        <v>0</v>
      </c>
      <c r="AU43" s="76"/>
      <c r="AV43" s="65"/>
      <c r="AW43" s="33"/>
      <c r="AX43" s="32" t="s">
        <v>108</v>
      </c>
    </row>
    <row r="44" spans="1:286" s="97" customFormat="1" ht="82.5" customHeight="1" x14ac:dyDescent="0.25">
      <c r="A44" s="88"/>
      <c r="B44" s="30" t="s">
        <v>45</v>
      </c>
      <c r="C44" s="31" t="s">
        <v>117</v>
      </c>
      <c r="D44" s="32" t="s">
        <v>106</v>
      </c>
      <c r="E44" s="32" t="s">
        <v>48</v>
      </c>
      <c r="F44" s="51" t="s">
        <v>61</v>
      </c>
      <c r="G44" s="83"/>
      <c r="H44" s="84">
        <f>SUM(H42:H43)</f>
        <v>210</v>
      </c>
      <c r="I44" s="84">
        <f t="shared" ref="I44" si="81">SUM(I42:I43)</f>
        <v>8</v>
      </c>
      <c r="J44" s="84">
        <f t="shared" ref="J44:M44" si="82">SUM(J42:J43)</f>
        <v>30</v>
      </c>
      <c r="K44" s="84">
        <f t="shared" si="82"/>
        <v>50</v>
      </c>
      <c r="L44" s="84">
        <f t="shared" si="82"/>
        <v>25</v>
      </c>
      <c r="M44" s="84">
        <f t="shared" si="82"/>
        <v>40</v>
      </c>
      <c r="N44" s="84">
        <f t="shared" si="11"/>
        <v>153</v>
      </c>
      <c r="O44" s="84">
        <f t="shared" ref="O44:P44" si="83">SUM(O42:O43)</f>
        <v>0</v>
      </c>
      <c r="P44" s="84">
        <f t="shared" si="83"/>
        <v>0</v>
      </c>
      <c r="Q44" s="96"/>
      <c r="R44" s="85"/>
      <c r="S44" s="53"/>
      <c r="T44" s="51"/>
      <c r="U44" s="84">
        <f t="shared" ref="U44:AJ44" si="84">SUM(U42:U43)</f>
        <v>210</v>
      </c>
      <c r="V44" s="84">
        <f t="shared" si="84"/>
        <v>8</v>
      </c>
      <c r="W44" s="84">
        <f t="shared" si="84"/>
        <v>30</v>
      </c>
      <c r="X44" s="84">
        <f t="shared" si="84"/>
        <v>50</v>
      </c>
      <c r="Y44" s="84">
        <f t="shared" si="84"/>
        <v>45</v>
      </c>
      <c r="Z44" s="84">
        <f t="shared" si="84"/>
        <v>40</v>
      </c>
      <c r="AA44" s="99">
        <f t="shared" si="0"/>
        <v>173</v>
      </c>
      <c r="AB44" s="84">
        <f t="shared" si="84"/>
        <v>0</v>
      </c>
      <c r="AC44" s="84">
        <f t="shared" si="84"/>
        <v>2</v>
      </c>
      <c r="AD44" s="84">
        <f t="shared" si="84"/>
        <v>0</v>
      </c>
      <c r="AE44" s="84">
        <f t="shared" si="84"/>
        <v>0</v>
      </c>
      <c r="AF44" s="84">
        <f t="shared" si="84"/>
        <v>0</v>
      </c>
      <c r="AG44" s="84">
        <f t="shared" si="84"/>
        <v>0</v>
      </c>
      <c r="AH44" s="84">
        <f t="shared" si="84"/>
        <v>0</v>
      </c>
      <c r="AI44" s="84">
        <f t="shared" si="1"/>
        <v>0</v>
      </c>
      <c r="AJ44" s="84">
        <f t="shared" si="84"/>
        <v>0</v>
      </c>
      <c r="AK44" s="83"/>
      <c r="AL44" s="85"/>
      <c r="AM44" s="83"/>
      <c r="AN44" s="96"/>
      <c r="AO44" s="96"/>
      <c r="AP44" s="51"/>
      <c r="AQ44" s="83">
        <f>SUM(AQ42:AQ43)</f>
        <v>2</v>
      </c>
      <c r="AR44" s="83">
        <f t="shared" ref="AR44:AT44" si="85">SUM(AR42:AR43)</f>
        <v>0</v>
      </c>
      <c r="AS44" s="83">
        <f t="shared" si="85"/>
        <v>2</v>
      </c>
      <c r="AT44" s="83">
        <f t="shared" si="85"/>
        <v>0</v>
      </c>
      <c r="AU44" s="87"/>
      <c r="AV44" s="83"/>
      <c r="AW44" s="51"/>
      <c r="AX44" s="51" t="s">
        <v>108</v>
      </c>
      <c r="AY44" s="95"/>
      <c r="AZ44" s="95"/>
      <c r="BA44" s="95"/>
      <c r="BB44" s="95"/>
      <c r="BC44" s="95"/>
      <c r="BD44" s="95"/>
      <c r="BE44" s="95"/>
      <c r="BF44" s="95"/>
      <c r="BG44" s="95"/>
      <c r="BH44" s="95"/>
      <c r="BI44" s="95"/>
      <c r="BJ44" s="95"/>
      <c r="BK44" s="95"/>
      <c r="BL44" s="95"/>
      <c r="BM44" s="95"/>
      <c r="BN44" s="95"/>
      <c r="BO44" s="95"/>
      <c r="BP44" s="95"/>
      <c r="BQ44" s="95"/>
      <c r="BR44" s="95"/>
      <c r="BS44" s="95"/>
      <c r="BT44" s="95"/>
      <c r="BU44" s="95"/>
      <c r="BV44" s="95"/>
      <c r="BW44" s="95"/>
      <c r="BX44" s="95"/>
      <c r="BY44" s="95"/>
      <c r="BZ44" s="95"/>
      <c r="CA44" s="95"/>
      <c r="CB44" s="95"/>
      <c r="CC44" s="95"/>
      <c r="CD44" s="95"/>
      <c r="CE44" s="95"/>
      <c r="CF44" s="95"/>
      <c r="CG44" s="95"/>
      <c r="CH44" s="95"/>
      <c r="CI44" s="95"/>
      <c r="CJ44" s="95"/>
      <c r="CK44" s="95"/>
      <c r="CL44" s="95"/>
      <c r="CM44" s="95"/>
      <c r="CN44" s="95"/>
      <c r="CO44" s="95"/>
      <c r="CP44" s="95"/>
      <c r="CQ44" s="95"/>
      <c r="CR44" s="95"/>
      <c r="CS44" s="95"/>
      <c r="CT44" s="95"/>
      <c r="CU44" s="95"/>
      <c r="CV44" s="95"/>
      <c r="CW44" s="95"/>
      <c r="CX44" s="95"/>
      <c r="CY44" s="95"/>
      <c r="CZ44" s="95"/>
      <c r="DA44" s="95"/>
      <c r="DB44" s="95"/>
      <c r="DC44" s="95"/>
      <c r="DD44" s="95"/>
      <c r="DE44" s="95"/>
      <c r="DF44" s="95"/>
      <c r="DG44" s="95"/>
      <c r="DH44" s="95"/>
      <c r="DI44" s="95"/>
      <c r="DJ44" s="95"/>
      <c r="DK44" s="95"/>
      <c r="DL44" s="95"/>
      <c r="DM44" s="95"/>
      <c r="DN44" s="95"/>
      <c r="DO44" s="95"/>
      <c r="DP44" s="95"/>
      <c r="DQ44" s="95"/>
      <c r="DR44" s="95"/>
      <c r="DS44" s="95"/>
      <c r="DT44" s="95"/>
      <c r="DU44" s="95"/>
      <c r="DV44" s="95"/>
      <c r="DW44" s="95"/>
      <c r="DX44" s="95"/>
      <c r="DY44" s="95"/>
      <c r="DZ44" s="95"/>
      <c r="EA44" s="95"/>
      <c r="EB44" s="95"/>
      <c r="EC44" s="95"/>
      <c r="ED44" s="95"/>
      <c r="EE44" s="95"/>
      <c r="EF44" s="95"/>
      <c r="EG44" s="95"/>
      <c r="EH44" s="95"/>
      <c r="EI44" s="95"/>
      <c r="EJ44" s="95"/>
      <c r="EK44" s="95"/>
      <c r="EL44" s="95"/>
      <c r="EM44" s="95"/>
      <c r="EN44" s="95"/>
      <c r="EO44" s="95"/>
      <c r="EP44" s="95"/>
      <c r="EQ44" s="95"/>
      <c r="ER44" s="95"/>
      <c r="ES44" s="95"/>
      <c r="ET44" s="95"/>
      <c r="EU44" s="95"/>
      <c r="EV44" s="95"/>
      <c r="EW44" s="95"/>
      <c r="EX44" s="95"/>
      <c r="EY44" s="95"/>
      <c r="EZ44" s="95"/>
      <c r="FA44" s="95"/>
      <c r="FB44" s="95"/>
      <c r="FC44" s="95"/>
      <c r="FD44" s="95"/>
      <c r="FE44" s="95"/>
      <c r="FF44" s="95"/>
      <c r="FG44" s="95"/>
      <c r="FH44" s="95"/>
      <c r="FI44" s="95"/>
      <c r="FJ44" s="95"/>
      <c r="FK44" s="95"/>
      <c r="FL44" s="95"/>
      <c r="FM44" s="95"/>
      <c r="FN44" s="95"/>
      <c r="FO44" s="95"/>
      <c r="FP44" s="95"/>
      <c r="FQ44" s="95"/>
      <c r="FR44" s="95"/>
      <c r="FS44" s="95"/>
      <c r="FT44" s="95"/>
      <c r="FU44" s="95"/>
      <c r="FV44" s="95"/>
      <c r="FW44" s="95"/>
      <c r="FX44" s="95"/>
      <c r="FY44" s="95"/>
      <c r="FZ44" s="95"/>
      <c r="GA44" s="95"/>
      <c r="GB44" s="95"/>
      <c r="GC44" s="95"/>
      <c r="GD44" s="95"/>
      <c r="GE44" s="95"/>
      <c r="GF44" s="95"/>
      <c r="GG44" s="95"/>
      <c r="GH44" s="95"/>
      <c r="GI44" s="95"/>
      <c r="GJ44" s="95"/>
      <c r="GK44" s="95"/>
      <c r="GL44" s="95"/>
      <c r="GM44" s="95"/>
      <c r="GN44" s="95"/>
      <c r="GO44" s="95"/>
      <c r="GP44" s="95"/>
      <c r="GQ44" s="95"/>
      <c r="GR44" s="95"/>
      <c r="GS44" s="95"/>
      <c r="GT44" s="95"/>
      <c r="GU44" s="95"/>
      <c r="GV44" s="95"/>
      <c r="GW44" s="95"/>
      <c r="GX44" s="95"/>
      <c r="GY44" s="95"/>
      <c r="GZ44" s="95"/>
      <c r="HA44" s="95"/>
      <c r="HB44" s="95"/>
      <c r="HC44" s="95"/>
      <c r="HD44" s="95"/>
      <c r="HE44" s="95"/>
      <c r="HF44" s="95"/>
      <c r="HG44" s="95"/>
      <c r="HH44" s="95"/>
      <c r="HI44" s="95"/>
      <c r="HJ44" s="95"/>
      <c r="HK44" s="95"/>
      <c r="HL44" s="95"/>
      <c r="HM44" s="95"/>
      <c r="HN44" s="95"/>
      <c r="HO44" s="95"/>
      <c r="HP44" s="95"/>
      <c r="HQ44" s="95"/>
      <c r="HR44" s="95"/>
      <c r="HS44" s="95"/>
      <c r="HT44" s="95"/>
      <c r="HU44" s="95"/>
      <c r="HV44" s="95"/>
      <c r="HW44" s="95"/>
      <c r="HX44" s="95"/>
      <c r="HY44" s="95"/>
      <c r="HZ44" s="95"/>
      <c r="IA44" s="95"/>
      <c r="IB44" s="95"/>
      <c r="IC44" s="95"/>
      <c r="ID44" s="95"/>
      <c r="IE44" s="95"/>
      <c r="IF44" s="95"/>
      <c r="IG44" s="95"/>
      <c r="IH44" s="95"/>
      <c r="II44" s="95"/>
      <c r="IJ44" s="95"/>
      <c r="IK44" s="95"/>
      <c r="IL44" s="95"/>
      <c r="IM44" s="95"/>
      <c r="IN44" s="95"/>
      <c r="IO44" s="95"/>
      <c r="IP44" s="95"/>
      <c r="IQ44" s="95"/>
      <c r="IR44" s="95"/>
      <c r="IS44" s="95"/>
      <c r="IT44" s="95"/>
      <c r="IU44" s="95"/>
      <c r="IV44" s="95"/>
      <c r="IW44" s="95"/>
      <c r="IX44" s="95"/>
      <c r="IY44" s="95"/>
      <c r="IZ44" s="95"/>
      <c r="JA44" s="95"/>
      <c r="JB44" s="95"/>
      <c r="JC44" s="95"/>
      <c r="JD44" s="95"/>
      <c r="JE44" s="95"/>
      <c r="JF44" s="95"/>
      <c r="JG44" s="95"/>
      <c r="JH44" s="95"/>
      <c r="JI44" s="95"/>
      <c r="JJ44" s="95"/>
      <c r="JK44" s="95"/>
      <c r="JL44" s="95"/>
      <c r="JM44" s="95"/>
      <c r="JN44" s="95"/>
      <c r="JO44" s="95"/>
      <c r="JP44" s="95"/>
      <c r="JQ44" s="95"/>
      <c r="JR44" s="95"/>
      <c r="JS44" s="95"/>
      <c r="JT44" s="95"/>
      <c r="JU44" s="95"/>
      <c r="JV44" s="95"/>
      <c r="JW44" s="95"/>
      <c r="JX44" s="95"/>
      <c r="JY44" s="95"/>
      <c r="JZ44" s="95"/>
    </row>
    <row r="45" spans="1:286" s="95" customFormat="1" ht="82.5" customHeight="1" x14ac:dyDescent="0.25">
      <c r="A45" s="88"/>
      <c r="B45" s="30" t="s">
        <v>45</v>
      </c>
      <c r="C45" s="31" t="s">
        <v>119</v>
      </c>
      <c r="D45" s="32" t="s">
        <v>106</v>
      </c>
      <c r="E45" s="32" t="s">
        <v>48</v>
      </c>
      <c r="F45" s="65" t="s">
        <v>49</v>
      </c>
      <c r="G45" s="33" t="s">
        <v>50</v>
      </c>
      <c r="H45" s="65">
        <v>100</v>
      </c>
      <c r="I45" s="89">
        <v>5</v>
      </c>
      <c r="J45" s="90">
        <v>15</v>
      </c>
      <c r="K45" s="91">
        <v>30</v>
      </c>
      <c r="L45" s="92">
        <v>10</v>
      </c>
      <c r="M45" s="81">
        <v>30</v>
      </c>
      <c r="N45" s="70">
        <f t="shared" si="11"/>
        <v>90</v>
      </c>
      <c r="O45" s="71">
        <v>0</v>
      </c>
      <c r="P45" s="71"/>
      <c r="Q45" s="93"/>
      <c r="R45" s="33" t="s">
        <v>51</v>
      </c>
      <c r="S45" s="36" t="s">
        <v>120</v>
      </c>
      <c r="T45" s="33" t="s">
        <v>77</v>
      </c>
      <c r="U45" s="65">
        <v>200</v>
      </c>
      <c r="V45" s="197">
        <v>8</v>
      </c>
      <c r="W45" s="90">
        <v>30</v>
      </c>
      <c r="X45" s="91">
        <v>50</v>
      </c>
      <c r="Y45" s="92">
        <v>40</v>
      </c>
      <c r="Z45" s="81">
        <v>35</v>
      </c>
      <c r="AA45" s="70">
        <f t="shared" si="0"/>
        <v>163</v>
      </c>
      <c r="AB45" s="35">
        <v>0</v>
      </c>
      <c r="AC45" s="65">
        <v>1</v>
      </c>
      <c r="AD45" s="197">
        <v>0</v>
      </c>
      <c r="AE45" s="90">
        <v>0</v>
      </c>
      <c r="AF45" s="91">
        <v>0</v>
      </c>
      <c r="AG45" s="92">
        <v>0</v>
      </c>
      <c r="AH45" s="81">
        <v>0</v>
      </c>
      <c r="AI45" s="70">
        <f t="shared" si="1"/>
        <v>0</v>
      </c>
      <c r="AJ45" s="71">
        <v>0</v>
      </c>
      <c r="AK45" s="65"/>
      <c r="AL45" s="33"/>
      <c r="AM45" s="72"/>
      <c r="AN45" s="93"/>
      <c r="AO45" s="94"/>
      <c r="AP45" s="33" t="s">
        <v>58</v>
      </c>
      <c r="AQ45" s="65">
        <v>1</v>
      </c>
      <c r="AR45" s="73">
        <v>0</v>
      </c>
      <c r="AS45" s="74">
        <v>1</v>
      </c>
      <c r="AT45" s="75">
        <v>0</v>
      </c>
      <c r="AU45" s="76"/>
      <c r="AV45" s="65"/>
      <c r="AW45" s="33"/>
      <c r="AX45" s="32" t="s">
        <v>108</v>
      </c>
    </row>
    <row r="46" spans="1:286" s="97" customFormat="1" ht="82.5" customHeight="1" x14ac:dyDescent="0.25">
      <c r="A46" s="88"/>
      <c r="B46" s="30" t="s">
        <v>45</v>
      </c>
      <c r="C46" s="31" t="s">
        <v>119</v>
      </c>
      <c r="D46" s="32" t="s">
        <v>106</v>
      </c>
      <c r="E46" s="32" t="s">
        <v>48</v>
      </c>
      <c r="F46" s="51" t="s">
        <v>61</v>
      </c>
      <c r="G46" s="83"/>
      <c r="H46" s="84">
        <f>SUM(H45)</f>
        <v>100</v>
      </c>
      <c r="I46" s="84">
        <f t="shared" ref="I46" si="86">SUM(I45)</f>
        <v>5</v>
      </c>
      <c r="J46" s="84">
        <f t="shared" ref="J46:M46" si="87">SUM(J45)</f>
        <v>15</v>
      </c>
      <c r="K46" s="84">
        <f t="shared" si="87"/>
        <v>30</v>
      </c>
      <c r="L46" s="84">
        <f t="shared" si="87"/>
        <v>10</v>
      </c>
      <c r="M46" s="84">
        <f t="shared" si="87"/>
        <v>30</v>
      </c>
      <c r="N46" s="84">
        <f t="shared" si="11"/>
        <v>90</v>
      </c>
      <c r="O46" s="84">
        <f t="shared" ref="O46:P46" si="88">SUM(O45)</f>
        <v>0</v>
      </c>
      <c r="P46" s="84">
        <f t="shared" si="88"/>
        <v>0</v>
      </c>
      <c r="Q46" s="96"/>
      <c r="R46" s="85"/>
      <c r="S46" s="53"/>
      <c r="T46" s="51"/>
      <c r="U46" s="84">
        <f t="shared" ref="U46:AJ46" si="89">SUM(U45)</f>
        <v>200</v>
      </c>
      <c r="V46" s="84">
        <f t="shared" si="89"/>
        <v>8</v>
      </c>
      <c r="W46" s="84">
        <f t="shared" si="89"/>
        <v>30</v>
      </c>
      <c r="X46" s="84">
        <f t="shared" si="89"/>
        <v>50</v>
      </c>
      <c r="Y46" s="84">
        <f t="shared" si="89"/>
        <v>40</v>
      </c>
      <c r="Z46" s="84">
        <f t="shared" si="89"/>
        <v>35</v>
      </c>
      <c r="AA46" s="99">
        <f t="shared" si="0"/>
        <v>163</v>
      </c>
      <c r="AB46" s="84">
        <f t="shared" si="89"/>
        <v>0</v>
      </c>
      <c r="AC46" s="84">
        <f t="shared" si="89"/>
        <v>1</v>
      </c>
      <c r="AD46" s="84">
        <f t="shared" si="89"/>
        <v>0</v>
      </c>
      <c r="AE46" s="84">
        <f t="shared" si="89"/>
        <v>0</v>
      </c>
      <c r="AF46" s="84">
        <f t="shared" si="89"/>
        <v>0</v>
      </c>
      <c r="AG46" s="84">
        <f t="shared" si="89"/>
        <v>0</v>
      </c>
      <c r="AH46" s="84">
        <f t="shared" si="89"/>
        <v>0</v>
      </c>
      <c r="AI46" s="84">
        <f t="shared" si="1"/>
        <v>0</v>
      </c>
      <c r="AJ46" s="84">
        <f t="shared" si="89"/>
        <v>0</v>
      </c>
      <c r="AK46" s="83"/>
      <c r="AL46" s="85"/>
      <c r="AM46" s="83"/>
      <c r="AN46" s="96"/>
      <c r="AO46" s="96"/>
      <c r="AP46" s="51"/>
      <c r="AQ46" s="83">
        <f t="shared" ref="AQ46:AT46" si="90">SUM(AQ45)</f>
        <v>1</v>
      </c>
      <c r="AR46" s="83">
        <f t="shared" si="90"/>
        <v>0</v>
      </c>
      <c r="AS46" s="83">
        <f t="shared" si="90"/>
        <v>1</v>
      </c>
      <c r="AT46" s="83">
        <f t="shared" si="90"/>
        <v>0</v>
      </c>
      <c r="AU46" s="87"/>
      <c r="AV46" s="83"/>
      <c r="AW46" s="51"/>
      <c r="AX46" s="51" t="s">
        <v>108</v>
      </c>
      <c r="AY46" s="95"/>
      <c r="AZ46" s="95"/>
      <c r="BA46" s="95"/>
      <c r="BB46" s="95"/>
      <c r="BC46" s="95"/>
      <c r="BD46" s="95"/>
      <c r="BE46" s="95"/>
      <c r="BF46" s="95"/>
      <c r="BG46" s="95"/>
      <c r="BH46" s="95"/>
      <c r="BI46" s="95"/>
      <c r="BJ46" s="95"/>
      <c r="BK46" s="95"/>
      <c r="BL46" s="95"/>
      <c r="BM46" s="95"/>
      <c r="BN46" s="95"/>
      <c r="BO46" s="95"/>
      <c r="BP46" s="95"/>
      <c r="BQ46" s="95"/>
      <c r="BR46" s="95"/>
      <c r="BS46" s="95"/>
      <c r="BT46" s="95"/>
      <c r="BU46" s="95"/>
      <c r="BV46" s="95"/>
      <c r="BW46" s="95"/>
      <c r="BX46" s="95"/>
      <c r="BY46" s="95"/>
      <c r="BZ46" s="95"/>
      <c r="CA46" s="95"/>
      <c r="CB46" s="95"/>
      <c r="CC46" s="95"/>
      <c r="CD46" s="95"/>
      <c r="CE46" s="95"/>
      <c r="CF46" s="95"/>
      <c r="CG46" s="95"/>
      <c r="CH46" s="95"/>
      <c r="CI46" s="95"/>
      <c r="CJ46" s="95"/>
      <c r="CK46" s="95"/>
      <c r="CL46" s="95"/>
      <c r="CM46" s="95"/>
      <c r="CN46" s="95"/>
      <c r="CO46" s="95"/>
      <c r="CP46" s="95"/>
      <c r="CQ46" s="95"/>
      <c r="CR46" s="95"/>
      <c r="CS46" s="95"/>
      <c r="CT46" s="95"/>
      <c r="CU46" s="95"/>
      <c r="CV46" s="95"/>
      <c r="CW46" s="95"/>
      <c r="CX46" s="95"/>
      <c r="CY46" s="95"/>
      <c r="CZ46" s="95"/>
      <c r="DA46" s="95"/>
      <c r="DB46" s="95"/>
      <c r="DC46" s="95"/>
      <c r="DD46" s="95"/>
      <c r="DE46" s="95"/>
      <c r="DF46" s="95"/>
      <c r="DG46" s="95"/>
      <c r="DH46" s="95"/>
      <c r="DI46" s="95"/>
      <c r="DJ46" s="95"/>
      <c r="DK46" s="95"/>
      <c r="DL46" s="95"/>
      <c r="DM46" s="95"/>
      <c r="DN46" s="95"/>
      <c r="DO46" s="95"/>
      <c r="DP46" s="95"/>
      <c r="DQ46" s="95"/>
      <c r="DR46" s="95"/>
      <c r="DS46" s="95"/>
      <c r="DT46" s="95"/>
      <c r="DU46" s="95"/>
      <c r="DV46" s="95"/>
      <c r="DW46" s="95"/>
      <c r="DX46" s="95"/>
      <c r="DY46" s="95"/>
      <c r="DZ46" s="95"/>
      <c r="EA46" s="95"/>
      <c r="EB46" s="95"/>
      <c r="EC46" s="95"/>
      <c r="ED46" s="95"/>
      <c r="EE46" s="95"/>
      <c r="EF46" s="95"/>
      <c r="EG46" s="95"/>
      <c r="EH46" s="95"/>
      <c r="EI46" s="95"/>
      <c r="EJ46" s="95"/>
      <c r="EK46" s="95"/>
      <c r="EL46" s="95"/>
      <c r="EM46" s="95"/>
      <c r="EN46" s="95"/>
      <c r="EO46" s="95"/>
      <c r="EP46" s="95"/>
      <c r="EQ46" s="95"/>
      <c r="ER46" s="95"/>
      <c r="ES46" s="95"/>
      <c r="ET46" s="95"/>
      <c r="EU46" s="95"/>
      <c r="EV46" s="95"/>
      <c r="EW46" s="95"/>
      <c r="EX46" s="95"/>
      <c r="EY46" s="95"/>
      <c r="EZ46" s="95"/>
      <c r="FA46" s="95"/>
      <c r="FB46" s="95"/>
      <c r="FC46" s="95"/>
      <c r="FD46" s="95"/>
      <c r="FE46" s="95"/>
      <c r="FF46" s="95"/>
      <c r="FG46" s="95"/>
      <c r="FH46" s="95"/>
      <c r="FI46" s="95"/>
      <c r="FJ46" s="95"/>
      <c r="FK46" s="95"/>
      <c r="FL46" s="95"/>
      <c r="FM46" s="95"/>
      <c r="FN46" s="95"/>
      <c r="FO46" s="95"/>
      <c r="FP46" s="95"/>
      <c r="FQ46" s="95"/>
      <c r="FR46" s="95"/>
      <c r="FS46" s="95"/>
      <c r="FT46" s="95"/>
      <c r="FU46" s="95"/>
      <c r="FV46" s="95"/>
      <c r="FW46" s="95"/>
      <c r="FX46" s="95"/>
      <c r="FY46" s="95"/>
      <c r="FZ46" s="95"/>
      <c r="GA46" s="95"/>
      <c r="GB46" s="95"/>
      <c r="GC46" s="95"/>
      <c r="GD46" s="95"/>
      <c r="GE46" s="95"/>
      <c r="GF46" s="95"/>
      <c r="GG46" s="95"/>
      <c r="GH46" s="95"/>
      <c r="GI46" s="95"/>
      <c r="GJ46" s="95"/>
      <c r="GK46" s="95"/>
      <c r="GL46" s="95"/>
      <c r="GM46" s="95"/>
      <c r="GN46" s="95"/>
      <c r="GO46" s="95"/>
      <c r="GP46" s="95"/>
      <c r="GQ46" s="95"/>
      <c r="GR46" s="95"/>
      <c r="GS46" s="95"/>
      <c r="GT46" s="95"/>
      <c r="GU46" s="95"/>
      <c r="GV46" s="95"/>
      <c r="GW46" s="95"/>
      <c r="GX46" s="95"/>
      <c r="GY46" s="95"/>
      <c r="GZ46" s="95"/>
      <c r="HA46" s="95"/>
      <c r="HB46" s="95"/>
      <c r="HC46" s="95"/>
      <c r="HD46" s="95"/>
      <c r="HE46" s="95"/>
      <c r="HF46" s="95"/>
      <c r="HG46" s="95"/>
      <c r="HH46" s="95"/>
      <c r="HI46" s="95"/>
      <c r="HJ46" s="95"/>
      <c r="HK46" s="95"/>
      <c r="HL46" s="95"/>
      <c r="HM46" s="95"/>
      <c r="HN46" s="95"/>
      <c r="HO46" s="95"/>
      <c r="HP46" s="95"/>
      <c r="HQ46" s="95"/>
      <c r="HR46" s="95"/>
      <c r="HS46" s="95"/>
      <c r="HT46" s="95"/>
      <c r="HU46" s="95"/>
      <c r="HV46" s="95"/>
      <c r="HW46" s="95"/>
      <c r="HX46" s="95"/>
      <c r="HY46" s="95"/>
      <c r="HZ46" s="95"/>
      <c r="IA46" s="95"/>
      <c r="IB46" s="95"/>
      <c r="IC46" s="95"/>
      <c r="ID46" s="95"/>
      <c r="IE46" s="95"/>
      <c r="IF46" s="95"/>
      <c r="IG46" s="95"/>
      <c r="IH46" s="95"/>
      <c r="II46" s="95"/>
      <c r="IJ46" s="95"/>
      <c r="IK46" s="95"/>
      <c r="IL46" s="95"/>
      <c r="IM46" s="95"/>
      <c r="IN46" s="95"/>
      <c r="IO46" s="95"/>
      <c r="IP46" s="95"/>
      <c r="IQ46" s="95"/>
      <c r="IR46" s="95"/>
      <c r="IS46" s="95"/>
      <c r="IT46" s="95"/>
      <c r="IU46" s="95"/>
      <c r="IV46" s="95"/>
      <c r="IW46" s="95"/>
      <c r="IX46" s="95"/>
      <c r="IY46" s="95"/>
      <c r="IZ46" s="95"/>
      <c r="JA46" s="95"/>
      <c r="JB46" s="95"/>
      <c r="JC46" s="95"/>
      <c r="JD46" s="95"/>
      <c r="JE46" s="95"/>
      <c r="JF46" s="95"/>
      <c r="JG46" s="95"/>
      <c r="JH46" s="95"/>
      <c r="JI46" s="95"/>
      <c r="JJ46" s="95"/>
      <c r="JK46" s="95"/>
      <c r="JL46" s="95"/>
      <c r="JM46" s="95"/>
      <c r="JN46" s="95"/>
      <c r="JO46" s="95"/>
      <c r="JP46" s="95"/>
      <c r="JQ46" s="95"/>
      <c r="JR46" s="95"/>
      <c r="JS46" s="95"/>
      <c r="JT46" s="95"/>
      <c r="JU46" s="95"/>
      <c r="JV46" s="95"/>
      <c r="JW46" s="95"/>
      <c r="JX46" s="95"/>
      <c r="JY46" s="95"/>
      <c r="JZ46" s="95"/>
    </row>
    <row r="47" spans="1:286" s="101" customFormat="1" ht="82.5" customHeight="1" x14ac:dyDescent="0.25">
      <c r="A47" s="88"/>
      <c r="B47" s="30" t="s">
        <v>45</v>
      </c>
      <c r="C47" s="31" t="s">
        <v>121</v>
      </c>
      <c r="D47" s="32" t="s">
        <v>106</v>
      </c>
      <c r="E47" s="32" t="s">
        <v>48</v>
      </c>
      <c r="F47" s="65" t="s">
        <v>49</v>
      </c>
      <c r="G47" s="33" t="s">
        <v>50</v>
      </c>
      <c r="H47" s="65">
        <v>70</v>
      </c>
      <c r="I47" s="89">
        <v>5</v>
      </c>
      <c r="J47" s="90">
        <v>8</v>
      </c>
      <c r="K47" s="91">
        <v>5</v>
      </c>
      <c r="L47" s="92">
        <v>17</v>
      </c>
      <c r="M47" s="81">
        <v>35</v>
      </c>
      <c r="N47" s="70">
        <f t="shared" si="11"/>
        <v>70</v>
      </c>
      <c r="O47" s="71">
        <v>0</v>
      </c>
      <c r="P47" s="71"/>
      <c r="Q47" s="93"/>
      <c r="R47" s="33" t="s">
        <v>51</v>
      </c>
      <c r="S47" s="36" t="s">
        <v>122</v>
      </c>
      <c r="T47" s="33" t="s">
        <v>77</v>
      </c>
      <c r="U47" s="65">
        <v>70</v>
      </c>
      <c r="V47" s="197">
        <v>5</v>
      </c>
      <c r="W47" s="90">
        <v>8</v>
      </c>
      <c r="X47" s="91">
        <v>5</v>
      </c>
      <c r="Y47" s="92">
        <v>20</v>
      </c>
      <c r="Z47" s="81">
        <v>35</v>
      </c>
      <c r="AA47" s="70">
        <f t="shared" si="0"/>
        <v>73</v>
      </c>
      <c r="AB47" s="35">
        <v>0</v>
      </c>
      <c r="AC47" s="65">
        <v>1</v>
      </c>
      <c r="AD47" s="197">
        <v>0</v>
      </c>
      <c r="AE47" s="90">
        <v>0</v>
      </c>
      <c r="AF47" s="91">
        <v>0</v>
      </c>
      <c r="AG47" s="92">
        <v>0</v>
      </c>
      <c r="AH47" s="100">
        <v>0</v>
      </c>
      <c r="AI47" s="70">
        <f t="shared" si="1"/>
        <v>0</v>
      </c>
      <c r="AJ47" s="71">
        <v>0</v>
      </c>
      <c r="AK47" s="65"/>
      <c r="AL47" s="33"/>
      <c r="AM47" s="72"/>
      <c r="AN47" s="93"/>
      <c r="AO47" s="94"/>
      <c r="AP47" s="33" t="s">
        <v>58</v>
      </c>
      <c r="AQ47" s="65">
        <v>1</v>
      </c>
      <c r="AR47" s="73">
        <v>0</v>
      </c>
      <c r="AS47" s="74">
        <v>1</v>
      </c>
      <c r="AT47" s="75">
        <v>0</v>
      </c>
      <c r="AU47" s="76"/>
      <c r="AV47" s="65"/>
      <c r="AW47" s="33"/>
      <c r="AX47" s="32" t="s">
        <v>108</v>
      </c>
    </row>
    <row r="48" spans="1:286" s="97" customFormat="1" ht="82.5" customHeight="1" x14ac:dyDescent="0.25">
      <c r="A48" s="88"/>
      <c r="B48" s="30" t="s">
        <v>45</v>
      </c>
      <c r="C48" s="31" t="s">
        <v>121</v>
      </c>
      <c r="D48" s="32" t="s">
        <v>106</v>
      </c>
      <c r="E48" s="32" t="s">
        <v>48</v>
      </c>
      <c r="F48" s="51" t="s">
        <v>61</v>
      </c>
      <c r="G48" s="83"/>
      <c r="H48" s="84">
        <f>SUM(H47)</f>
        <v>70</v>
      </c>
      <c r="I48" s="84">
        <f t="shared" ref="I48" si="91">SUM(I47)</f>
        <v>5</v>
      </c>
      <c r="J48" s="84">
        <f t="shared" ref="J48:M48" si="92">SUM(J47)</f>
        <v>8</v>
      </c>
      <c r="K48" s="84">
        <f t="shared" si="92"/>
        <v>5</v>
      </c>
      <c r="L48" s="84">
        <f t="shared" si="92"/>
        <v>17</v>
      </c>
      <c r="M48" s="84">
        <f t="shared" si="92"/>
        <v>35</v>
      </c>
      <c r="N48" s="84">
        <f t="shared" si="11"/>
        <v>70</v>
      </c>
      <c r="O48" s="84">
        <f t="shared" ref="O48:P48" si="93">SUM(O47)</f>
        <v>0</v>
      </c>
      <c r="P48" s="84">
        <f t="shared" si="93"/>
        <v>0</v>
      </c>
      <c r="Q48" s="96"/>
      <c r="R48" s="85"/>
      <c r="S48" s="53"/>
      <c r="T48" s="51"/>
      <c r="U48" s="84">
        <f t="shared" ref="U48:AJ48" si="94">SUM(U47)</f>
        <v>70</v>
      </c>
      <c r="V48" s="84">
        <f t="shared" si="94"/>
        <v>5</v>
      </c>
      <c r="W48" s="84">
        <f t="shared" si="94"/>
        <v>8</v>
      </c>
      <c r="X48" s="84">
        <f t="shared" si="94"/>
        <v>5</v>
      </c>
      <c r="Y48" s="84">
        <f t="shared" si="94"/>
        <v>20</v>
      </c>
      <c r="Z48" s="84">
        <f t="shared" si="94"/>
        <v>35</v>
      </c>
      <c r="AA48" s="84">
        <f t="shared" si="0"/>
        <v>73</v>
      </c>
      <c r="AB48" s="84">
        <f t="shared" si="94"/>
        <v>0</v>
      </c>
      <c r="AC48" s="84">
        <f t="shared" si="94"/>
        <v>1</v>
      </c>
      <c r="AD48" s="84">
        <f t="shared" si="94"/>
        <v>0</v>
      </c>
      <c r="AE48" s="84">
        <f t="shared" si="94"/>
        <v>0</v>
      </c>
      <c r="AF48" s="84">
        <f t="shared" si="94"/>
        <v>0</v>
      </c>
      <c r="AG48" s="84">
        <f t="shared" si="94"/>
        <v>0</v>
      </c>
      <c r="AH48" s="84">
        <f t="shared" si="94"/>
        <v>0</v>
      </c>
      <c r="AI48" s="84">
        <f t="shared" si="1"/>
        <v>0</v>
      </c>
      <c r="AJ48" s="84">
        <f t="shared" si="94"/>
        <v>0</v>
      </c>
      <c r="AK48" s="83"/>
      <c r="AL48" s="85"/>
      <c r="AM48" s="83"/>
      <c r="AN48" s="96"/>
      <c r="AO48" s="96"/>
      <c r="AP48" s="51"/>
      <c r="AQ48" s="83">
        <f>SUM(AQ47)</f>
        <v>1</v>
      </c>
      <c r="AR48" s="83">
        <f t="shared" ref="AR48:AT48" si="95">SUM(AR47)</f>
        <v>0</v>
      </c>
      <c r="AS48" s="83">
        <f t="shared" si="95"/>
        <v>1</v>
      </c>
      <c r="AT48" s="83">
        <f t="shared" si="95"/>
        <v>0</v>
      </c>
      <c r="AU48" s="87"/>
      <c r="AV48" s="83"/>
      <c r="AW48" s="51"/>
      <c r="AX48" s="51" t="s">
        <v>108</v>
      </c>
      <c r="AY48" s="95"/>
      <c r="AZ48" s="95"/>
      <c r="BA48" s="95"/>
      <c r="BB48" s="95"/>
      <c r="BC48" s="95"/>
      <c r="BD48" s="95"/>
      <c r="BE48" s="95"/>
      <c r="BF48" s="95"/>
      <c r="BG48" s="95"/>
      <c r="BH48" s="95"/>
      <c r="BI48" s="95"/>
      <c r="BJ48" s="95"/>
      <c r="BK48" s="95"/>
      <c r="BL48" s="95"/>
      <c r="BM48" s="95"/>
      <c r="BN48" s="95"/>
      <c r="BO48" s="95"/>
      <c r="BP48" s="95"/>
      <c r="BQ48" s="95"/>
      <c r="BR48" s="95"/>
      <c r="BS48" s="95"/>
      <c r="BT48" s="95"/>
      <c r="BU48" s="95"/>
      <c r="BV48" s="95"/>
      <c r="BW48" s="95"/>
      <c r="BX48" s="95"/>
      <c r="BY48" s="95"/>
      <c r="BZ48" s="95"/>
      <c r="CA48" s="95"/>
      <c r="CB48" s="95"/>
      <c r="CC48" s="95"/>
      <c r="CD48" s="95"/>
      <c r="CE48" s="95"/>
      <c r="CF48" s="95"/>
      <c r="CG48" s="95"/>
      <c r="CH48" s="95"/>
      <c r="CI48" s="95"/>
      <c r="CJ48" s="95"/>
      <c r="CK48" s="95"/>
      <c r="CL48" s="95"/>
      <c r="CM48" s="95"/>
      <c r="CN48" s="95"/>
      <c r="CO48" s="95"/>
      <c r="CP48" s="95"/>
      <c r="CQ48" s="95"/>
      <c r="CR48" s="95"/>
      <c r="CS48" s="95"/>
      <c r="CT48" s="95"/>
      <c r="CU48" s="95"/>
      <c r="CV48" s="95"/>
      <c r="CW48" s="95"/>
      <c r="CX48" s="95"/>
      <c r="CY48" s="95"/>
      <c r="CZ48" s="95"/>
      <c r="DA48" s="95"/>
      <c r="DB48" s="95"/>
      <c r="DC48" s="95"/>
      <c r="DD48" s="95"/>
      <c r="DE48" s="95"/>
      <c r="DF48" s="95"/>
      <c r="DG48" s="95"/>
      <c r="DH48" s="95"/>
      <c r="DI48" s="95"/>
      <c r="DJ48" s="95"/>
      <c r="DK48" s="95"/>
      <c r="DL48" s="95"/>
      <c r="DM48" s="95"/>
      <c r="DN48" s="95"/>
      <c r="DO48" s="95"/>
      <c r="DP48" s="95"/>
      <c r="DQ48" s="95"/>
      <c r="DR48" s="95"/>
      <c r="DS48" s="95"/>
      <c r="DT48" s="95"/>
      <c r="DU48" s="95"/>
      <c r="DV48" s="95"/>
      <c r="DW48" s="95"/>
      <c r="DX48" s="95"/>
      <c r="DY48" s="95"/>
      <c r="DZ48" s="95"/>
      <c r="EA48" s="95"/>
      <c r="EB48" s="95"/>
      <c r="EC48" s="95"/>
      <c r="ED48" s="95"/>
      <c r="EE48" s="95"/>
      <c r="EF48" s="95"/>
      <c r="EG48" s="95"/>
      <c r="EH48" s="95"/>
      <c r="EI48" s="95"/>
      <c r="EJ48" s="95"/>
      <c r="EK48" s="95"/>
      <c r="EL48" s="95"/>
      <c r="EM48" s="95"/>
      <c r="EN48" s="95"/>
      <c r="EO48" s="95"/>
      <c r="EP48" s="95"/>
      <c r="EQ48" s="95"/>
      <c r="ER48" s="95"/>
      <c r="ES48" s="95"/>
      <c r="ET48" s="95"/>
      <c r="EU48" s="95"/>
      <c r="EV48" s="95"/>
      <c r="EW48" s="95"/>
      <c r="EX48" s="95"/>
      <c r="EY48" s="95"/>
      <c r="EZ48" s="95"/>
      <c r="FA48" s="95"/>
      <c r="FB48" s="95"/>
      <c r="FC48" s="95"/>
      <c r="FD48" s="95"/>
      <c r="FE48" s="95"/>
      <c r="FF48" s="95"/>
      <c r="FG48" s="95"/>
      <c r="FH48" s="95"/>
      <c r="FI48" s="95"/>
      <c r="FJ48" s="95"/>
      <c r="FK48" s="95"/>
      <c r="FL48" s="95"/>
      <c r="FM48" s="95"/>
      <c r="FN48" s="95"/>
      <c r="FO48" s="95"/>
      <c r="FP48" s="95"/>
      <c r="FQ48" s="95"/>
      <c r="FR48" s="95"/>
      <c r="FS48" s="95"/>
      <c r="FT48" s="95"/>
      <c r="FU48" s="95"/>
      <c r="FV48" s="95"/>
      <c r="FW48" s="95"/>
      <c r="FX48" s="95"/>
      <c r="FY48" s="95"/>
      <c r="FZ48" s="95"/>
      <c r="GA48" s="95"/>
      <c r="GB48" s="95"/>
      <c r="GC48" s="95"/>
      <c r="GD48" s="95"/>
      <c r="GE48" s="95"/>
      <c r="GF48" s="95"/>
      <c r="GG48" s="95"/>
      <c r="GH48" s="95"/>
      <c r="GI48" s="95"/>
      <c r="GJ48" s="95"/>
      <c r="GK48" s="95"/>
      <c r="GL48" s="95"/>
      <c r="GM48" s="95"/>
      <c r="GN48" s="95"/>
      <c r="GO48" s="95"/>
      <c r="GP48" s="95"/>
      <c r="GQ48" s="95"/>
      <c r="GR48" s="95"/>
      <c r="GS48" s="95"/>
      <c r="GT48" s="95"/>
      <c r="GU48" s="95"/>
      <c r="GV48" s="95"/>
      <c r="GW48" s="95"/>
      <c r="GX48" s="95"/>
      <c r="GY48" s="95"/>
      <c r="GZ48" s="95"/>
      <c r="HA48" s="95"/>
      <c r="HB48" s="95"/>
      <c r="HC48" s="95"/>
      <c r="HD48" s="95"/>
      <c r="HE48" s="95"/>
      <c r="HF48" s="95"/>
      <c r="HG48" s="95"/>
      <c r="HH48" s="95"/>
      <c r="HI48" s="95"/>
      <c r="HJ48" s="95"/>
      <c r="HK48" s="95"/>
      <c r="HL48" s="95"/>
      <c r="HM48" s="95"/>
      <c r="HN48" s="95"/>
      <c r="HO48" s="95"/>
      <c r="HP48" s="95"/>
      <c r="HQ48" s="95"/>
      <c r="HR48" s="95"/>
      <c r="HS48" s="95"/>
      <c r="HT48" s="95"/>
      <c r="HU48" s="95"/>
      <c r="HV48" s="95"/>
      <c r="HW48" s="95"/>
      <c r="HX48" s="95"/>
      <c r="HY48" s="95"/>
      <c r="HZ48" s="95"/>
      <c r="IA48" s="95"/>
      <c r="IB48" s="95"/>
      <c r="IC48" s="95"/>
      <c r="ID48" s="95"/>
      <c r="IE48" s="95"/>
      <c r="IF48" s="95"/>
      <c r="IG48" s="95"/>
      <c r="IH48" s="95"/>
      <c r="II48" s="95"/>
      <c r="IJ48" s="95"/>
      <c r="IK48" s="95"/>
      <c r="IL48" s="95"/>
      <c r="IM48" s="95"/>
      <c r="IN48" s="95"/>
      <c r="IO48" s="95"/>
      <c r="IP48" s="95"/>
      <c r="IQ48" s="95"/>
      <c r="IR48" s="95"/>
      <c r="IS48" s="95"/>
      <c r="IT48" s="95"/>
      <c r="IU48" s="95"/>
      <c r="IV48" s="95"/>
      <c r="IW48" s="95"/>
      <c r="IX48" s="95"/>
      <c r="IY48" s="95"/>
      <c r="IZ48" s="95"/>
      <c r="JA48" s="95"/>
      <c r="JB48" s="95"/>
      <c r="JC48" s="95"/>
      <c r="JD48" s="95"/>
      <c r="JE48" s="95"/>
      <c r="JF48" s="95"/>
      <c r="JG48" s="95"/>
      <c r="JH48" s="95"/>
      <c r="JI48" s="95"/>
      <c r="JJ48" s="95"/>
      <c r="JK48" s="95"/>
      <c r="JL48" s="95"/>
      <c r="JM48" s="95"/>
      <c r="JN48" s="95"/>
      <c r="JO48" s="95"/>
      <c r="JP48" s="95"/>
      <c r="JQ48" s="95"/>
      <c r="JR48" s="95"/>
      <c r="JS48" s="95"/>
      <c r="JT48" s="95"/>
      <c r="JU48" s="95"/>
      <c r="JV48" s="95"/>
      <c r="JW48" s="95"/>
      <c r="JX48" s="95"/>
      <c r="JY48" s="95"/>
      <c r="JZ48" s="95"/>
    </row>
    <row r="49" spans="1:286" s="95" customFormat="1" ht="82.5" customHeight="1" x14ac:dyDescent="0.25">
      <c r="A49" s="88"/>
      <c r="B49" s="30" t="s">
        <v>45</v>
      </c>
      <c r="C49" s="31" t="s">
        <v>123</v>
      </c>
      <c r="D49" s="32" t="s">
        <v>106</v>
      </c>
      <c r="E49" s="32" t="s">
        <v>48</v>
      </c>
      <c r="F49" s="217" t="s">
        <v>49</v>
      </c>
      <c r="G49" s="65" t="s">
        <v>50</v>
      </c>
      <c r="H49" s="217">
        <v>80</v>
      </c>
      <c r="I49" s="236">
        <v>4</v>
      </c>
      <c r="J49" s="230">
        <v>15</v>
      </c>
      <c r="K49" s="224">
        <v>30</v>
      </c>
      <c r="L49" s="226">
        <v>5</v>
      </c>
      <c r="M49" s="232">
        <v>15</v>
      </c>
      <c r="N49" s="234">
        <f t="shared" si="11"/>
        <v>69</v>
      </c>
      <c r="O49" s="216">
        <v>0</v>
      </c>
      <c r="P49" s="71"/>
      <c r="Q49" s="217"/>
      <c r="R49" s="217" t="s">
        <v>51</v>
      </c>
      <c r="S49" s="235" t="s">
        <v>124</v>
      </c>
      <c r="T49" s="203" t="s">
        <v>125</v>
      </c>
      <c r="U49" s="217">
        <v>80</v>
      </c>
      <c r="V49" s="228">
        <v>5</v>
      </c>
      <c r="W49" s="230">
        <v>15</v>
      </c>
      <c r="X49" s="224">
        <v>30</v>
      </c>
      <c r="Y49" s="226">
        <v>15</v>
      </c>
      <c r="Z49" s="232">
        <v>15</v>
      </c>
      <c r="AA49" s="234">
        <f t="shared" si="0"/>
        <v>80</v>
      </c>
      <c r="AB49" s="216">
        <v>0</v>
      </c>
      <c r="AC49" s="217">
        <v>5</v>
      </c>
      <c r="AD49" s="238">
        <v>2</v>
      </c>
      <c r="AE49" s="230">
        <v>3</v>
      </c>
      <c r="AF49" s="224">
        <v>1</v>
      </c>
      <c r="AG49" s="226">
        <v>0</v>
      </c>
      <c r="AH49" s="232">
        <v>0</v>
      </c>
      <c r="AI49" s="234">
        <f t="shared" si="1"/>
        <v>6</v>
      </c>
      <c r="AJ49" s="242">
        <v>0</v>
      </c>
      <c r="AK49" s="217"/>
      <c r="AL49" s="217"/>
      <c r="AM49" s="243"/>
      <c r="AN49" s="217"/>
      <c r="AO49" s="72"/>
      <c r="AP49" s="33" t="s">
        <v>58</v>
      </c>
      <c r="AQ49" s="65">
        <v>5</v>
      </c>
      <c r="AR49" s="73">
        <v>0</v>
      </c>
      <c r="AS49" s="74">
        <v>0</v>
      </c>
      <c r="AT49" s="75">
        <v>5</v>
      </c>
      <c r="AU49" s="217"/>
      <c r="AV49" s="217"/>
      <c r="AW49" s="217"/>
      <c r="AX49" s="108" t="s">
        <v>126</v>
      </c>
    </row>
    <row r="50" spans="1:286" s="95" customFormat="1" ht="82.5" customHeight="1" x14ac:dyDescent="0.25">
      <c r="A50" s="88"/>
      <c r="B50" s="30" t="s">
        <v>45</v>
      </c>
      <c r="C50" s="31" t="s">
        <v>123</v>
      </c>
      <c r="D50" s="32" t="s">
        <v>106</v>
      </c>
      <c r="E50" s="32" t="s">
        <v>48</v>
      </c>
      <c r="F50" s="217"/>
      <c r="G50" s="65" t="s">
        <v>50</v>
      </c>
      <c r="H50" s="217"/>
      <c r="I50" s="237"/>
      <c r="J50" s="231"/>
      <c r="K50" s="225"/>
      <c r="L50" s="227"/>
      <c r="M50" s="233"/>
      <c r="N50" s="234">
        <f t="shared" si="11"/>
        <v>0</v>
      </c>
      <c r="O50" s="216"/>
      <c r="P50" s="71"/>
      <c r="Q50" s="217"/>
      <c r="R50" s="217"/>
      <c r="S50" s="235"/>
      <c r="T50" s="203"/>
      <c r="U50" s="217"/>
      <c r="V50" s="229"/>
      <c r="W50" s="231"/>
      <c r="X50" s="225"/>
      <c r="Y50" s="227"/>
      <c r="Z50" s="233"/>
      <c r="AA50" s="234">
        <f t="shared" si="0"/>
        <v>0</v>
      </c>
      <c r="AB50" s="216"/>
      <c r="AC50" s="217"/>
      <c r="AD50" s="239"/>
      <c r="AE50" s="231"/>
      <c r="AF50" s="225"/>
      <c r="AG50" s="227"/>
      <c r="AH50" s="233"/>
      <c r="AI50" s="234">
        <f t="shared" si="1"/>
        <v>0</v>
      </c>
      <c r="AJ50" s="242"/>
      <c r="AK50" s="217"/>
      <c r="AL50" s="217"/>
      <c r="AM50" s="243"/>
      <c r="AN50" s="217"/>
      <c r="AO50" s="72"/>
      <c r="AP50" s="33" t="s">
        <v>127</v>
      </c>
      <c r="AQ50" s="65">
        <v>1</v>
      </c>
      <c r="AR50" s="73">
        <v>0</v>
      </c>
      <c r="AS50" s="74">
        <v>0</v>
      </c>
      <c r="AT50" s="75">
        <v>1</v>
      </c>
      <c r="AU50" s="217"/>
      <c r="AV50" s="217"/>
      <c r="AW50" s="217"/>
      <c r="AX50" s="108" t="s">
        <v>126</v>
      </c>
    </row>
    <row r="51" spans="1:286" s="97" customFormat="1" ht="82.5" customHeight="1" x14ac:dyDescent="0.25">
      <c r="A51" s="88"/>
      <c r="B51" s="30" t="s">
        <v>45</v>
      </c>
      <c r="C51" s="31" t="s">
        <v>123</v>
      </c>
      <c r="D51" s="32" t="s">
        <v>106</v>
      </c>
      <c r="E51" s="32" t="s">
        <v>48</v>
      </c>
      <c r="F51" s="51" t="s">
        <v>61</v>
      </c>
      <c r="G51" s="83"/>
      <c r="H51" s="84">
        <f>SUM(H49)</f>
        <v>80</v>
      </c>
      <c r="I51" s="84">
        <f t="shared" ref="I51" si="96">SUM(I49)</f>
        <v>4</v>
      </c>
      <c r="J51" s="84">
        <f t="shared" ref="J51:M51" si="97">SUM(J49)</f>
        <v>15</v>
      </c>
      <c r="K51" s="84">
        <f t="shared" si="97"/>
        <v>30</v>
      </c>
      <c r="L51" s="84">
        <f t="shared" si="97"/>
        <v>5</v>
      </c>
      <c r="M51" s="84">
        <f t="shared" si="97"/>
        <v>15</v>
      </c>
      <c r="N51" s="84">
        <f t="shared" si="11"/>
        <v>69</v>
      </c>
      <c r="O51" s="84">
        <f t="shared" ref="O51:P51" si="98">SUM(O49)</f>
        <v>0</v>
      </c>
      <c r="P51" s="84">
        <f t="shared" si="98"/>
        <v>0</v>
      </c>
      <c r="Q51" s="96"/>
      <c r="R51" s="85"/>
      <c r="S51" s="53"/>
      <c r="T51" s="51"/>
      <c r="U51" s="84">
        <f t="shared" ref="U51:AJ51" si="99">SUM(U49)</f>
        <v>80</v>
      </c>
      <c r="V51" s="84">
        <f t="shared" si="99"/>
        <v>5</v>
      </c>
      <c r="W51" s="84">
        <f t="shared" si="99"/>
        <v>15</v>
      </c>
      <c r="X51" s="84">
        <f t="shared" si="99"/>
        <v>30</v>
      </c>
      <c r="Y51" s="84">
        <f t="shared" si="99"/>
        <v>15</v>
      </c>
      <c r="Z51" s="84">
        <f t="shared" si="99"/>
        <v>15</v>
      </c>
      <c r="AA51" s="84">
        <f t="shared" si="0"/>
        <v>80</v>
      </c>
      <c r="AB51" s="84">
        <f t="shared" si="99"/>
        <v>0</v>
      </c>
      <c r="AC51" s="84">
        <f t="shared" si="99"/>
        <v>5</v>
      </c>
      <c r="AD51" s="84">
        <f t="shared" si="99"/>
        <v>2</v>
      </c>
      <c r="AE51" s="84">
        <f t="shared" si="99"/>
        <v>3</v>
      </c>
      <c r="AF51" s="84">
        <f t="shared" si="99"/>
        <v>1</v>
      </c>
      <c r="AG51" s="84">
        <f t="shared" si="99"/>
        <v>0</v>
      </c>
      <c r="AH51" s="84">
        <f t="shared" si="99"/>
        <v>0</v>
      </c>
      <c r="AI51" s="84">
        <f t="shared" si="1"/>
        <v>6</v>
      </c>
      <c r="AJ51" s="84">
        <f t="shared" si="99"/>
        <v>0</v>
      </c>
      <c r="AK51" s="83"/>
      <c r="AL51" s="85"/>
      <c r="AM51" s="83"/>
      <c r="AN51" s="96"/>
      <c r="AO51" s="96"/>
      <c r="AP51" s="51"/>
      <c r="AQ51" s="83">
        <f>SUM(AQ49)</f>
        <v>5</v>
      </c>
      <c r="AR51" s="83">
        <f t="shared" ref="AR51:AT51" si="100">SUM(AR49)</f>
        <v>0</v>
      </c>
      <c r="AS51" s="83">
        <f t="shared" si="100"/>
        <v>0</v>
      </c>
      <c r="AT51" s="83">
        <f t="shared" si="100"/>
        <v>5</v>
      </c>
      <c r="AU51" s="87"/>
      <c r="AV51" s="83"/>
      <c r="AW51" s="51"/>
      <c r="AX51" s="51" t="s">
        <v>126</v>
      </c>
      <c r="AY51" s="95"/>
      <c r="AZ51" s="95"/>
      <c r="BA51" s="95"/>
      <c r="BB51" s="95"/>
      <c r="BC51" s="95"/>
      <c r="BD51" s="95"/>
      <c r="BE51" s="95"/>
      <c r="BF51" s="95"/>
      <c r="BG51" s="95"/>
      <c r="BH51" s="95"/>
      <c r="BI51" s="95"/>
      <c r="BJ51" s="95"/>
      <c r="BK51" s="95"/>
      <c r="BL51" s="95"/>
      <c r="BM51" s="95"/>
      <c r="BN51" s="95"/>
      <c r="BO51" s="95"/>
      <c r="BP51" s="95"/>
      <c r="BQ51" s="95"/>
      <c r="BR51" s="95"/>
      <c r="BS51" s="95"/>
      <c r="BT51" s="95"/>
      <c r="BU51" s="95"/>
      <c r="BV51" s="95"/>
      <c r="BW51" s="95"/>
      <c r="BX51" s="95"/>
      <c r="BY51" s="95"/>
      <c r="BZ51" s="95"/>
      <c r="CA51" s="95"/>
      <c r="CB51" s="95"/>
      <c r="CC51" s="95"/>
      <c r="CD51" s="95"/>
      <c r="CE51" s="95"/>
      <c r="CF51" s="95"/>
      <c r="CG51" s="95"/>
      <c r="CH51" s="95"/>
      <c r="CI51" s="95"/>
      <c r="CJ51" s="95"/>
      <c r="CK51" s="95"/>
      <c r="CL51" s="95"/>
      <c r="CM51" s="95"/>
      <c r="CN51" s="95"/>
      <c r="CO51" s="95"/>
      <c r="CP51" s="95"/>
      <c r="CQ51" s="95"/>
      <c r="CR51" s="95"/>
      <c r="CS51" s="95"/>
      <c r="CT51" s="95"/>
      <c r="CU51" s="95"/>
      <c r="CV51" s="95"/>
      <c r="CW51" s="95"/>
      <c r="CX51" s="95"/>
      <c r="CY51" s="95"/>
      <c r="CZ51" s="95"/>
      <c r="DA51" s="95"/>
      <c r="DB51" s="95"/>
      <c r="DC51" s="95"/>
      <c r="DD51" s="95"/>
      <c r="DE51" s="95"/>
      <c r="DF51" s="95"/>
      <c r="DG51" s="95"/>
      <c r="DH51" s="95"/>
      <c r="DI51" s="95"/>
      <c r="DJ51" s="95"/>
      <c r="DK51" s="95"/>
      <c r="DL51" s="95"/>
      <c r="DM51" s="95"/>
      <c r="DN51" s="95"/>
      <c r="DO51" s="95"/>
      <c r="DP51" s="95"/>
      <c r="DQ51" s="95"/>
      <c r="DR51" s="95"/>
      <c r="DS51" s="95"/>
      <c r="DT51" s="95"/>
      <c r="DU51" s="95"/>
      <c r="DV51" s="95"/>
      <c r="DW51" s="95"/>
      <c r="DX51" s="95"/>
      <c r="DY51" s="95"/>
      <c r="DZ51" s="95"/>
      <c r="EA51" s="95"/>
      <c r="EB51" s="95"/>
      <c r="EC51" s="95"/>
      <c r="ED51" s="95"/>
      <c r="EE51" s="95"/>
      <c r="EF51" s="95"/>
      <c r="EG51" s="95"/>
      <c r="EH51" s="95"/>
      <c r="EI51" s="95"/>
      <c r="EJ51" s="95"/>
      <c r="EK51" s="95"/>
      <c r="EL51" s="95"/>
      <c r="EM51" s="95"/>
      <c r="EN51" s="95"/>
      <c r="EO51" s="95"/>
      <c r="EP51" s="95"/>
      <c r="EQ51" s="95"/>
      <c r="ER51" s="95"/>
      <c r="ES51" s="95"/>
      <c r="ET51" s="95"/>
      <c r="EU51" s="95"/>
      <c r="EV51" s="95"/>
      <c r="EW51" s="95"/>
      <c r="EX51" s="95"/>
      <c r="EY51" s="95"/>
      <c r="EZ51" s="95"/>
      <c r="FA51" s="95"/>
      <c r="FB51" s="95"/>
      <c r="FC51" s="95"/>
      <c r="FD51" s="95"/>
      <c r="FE51" s="95"/>
      <c r="FF51" s="95"/>
      <c r="FG51" s="95"/>
      <c r="FH51" s="95"/>
      <c r="FI51" s="95"/>
      <c r="FJ51" s="95"/>
      <c r="FK51" s="95"/>
      <c r="FL51" s="95"/>
      <c r="FM51" s="95"/>
      <c r="FN51" s="95"/>
      <c r="FO51" s="95"/>
      <c r="FP51" s="95"/>
      <c r="FQ51" s="95"/>
      <c r="FR51" s="95"/>
      <c r="FS51" s="95"/>
      <c r="FT51" s="95"/>
      <c r="FU51" s="95"/>
      <c r="FV51" s="95"/>
      <c r="FW51" s="95"/>
      <c r="FX51" s="95"/>
      <c r="FY51" s="95"/>
      <c r="FZ51" s="95"/>
      <c r="GA51" s="95"/>
      <c r="GB51" s="95"/>
      <c r="GC51" s="95"/>
      <c r="GD51" s="95"/>
      <c r="GE51" s="95"/>
      <c r="GF51" s="95"/>
      <c r="GG51" s="95"/>
      <c r="GH51" s="95"/>
      <c r="GI51" s="95"/>
      <c r="GJ51" s="95"/>
      <c r="GK51" s="95"/>
      <c r="GL51" s="95"/>
      <c r="GM51" s="95"/>
      <c r="GN51" s="95"/>
      <c r="GO51" s="95"/>
      <c r="GP51" s="95"/>
      <c r="GQ51" s="95"/>
      <c r="GR51" s="95"/>
      <c r="GS51" s="95"/>
      <c r="GT51" s="95"/>
      <c r="GU51" s="95"/>
      <c r="GV51" s="95"/>
      <c r="GW51" s="95"/>
      <c r="GX51" s="95"/>
      <c r="GY51" s="95"/>
      <c r="GZ51" s="95"/>
      <c r="HA51" s="95"/>
      <c r="HB51" s="95"/>
      <c r="HC51" s="95"/>
      <c r="HD51" s="95"/>
      <c r="HE51" s="95"/>
      <c r="HF51" s="95"/>
      <c r="HG51" s="95"/>
      <c r="HH51" s="95"/>
      <c r="HI51" s="95"/>
      <c r="HJ51" s="95"/>
      <c r="HK51" s="95"/>
      <c r="HL51" s="95"/>
      <c r="HM51" s="95"/>
      <c r="HN51" s="95"/>
      <c r="HO51" s="95"/>
      <c r="HP51" s="95"/>
      <c r="HQ51" s="95"/>
      <c r="HR51" s="95"/>
      <c r="HS51" s="95"/>
      <c r="HT51" s="95"/>
      <c r="HU51" s="95"/>
      <c r="HV51" s="95"/>
      <c r="HW51" s="95"/>
      <c r="HX51" s="95"/>
      <c r="HY51" s="95"/>
      <c r="HZ51" s="95"/>
      <c r="IA51" s="95"/>
      <c r="IB51" s="95"/>
      <c r="IC51" s="95"/>
      <c r="ID51" s="95"/>
      <c r="IE51" s="95"/>
      <c r="IF51" s="95"/>
      <c r="IG51" s="95"/>
      <c r="IH51" s="95"/>
      <c r="II51" s="95"/>
      <c r="IJ51" s="95"/>
      <c r="IK51" s="95"/>
      <c r="IL51" s="95"/>
      <c r="IM51" s="95"/>
      <c r="IN51" s="95"/>
      <c r="IO51" s="95"/>
      <c r="IP51" s="95"/>
      <c r="IQ51" s="95"/>
      <c r="IR51" s="95"/>
      <c r="IS51" s="95"/>
      <c r="IT51" s="95"/>
      <c r="IU51" s="95"/>
      <c r="IV51" s="95"/>
      <c r="IW51" s="95"/>
      <c r="IX51" s="95"/>
      <c r="IY51" s="95"/>
      <c r="IZ51" s="95"/>
      <c r="JA51" s="95"/>
      <c r="JB51" s="95"/>
      <c r="JC51" s="95"/>
      <c r="JD51" s="95"/>
      <c r="JE51" s="95"/>
      <c r="JF51" s="95"/>
      <c r="JG51" s="95"/>
      <c r="JH51" s="95"/>
      <c r="JI51" s="95"/>
      <c r="JJ51" s="95"/>
      <c r="JK51" s="95"/>
      <c r="JL51" s="95"/>
      <c r="JM51" s="95"/>
      <c r="JN51" s="95"/>
      <c r="JO51" s="95"/>
      <c r="JP51" s="95"/>
      <c r="JQ51" s="95"/>
      <c r="JR51" s="95"/>
      <c r="JS51" s="95"/>
      <c r="JT51" s="95"/>
      <c r="JU51" s="95"/>
      <c r="JV51" s="95"/>
      <c r="JW51" s="95"/>
      <c r="JX51" s="95"/>
      <c r="JY51" s="95"/>
      <c r="JZ51" s="95"/>
    </row>
    <row r="52" spans="1:286" s="97" customFormat="1" ht="82.5" customHeight="1" x14ac:dyDescent="0.25">
      <c r="A52" s="297"/>
      <c r="B52" s="30" t="s">
        <v>45</v>
      </c>
      <c r="C52" s="31" t="s">
        <v>128</v>
      </c>
      <c r="D52" s="32" t="s">
        <v>89</v>
      </c>
      <c r="E52" s="32" t="s">
        <v>75</v>
      </c>
      <c r="F52" s="65" t="s">
        <v>49</v>
      </c>
      <c r="G52" s="65"/>
      <c r="H52" s="65">
        <v>5</v>
      </c>
      <c r="I52" s="102">
        <v>1</v>
      </c>
      <c r="J52" s="103">
        <v>0</v>
      </c>
      <c r="K52" s="104">
        <v>4</v>
      </c>
      <c r="L52" s="105">
        <v>0</v>
      </c>
      <c r="M52" s="106">
        <v>0</v>
      </c>
      <c r="N52" s="70">
        <f t="shared" si="11"/>
        <v>5</v>
      </c>
      <c r="O52" s="71"/>
      <c r="P52" s="71"/>
      <c r="Q52" s="93"/>
      <c r="R52" s="33" t="s">
        <v>51</v>
      </c>
      <c r="S52" s="36" t="s">
        <v>129</v>
      </c>
      <c r="T52" s="33" t="s">
        <v>77</v>
      </c>
      <c r="U52" s="65">
        <v>5</v>
      </c>
      <c r="V52" s="198">
        <v>1</v>
      </c>
      <c r="W52" s="103">
        <v>0</v>
      </c>
      <c r="X52" s="104">
        <v>4</v>
      </c>
      <c r="Y52" s="105">
        <v>0</v>
      </c>
      <c r="Z52" s="106">
        <v>0</v>
      </c>
      <c r="AA52" s="70">
        <f t="shared" si="0"/>
        <v>5</v>
      </c>
      <c r="AB52" s="35">
        <v>0</v>
      </c>
      <c r="AC52" s="65">
        <v>0</v>
      </c>
      <c r="AD52" s="198">
        <v>0</v>
      </c>
      <c r="AE52" s="103">
        <v>0</v>
      </c>
      <c r="AF52" s="104">
        <v>0</v>
      </c>
      <c r="AG52" s="105">
        <v>0</v>
      </c>
      <c r="AH52" s="106">
        <v>0</v>
      </c>
      <c r="AI52" s="70">
        <f t="shared" si="1"/>
        <v>0</v>
      </c>
      <c r="AJ52" s="71">
        <v>0</v>
      </c>
      <c r="AK52" s="65"/>
      <c r="AL52" s="65"/>
      <c r="AM52" s="46"/>
      <c r="AN52" s="65"/>
      <c r="AO52" s="72"/>
      <c r="AP52" s="33"/>
      <c r="AQ52" s="76"/>
      <c r="AR52" s="47"/>
      <c r="AS52" s="48"/>
      <c r="AT52" s="49"/>
      <c r="AU52" s="76"/>
      <c r="AV52" s="65"/>
      <c r="AW52" s="33"/>
      <c r="AX52" s="32" t="s">
        <v>87</v>
      </c>
      <c r="AY52" s="95"/>
      <c r="AZ52" s="95"/>
      <c r="BA52" s="95"/>
      <c r="BB52" s="95"/>
      <c r="BC52" s="95"/>
      <c r="BD52" s="95"/>
      <c r="BE52" s="95"/>
      <c r="BF52" s="95"/>
      <c r="BG52" s="95"/>
      <c r="BH52" s="95"/>
      <c r="BI52" s="95"/>
      <c r="BJ52" s="95"/>
      <c r="BK52" s="95"/>
      <c r="BL52" s="95"/>
      <c r="BM52" s="95"/>
      <c r="BN52" s="95"/>
      <c r="BO52" s="95"/>
      <c r="BP52" s="95"/>
      <c r="BQ52" s="95"/>
      <c r="BR52" s="95"/>
      <c r="BS52" s="95"/>
      <c r="BT52" s="95"/>
      <c r="BU52" s="95"/>
      <c r="BV52" s="95"/>
      <c r="BW52" s="95"/>
      <c r="BX52" s="95"/>
      <c r="BY52" s="95"/>
      <c r="BZ52" s="95"/>
      <c r="CA52" s="95"/>
      <c r="CB52" s="95"/>
      <c r="CC52" s="95"/>
      <c r="CD52" s="95"/>
      <c r="CE52" s="95"/>
      <c r="CF52" s="95"/>
      <c r="CG52" s="95"/>
      <c r="CH52" s="95"/>
      <c r="CI52" s="95"/>
      <c r="CJ52" s="95"/>
      <c r="CK52" s="95"/>
      <c r="CL52" s="95"/>
      <c r="CM52" s="95"/>
      <c r="CN52" s="95"/>
      <c r="CO52" s="95"/>
      <c r="CP52" s="95"/>
      <c r="CQ52" s="95"/>
      <c r="CR52" s="95"/>
      <c r="CS52" s="95"/>
      <c r="CT52" s="95"/>
      <c r="CU52" s="95"/>
      <c r="CV52" s="95"/>
      <c r="CW52" s="95"/>
      <c r="CX52" s="95"/>
      <c r="CY52" s="95"/>
      <c r="CZ52" s="95"/>
      <c r="DA52" s="95"/>
      <c r="DB52" s="95"/>
      <c r="DC52" s="95"/>
      <c r="DD52" s="95"/>
      <c r="DE52" s="95"/>
      <c r="DF52" s="95"/>
      <c r="DG52" s="95"/>
      <c r="DH52" s="95"/>
      <c r="DI52" s="95"/>
      <c r="DJ52" s="95"/>
      <c r="DK52" s="95"/>
      <c r="DL52" s="95"/>
      <c r="DM52" s="95"/>
      <c r="DN52" s="95"/>
      <c r="DO52" s="95"/>
      <c r="DP52" s="95"/>
      <c r="DQ52" s="95"/>
      <c r="DR52" s="95"/>
      <c r="DS52" s="95"/>
      <c r="DT52" s="95"/>
      <c r="DU52" s="95"/>
      <c r="DV52" s="95"/>
      <c r="DW52" s="95"/>
      <c r="DX52" s="95"/>
      <c r="DY52" s="95"/>
      <c r="DZ52" s="95"/>
      <c r="EA52" s="95"/>
      <c r="EB52" s="95"/>
      <c r="EC52" s="95"/>
      <c r="ED52" s="95"/>
      <c r="EE52" s="95"/>
      <c r="EF52" s="95"/>
      <c r="EG52" s="95"/>
      <c r="EH52" s="95"/>
      <c r="EI52" s="95"/>
      <c r="EJ52" s="95"/>
      <c r="EK52" s="95"/>
      <c r="EL52" s="95"/>
      <c r="EM52" s="95"/>
      <c r="EN52" s="95"/>
      <c r="EO52" s="95"/>
      <c r="EP52" s="95"/>
      <c r="EQ52" s="95"/>
      <c r="ER52" s="95"/>
      <c r="ES52" s="95"/>
      <c r="ET52" s="95"/>
      <c r="EU52" s="95"/>
      <c r="EV52" s="95"/>
      <c r="EW52" s="95"/>
      <c r="EX52" s="95"/>
      <c r="EY52" s="95"/>
      <c r="EZ52" s="95"/>
      <c r="FA52" s="95"/>
      <c r="FB52" s="95"/>
      <c r="FC52" s="95"/>
      <c r="FD52" s="95"/>
      <c r="FE52" s="95"/>
      <c r="FF52" s="95"/>
      <c r="FG52" s="95"/>
      <c r="FH52" s="95"/>
      <c r="FI52" s="95"/>
      <c r="FJ52" s="95"/>
      <c r="FK52" s="95"/>
      <c r="FL52" s="95"/>
      <c r="FM52" s="95"/>
      <c r="FN52" s="95"/>
      <c r="FO52" s="95"/>
      <c r="FP52" s="95"/>
      <c r="FQ52" s="95"/>
      <c r="FR52" s="95"/>
      <c r="FS52" s="95"/>
      <c r="FT52" s="95"/>
      <c r="FU52" s="95"/>
      <c r="FV52" s="95"/>
      <c r="FW52" s="95"/>
      <c r="FX52" s="95"/>
      <c r="FY52" s="95"/>
      <c r="FZ52" s="95"/>
      <c r="GA52" s="95"/>
      <c r="GB52" s="95"/>
      <c r="GC52" s="95"/>
      <c r="GD52" s="95"/>
      <c r="GE52" s="95"/>
      <c r="GF52" s="95"/>
      <c r="GG52" s="95"/>
      <c r="GH52" s="95"/>
      <c r="GI52" s="95"/>
      <c r="GJ52" s="95"/>
      <c r="GK52" s="95"/>
      <c r="GL52" s="95"/>
      <c r="GM52" s="95"/>
      <c r="GN52" s="95"/>
      <c r="GO52" s="95"/>
      <c r="GP52" s="95"/>
      <c r="GQ52" s="95"/>
      <c r="GR52" s="95"/>
      <c r="GS52" s="95"/>
      <c r="GT52" s="95"/>
      <c r="GU52" s="95"/>
      <c r="GV52" s="95"/>
      <c r="GW52" s="95"/>
      <c r="GX52" s="95"/>
      <c r="GY52" s="95"/>
      <c r="GZ52" s="95"/>
      <c r="HA52" s="95"/>
      <c r="HB52" s="95"/>
      <c r="HC52" s="95"/>
      <c r="HD52" s="95"/>
      <c r="HE52" s="95"/>
      <c r="HF52" s="95"/>
      <c r="HG52" s="95"/>
      <c r="HH52" s="95"/>
      <c r="HI52" s="95"/>
      <c r="HJ52" s="95"/>
      <c r="HK52" s="95"/>
      <c r="HL52" s="95"/>
      <c r="HM52" s="95"/>
      <c r="HN52" s="95"/>
      <c r="HO52" s="95"/>
      <c r="HP52" s="95"/>
      <c r="HQ52" s="95"/>
      <c r="HR52" s="95"/>
      <c r="HS52" s="95"/>
      <c r="HT52" s="95"/>
      <c r="HU52" s="95"/>
      <c r="HV52" s="95"/>
      <c r="HW52" s="95"/>
      <c r="HX52" s="95"/>
      <c r="HY52" s="95"/>
      <c r="HZ52" s="95"/>
      <c r="IA52" s="95"/>
      <c r="IB52" s="95"/>
      <c r="IC52" s="95"/>
      <c r="ID52" s="95"/>
      <c r="IE52" s="95"/>
      <c r="IF52" s="95"/>
      <c r="IG52" s="95"/>
      <c r="IH52" s="95"/>
      <c r="II52" s="95"/>
      <c r="IJ52" s="95"/>
      <c r="IK52" s="95"/>
      <c r="IL52" s="95"/>
      <c r="IM52" s="95"/>
      <c r="IN52" s="95"/>
      <c r="IO52" s="95"/>
      <c r="IP52" s="95"/>
      <c r="IQ52" s="95"/>
      <c r="IR52" s="95"/>
      <c r="IS52" s="95"/>
      <c r="IT52" s="95"/>
      <c r="IU52" s="95"/>
      <c r="IV52" s="95"/>
      <c r="IW52" s="95"/>
      <c r="IX52" s="95"/>
      <c r="IY52" s="95"/>
      <c r="IZ52" s="95"/>
      <c r="JA52" s="95"/>
      <c r="JB52" s="95"/>
      <c r="JC52" s="95"/>
      <c r="JD52" s="95"/>
      <c r="JE52" s="95"/>
      <c r="JF52" s="95"/>
      <c r="JG52" s="95"/>
      <c r="JH52" s="95"/>
      <c r="JI52" s="95"/>
      <c r="JJ52" s="95"/>
      <c r="JK52" s="95"/>
      <c r="JL52" s="95"/>
      <c r="JM52" s="95"/>
      <c r="JN52" s="95"/>
      <c r="JO52" s="95"/>
      <c r="JP52" s="95"/>
      <c r="JQ52" s="95"/>
      <c r="JR52" s="95"/>
      <c r="JS52" s="95"/>
      <c r="JT52" s="95"/>
      <c r="JU52" s="95"/>
      <c r="JV52" s="95"/>
      <c r="JW52" s="95"/>
      <c r="JX52" s="95"/>
      <c r="JY52" s="95"/>
      <c r="JZ52" s="95"/>
    </row>
    <row r="53" spans="1:286" s="97" customFormat="1" ht="82.5" customHeight="1" x14ac:dyDescent="0.25">
      <c r="A53" s="297"/>
      <c r="B53" s="30" t="s">
        <v>45</v>
      </c>
      <c r="C53" s="31" t="s">
        <v>128</v>
      </c>
      <c r="D53" s="32" t="s">
        <v>89</v>
      </c>
      <c r="E53" s="32" t="s">
        <v>75</v>
      </c>
      <c r="F53" s="51" t="s">
        <v>61</v>
      </c>
      <c r="G53" s="83"/>
      <c r="H53" s="84">
        <f>SUM(H52)</f>
        <v>5</v>
      </c>
      <c r="I53" s="84">
        <f t="shared" ref="I53" si="101">SUM(I52)</f>
        <v>1</v>
      </c>
      <c r="J53" s="84">
        <f t="shared" ref="J53:O53" si="102">SUM(J52)</f>
        <v>0</v>
      </c>
      <c r="K53" s="84">
        <f t="shared" si="102"/>
        <v>4</v>
      </c>
      <c r="L53" s="84">
        <f t="shared" si="102"/>
        <v>0</v>
      </c>
      <c r="M53" s="84">
        <f t="shared" si="102"/>
        <v>0</v>
      </c>
      <c r="N53" s="84">
        <f t="shared" si="11"/>
        <v>5</v>
      </c>
      <c r="O53" s="84">
        <f t="shared" si="102"/>
        <v>0</v>
      </c>
      <c r="P53" s="84"/>
      <c r="Q53" s="96"/>
      <c r="R53" s="85"/>
      <c r="S53" s="53"/>
      <c r="T53" s="51"/>
      <c r="U53" s="84">
        <f>SUM(U52)</f>
        <v>5</v>
      </c>
      <c r="V53" s="84">
        <f t="shared" ref="V53" si="103">SUM(V52)</f>
        <v>1</v>
      </c>
      <c r="W53" s="84">
        <f t="shared" ref="W53:AJ53" si="104">SUM(W52)</f>
        <v>0</v>
      </c>
      <c r="X53" s="84">
        <f t="shared" si="104"/>
        <v>4</v>
      </c>
      <c r="Y53" s="84">
        <f t="shared" si="104"/>
        <v>0</v>
      </c>
      <c r="Z53" s="84">
        <f t="shared" si="104"/>
        <v>0</v>
      </c>
      <c r="AA53" s="84">
        <f t="shared" si="0"/>
        <v>5</v>
      </c>
      <c r="AB53" s="84">
        <f t="shared" si="104"/>
        <v>0</v>
      </c>
      <c r="AC53" s="84">
        <f t="shared" si="104"/>
        <v>0</v>
      </c>
      <c r="AD53" s="84">
        <f t="shared" si="104"/>
        <v>0</v>
      </c>
      <c r="AE53" s="84">
        <f t="shared" si="104"/>
        <v>0</v>
      </c>
      <c r="AF53" s="84">
        <f t="shared" si="104"/>
        <v>0</v>
      </c>
      <c r="AG53" s="84">
        <f t="shared" si="104"/>
        <v>0</v>
      </c>
      <c r="AH53" s="84">
        <f t="shared" si="104"/>
        <v>0</v>
      </c>
      <c r="AI53" s="84">
        <f t="shared" si="1"/>
        <v>0</v>
      </c>
      <c r="AJ53" s="84">
        <f t="shared" si="104"/>
        <v>0</v>
      </c>
      <c r="AK53" s="83"/>
      <c r="AL53" s="85"/>
      <c r="AM53" s="83"/>
      <c r="AN53" s="96"/>
      <c r="AO53" s="96"/>
      <c r="AP53" s="51"/>
      <c r="AQ53" s="83"/>
      <c r="AR53" s="83"/>
      <c r="AS53" s="83"/>
      <c r="AT53" s="83"/>
      <c r="AU53" s="87"/>
      <c r="AV53" s="83"/>
      <c r="AW53" s="51"/>
      <c r="AX53" s="51" t="s">
        <v>87</v>
      </c>
      <c r="AY53" s="95"/>
      <c r="AZ53" s="95"/>
      <c r="BA53" s="95"/>
      <c r="BB53" s="95"/>
      <c r="BC53" s="95"/>
      <c r="BD53" s="95"/>
      <c r="BE53" s="95"/>
      <c r="BF53" s="95"/>
      <c r="BG53" s="95"/>
      <c r="BH53" s="95"/>
      <c r="BI53" s="95"/>
      <c r="BJ53" s="95"/>
      <c r="BK53" s="95"/>
      <c r="BL53" s="95"/>
      <c r="BM53" s="95"/>
      <c r="BN53" s="95"/>
      <c r="BO53" s="95"/>
      <c r="BP53" s="95"/>
      <c r="BQ53" s="95"/>
      <c r="BR53" s="95"/>
      <c r="BS53" s="95"/>
      <c r="BT53" s="95"/>
      <c r="BU53" s="95"/>
      <c r="BV53" s="95"/>
      <c r="BW53" s="95"/>
      <c r="BX53" s="95"/>
      <c r="BY53" s="95"/>
      <c r="BZ53" s="95"/>
      <c r="CA53" s="95"/>
      <c r="CB53" s="95"/>
      <c r="CC53" s="95"/>
      <c r="CD53" s="95"/>
      <c r="CE53" s="95"/>
      <c r="CF53" s="95"/>
      <c r="CG53" s="95"/>
      <c r="CH53" s="95"/>
      <c r="CI53" s="95"/>
      <c r="CJ53" s="95"/>
      <c r="CK53" s="95"/>
      <c r="CL53" s="95"/>
      <c r="CM53" s="95"/>
      <c r="CN53" s="95"/>
      <c r="CO53" s="95"/>
      <c r="CP53" s="95"/>
      <c r="CQ53" s="95"/>
      <c r="CR53" s="95"/>
      <c r="CS53" s="95"/>
      <c r="CT53" s="95"/>
      <c r="CU53" s="95"/>
      <c r="CV53" s="95"/>
      <c r="CW53" s="95"/>
      <c r="CX53" s="95"/>
      <c r="CY53" s="95"/>
      <c r="CZ53" s="95"/>
      <c r="DA53" s="95"/>
      <c r="DB53" s="95"/>
      <c r="DC53" s="95"/>
      <c r="DD53" s="95"/>
      <c r="DE53" s="95"/>
      <c r="DF53" s="95"/>
      <c r="DG53" s="95"/>
      <c r="DH53" s="95"/>
      <c r="DI53" s="95"/>
      <c r="DJ53" s="95"/>
      <c r="DK53" s="95"/>
      <c r="DL53" s="95"/>
      <c r="DM53" s="95"/>
      <c r="DN53" s="95"/>
      <c r="DO53" s="95"/>
      <c r="DP53" s="95"/>
      <c r="DQ53" s="95"/>
      <c r="DR53" s="95"/>
      <c r="DS53" s="95"/>
      <c r="DT53" s="95"/>
      <c r="DU53" s="95"/>
      <c r="DV53" s="95"/>
      <c r="DW53" s="95"/>
      <c r="DX53" s="95"/>
      <c r="DY53" s="95"/>
      <c r="DZ53" s="95"/>
      <c r="EA53" s="95"/>
      <c r="EB53" s="95"/>
      <c r="EC53" s="95"/>
      <c r="ED53" s="95"/>
      <c r="EE53" s="95"/>
      <c r="EF53" s="95"/>
      <c r="EG53" s="95"/>
      <c r="EH53" s="95"/>
      <c r="EI53" s="95"/>
      <c r="EJ53" s="95"/>
      <c r="EK53" s="95"/>
      <c r="EL53" s="95"/>
      <c r="EM53" s="95"/>
      <c r="EN53" s="95"/>
      <c r="EO53" s="95"/>
      <c r="EP53" s="95"/>
      <c r="EQ53" s="95"/>
      <c r="ER53" s="95"/>
      <c r="ES53" s="95"/>
      <c r="ET53" s="95"/>
      <c r="EU53" s="95"/>
      <c r="EV53" s="95"/>
      <c r="EW53" s="95"/>
      <c r="EX53" s="95"/>
      <c r="EY53" s="95"/>
      <c r="EZ53" s="95"/>
      <c r="FA53" s="95"/>
      <c r="FB53" s="95"/>
      <c r="FC53" s="95"/>
      <c r="FD53" s="95"/>
      <c r="FE53" s="95"/>
      <c r="FF53" s="95"/>
      <c r="FG53" s="95"/>
      <c r="FH53" s="95"/>
      <c r="FI53" s="95"/>
      <c r="FJ53" s="95"/>
      <c r="FK53" s="95"/>
      <c r="FL53" s="95"/>
      <c r="FM53" s="95"/>
      <c r="FN53" s="95"/>
      <c r="FO53" s="95"/>
      <c r="FP53" s="95"/>
      <c r="FQ53" s="95"/>
      <c r="FR53" s="95"/>
      <c r="FS53" s="95"/>
      <c r="FT53" s="95"/>
      <c r="FU53" s="95"/>
      <c r="FV53" s="95"/>
      <c r="FW53" s="95"/>
      <c r="FX53" s="95"/>
      <c r="FY53" s="95"/>
      <c r="FZ53" s="95"/>
      <c r="GA53" s="95"/>
      <c r="GB53" s="95"/>
      <c r="GC53" s="95"/>
      <c r="GD53" s="95"/>
      <c r="GE53" s="95"/>
      <c r="GF53" s="95"/>
      <c r="GG53" s="95"/>
      <c r="GH53" s="95"/>
      <c r="GI53" s="95"/>
      <c r="GJ53" s="95"/>
      <c r="GK53" s="95"/>
      <c r="GL53" s="95"/>
      <c r="GM53" s="95"/>
      <c r="GN53" s="95"/>
      <c r="GO53" s="95"/>
      <c r="GP53" s="95"/>
      <c r="GQ53" s="95"/>
      <c r="GR53" s="95"/>
      <c r="GS53" s="95"/>
      <c r="GT53" s="95"/>
      <c r="GU53" s="95"/>
      <c r="GV53" s="95"/>
      <c r="GW53" s="95"/>
      <c r="GX53" s="95"/>
      <c r="GY53" s="95"/>
      <c r="GZ53" s="95"/>
      <c r="HA53" s="95"/>
      <c r="HB53" s="95"/>
      <c r="HC53" s="95"/>
      <c r="HD53" s="95"/>
      <c r="HE53" s="95"/>
      <c r="HF53" s="95"/>
      <c r="HG53" s="95"/>
      <c r="HH53" s="95"/>
      <c r="HI53" s="95"/>
      <c r="HJ53" s="95"/>
      <c r="HK53" s="95"/>
      <c r="HL53" s="95"/>
      <c r="HM53" s="95"/>
      <c r="HN53" s="95"/>
      <c r="HO53" s="95"/>
      <c r="HP53" s="95"/>
      <c r="HQ53" s="95"/>
      <c r="HR53" s="95"/>
      <c r="HS53" s="95"/>
      <c r="HT53" s="95"/>
      <c r="HU53" s="95"/>
      <c r="HV53" s="95"/>
      <c r="HW53" s="95"/>
      <c r="HX53" s="95"/>
      <c r="HY53" s="95"/>
      <c r="HZ53" s="95"/>
      <c r="IA53" s="95"/>
      <c r="IB53" s="95"/>
      <c r="IC53" s="95"/>
      <c r="ID53" s="95"/>
      <c r="IE53" s="95"/>
      <c r="IF53" s="95"/>
      <c r="IG53" s="95"/>
      <c r="IH53" s="95"/>
      <c r="II53" s="95"/>
      <c r="IJ53" s="95"/>
      <c r="IK53" s="95"/>
      <c r="IL53" s="95"/>
      <c r="IM53" s="95"/>
      <c r="IN53" s="95"/>
      <c r="IO53" s="95"/>
      <c r="IP53" s="95"/>
      <c r="IQ53" s="95"/>
      <c r="IR53" s="95"/>
      <c r="IS53" s="95"/>
      <c r="IT53" s="95"/>
      <c r="IU53" s="95"/>
      <c r="IV53" s="95"/>
      <c r="IW53" s="95"/>
      <c r="IX53" s="95"/>
      <c r="IY53" s="95"/>
      <c r="IZ53" s="95"/>
      <c r="JA53" s="95"/>
      <c r="JB53" s="95"/>
      <c r="JC53" s="95"/>
      <c r="JD53" s="95"/>
      <c r="JE53" s="95"/>
      <c r="JF53" s="95"/>
      <c r="JG53" s="95"/>
      <c r="JH53" s="95"/>
      <c r="JI53" s="95"/>
      <c r="JJ53" s="95"/>
      <c r="JK53" s="95"/>
      <c r="JL53" s="95"/>
      <c r="JM53" s="95"/>
      <c r="JN53" s="95"/>
      <c r="JO53" s="95"/>
      <c r="JP53" s="95"/>
      <c r="JQ53" s="95"/>
      <c r="JR53" s="95"/>
      <c r="JS53" s="95"/>
      <c r="JT53" s="95"/>
      <c r="JU53" s="95"/>
      <c r="JV53" s="95"/>
      <c r="JW53" s="95"/>
      <c r="JX53" s="95"/>
      <c r="JY53" s="95"/>
      <c r="JZ53" s="95"/>
    </row>
    <row r="54" spans="1:286" s="95" customFormat="1" ht="82.5" customHeight="1" x14ac:dyDescent="0.25">
      <c r="A54" s="297"/>
      <c r="B54" s="30" t="s">
        <v>45</v>
      </c>
      <c r="C54" s="31" t="s">
        <v>130</v>
      </c>
      <c r="D54" s="32" t="s">
        <v>106</v>
      </c>
      <c r="E54" s="32" t="s">
        <v>75</v>
      </c>
      <c r="F54" s="217" t="s">
        <v>49</v>
      </c>
      <c r="G54" s="65" t="s">
        <v>50</v>
      </c>
      <c r="H54" s="217">
        <v>5</v>
      </c>
      <c r="I54" s="240">
        <v>1</v>
      </c>
      <c r="J54" s="230">
        <v>1</v>
      </c>
      <c r="K54" s="224">
        <v>1</v>
      </c>
      <c r="L54" s="226">
        <v>1</v>
      </c>
      <c r="M54" s="232">
        <v>1</v>
      </c>
      <c r="N54" s="234">
        <f t="shared" si="11"/>
        <v>5</v>
      </c>
      <c r="O54" s="216">
        <v>0</v>
      </c>
      <c r="P54" s="71"/>
      <c r="Q54" s="217"/>
      <c r="R54" s="217" t="s">
        <v>51</v>
      </c>
      <c r="S54" s="235" t="s">
        <v>131</v>
      </c>
      <c r="T54" s="203" t="s">
        <v>132</v>
      </c>
      <c r="U54" s="217">
        <v>5</v>
      </c>
      <c r="V54" s="238">
        <v>1</v>
      </c>
      <c r="W54" s="230">
        <v>1</v>
      </c>
      <c r="X54" s="224">
        <v>1</v>
      </c>
      <c r="Y54" s="226">
        <v>1</v>
      </c>
      <c r="Z54" s="232">
        <v>1</v>
      </c>
      <c r="AA54" s="234">
        <f t="shared" si="0"/>
        <v>5</v>
      </c>
      <c r="AB54" s="216">
        <v>0</v>
      </c>
      <c r="AC54" s="217">
        <v>0</v>
      </c>
      <c r="AD54" s="238">
        <v>0</v>
      </c>
      <c r="AE54" s="230">
        <v>0</v>
      </c>
      <c r="AF54" s="224">
        <v>0</v>
      </c>
      <c r="AG54" s="226">
        <v>0</v>
      </c>
      <c r="AH54" s="232">
        <v>0</v>
      </c>
      <c r="AI54" s="234">
        <f t="shared" si="1"/>
        <v>0</v>
      </c>
      <c r="AJ54" s="242">
        <v>0</v>
      </c>
      <c r="AK54" s="217"/>
      <c r="AL54" s="203" t="s">
        <v>133</v>
      </c>
      <c r="AM54" s="243">
        <v>5</v>
      </c>
      <c r="AN54" s="217"/>
      <c r="AO54" s="72"/>
      <c r="AP54" s="33" t="s">
        <v>58</v>
      </c>
      <c r="AQ54" s="65">
        <v>15</v>
      </c>
      <c r="AR54" s="47">
        <v>0</v>
      </c>
      <c r="AS54" s="48">
        <v>0</v>
      </c>
      <c r="AT54" s="49">
        <v>15</v>
      </c>
      <c r="AU54" s="217"/>
      <c r="AV54" s="217"/>
      <c r="AW54" s="217"/>
      <c r="AX54" s="108" t="s">
        <v>134</v>
      </c>
    </row>
    <row r="55" spans="1:286" s="95" customFormat="1" ht="82.5" customHeight="1" x14ac:dyDescent="0.25">
      <c r="A55" s="297"/>
      <c r="B55" s="30" t="s">
        <v>45</v>
      </c>
      <c r="C55" s="31" t="s">
        <v>130</v>
      </c>
      <c r="D55" s="32" t="s">
        <v>106</v>
      </c>
      <c r="E55" s="32" t="s">
        <v>75</v>
      </c>
      <c r="F55" s="217"/>
      <c r="G55" s="65" t="s">
        <v>50</v>
      </c>
      <c r="H55" s="217"/>
      <c r="I55" s="241"/>
      <c r="J55" s="231"/>
      <c r="K55" s="225"/>
      <c r="L55" s="227"/>
      <c r="M55" s="233"/>
      <c r="N55" s="234">
        <f t="shared" si="11"/>
        <v>0</v>
      </c>
      <c r="O55" s="216"/>
      <c r="P55" s="71"/>
      <c r="Q55" s="217"/>
      <c r="R55" s="217"/>
      <c r="S55" s="235"/>
      <c r="T55" s="203"/>
      <c r="U55" s="217"/>
      <c r="V55" s="239"/>
      <c r="W55" s="231"/>
      <c r="X55" s="225"/>
      <c r="Y55" s="227"/>
      <c r="Z55" s="233"/>
      <c r="AA55" s="234">
        <f t="shared" si="0"/>
        <v>0</v>
      </c>
      <c r="AB55" s="216">
        <v>0</v>
      </c>
      <c r="AC55" s="217"/>
      <c r="AD55" s="239"/>
      <c r="AE55" s="231"/>
      <c r="AF55" s="225"/>
      <c r="AG55" s="227"/>
      <c r="AH55" s="233"/>
      <c r="AI55" s="234">
        <f t="shared" si="1"/>
        <v>0</v>
      </c>
      <c r="AJ55" s="242"/>
      <c r="AK55" s="217"/>
      <c r="AL55" s="203"/>
      <c r="AM55" s="243"/>
      <c r="AN55" s="217"/>
      <c r="AO55" s="72"/>
      <c r="AP55" s="33" t="s">
        <v>127</v>
      </c>
      <c r="AQ55" s="65">
        <v>1</v>
      </c>
      <c r="AR55" s="73">
        <v>0</v>
      </c>
      <c r="AS55" s="74">
        <v>0</v>
      </c>
      <c r="AT55" s="75">
        <v>1</v>
      </c>
      <c r="AU55" s="217"/>
      <c r="AV55" s="217"/>
      <c r="AW55" s="217"/>
      <c r="AX55" s="108" t="s">
        <v>134</v>
      </c>
    </row>
    <row r="56" spans="1:286" s="97" customFormat="1" ht="82.5" customHeight="1" x14ac:dyDescent="0.25">
      <c r="A56" s="297"/>
      <c r="B56" s="30" t="s">
        <v>45</v>
      </c>
      <c r="C56" s="31" t="s">
        <v>130</v>
      </c>
      <c r="D56" s="32" t="s">
        <v>106</v>
      </c>
      <c r="E56" s="32" t="s">
        <v>75</v>
      </c>
      <c r="F56" s="51" t="s">
        <v>61</v>
      </c>
      <c r="G56" s="83"/>
      <c r="H56" s="84">
        <f>SUM(H54)</f>
        <v>5</v>
      </c>
      <c r="I56" s="84">
        <f t="shared" ref="I56" si="105">SUM(I54)</f>
        <v>1</v>
      </c>
      <c r="J56" s="84">
        <f t="shared" ref="J56:M56" si="106">SUM(J54)</f>
        <v>1</v>
      </c>
      <c r="K56" s="84">
        <f t="shared" si="106"/>
        <v>1</v>
      </c>
      <c r="L56" s="84">
        <f t="shared" si="106"/>
        <v>1</v>
      </c>
      <c r="M56" s="84">
        <f t="shared" si="106"/>
        <v>1</v>
      </c>
      <c r="N56" s="84">
        <f t="shared" si="11"/>
        <v>5</v>
      </c>
      <c r="O56" s="84">
        <f t="shared" ref="O56" si="107">SUM(O54)</f>
        <v>0</v>
      </c>
      <c r="P56" s="84">
        <v>0</v>
      </c>
      <c r="Q56" s="96"/>
      <c r="R56" s="85"/>
      <c r="S56" s="53"/>
      <c r="T56" s="51"/>
      <c r="U56" s="84">
        <f t="shared" ref="U56:AJ56" si="108">SUM(U54)</f>
        <v>5</v>
      </c>
      <c r="V56" s="84">
        <f t="shared" si="108"/>
        <v>1</v>
      </c>
      <c r="W56" s="84">
        <f t="shared" si="108"/>
        <v>1</v>
      </c>
      <c r="X56" s="84">
        <f t="shared" si="108"/>
        <v>1</v>
      </c>
      <c r="Y56" s="84">
        <f t="shared" si="108"/>
        <v>1</v>
      </c>
      <c r="Z56" s="84">
        <f t="shared" si="108"/>
        <v>1</v>
      </c>
      <c r="AA56" s="84">
        <f t="shared" si="0"/>
        <v>5</v>
      </c>
      <c r="AB56" s="84">
        <f t="shared" si="108"/>
        <v>0</v>
      </c>
      <c r="AC56" s="84">
        <f t="shared" si="108"/>
        <v>0</v>
      </c>
      <c r="AD56" s="84">
        <f t="shared" si="108"/>
        <v>0</v>
      </c>
      <c r="AE56" s="84">
        <f t="shared" si="108"/>
        <v>0</v>
      </c>
      <c r="AF56" s="84">
        <f t="shared" si="108"/>
        <v>0</v>
      </c>
      <c r="AG56" s="84">
        <f t="shared" si="108"/>
        <v>0</v>
      </c>
      <c r="AH56" s="84">
        <f t="shared" si="108"/>
        <v>0</v>
      </c>
      <c r="AI56" s="84">
        <f t="shared" si="1"/>
        <v>0</v>
      </c>
      <c r="AJ56" s="84">
        <f t="shared" si="108"/>
        <v>0</v>
      </c>
      <c r="AK56" s="83"/>
      <c r="AL56" s="85"/>
      <c r="AM56" s="83">
        <f>SUM(AM54)</f>
        <v>5</v>
      </c>
      <c r="AN56" s="96"/>
      <c r="AO56" s="96"/>
      <c r="AP56" s="51"/>
      <c r="AQ56" s="83">
        <f>SUM(AQ54)</f>
        <v>15</v>
      </c>
      <c r="AR56" s="83">
        <f t="shared" ref="AR56:AT56" si="109">SUM(AR54)</f>
        <v>0</v>
      </c>
      <c r="AS56" s="83">
        <f t="shared" si="109"/>
        <v>0</v>
      </c>
      <c r="AT56" s="83">
        <f t="shared" si="109"/>
        <v>15</v>
      </c>
      <c r="AU56" s="87"/>
      <c r="AV56" s="83"/>
      <c r="AW56" s="51"/>
      <c r="AX56" s="51" t="s">
        <v>134</v>
      </c>
      <c r="AY56" s="95"/>
      <c r="AZ56" s="95"/>
      <c r="BA56" s="95"/>
      <c r="BB56" s="95"/>
      <c r="BC56" s="95"/>
      <c r="BD56" s="95"/>
      <c r="BE56" s="95"/>
      <c r="BF56" s="95"/>
      <c r="BG56" s="95"/>
      <c r="BH56" s="95"/>
      <c r="BI56" s="95"/>
      <c r="BJ56" s="95"/>
      <c r="BK56" s="95"/>
      <c r="BL56" s="95"/>
      <c r="BM56" s="95"/>
      <c r="BN56" s="95"/>
      <c r="BO56" s="95"/>
      <c r="BP56" s="95"/>
      <c r="BQ56" s="95"/>
      <c r="BR56" s="95"/>
      <c r="BS56" s="95"/>
      <c r="BT56" s="95"/>
      <c r="BU56" s="95"/>
      <c r="BV56" s="95"/>
      <c r="BW56" s="95"/>
      <c r="BX56" s="95"/>
      <c r="BY56" s="95"/>
      <c r="BZ56" s="95"/>
      <c r="CA56" s="95"/>
      <c r="CB56" s="95"/>
      <c r="CC56" s="95"/>
      <c r="CD56" s="95"/>
      <c r="CE56" s="95"/>
      <c r="CF56" s="95"/>
      <c r="CG56" s="95"/>
      <c r="CH56" s="95"/>
      <c r="CI56" s="95"/>
      <c r="CJ56" s="95"/>
      <c r="CK56" s="95"/>
      <c r="CL56" s="95"/>
      <c r="CM56" s="95"/>
      <c r="CN56" s="95"/>
      <c r="CO56" s="95"/>
      <c r="CP56" s="95"/>
      <c r="CQ56" s="95"/>
      <c r="CR56" s="95"/>
      <c r="CS56" s="95"/>
      <c r="CT56" s="95"/>
      <c r="CU56" s="95"/>
      <c r="CV56" s="95"/>
      <c r="CW56" s="95"/>
      <c r="CX56" s="95"/>
      <c r="CY56" s="95"/>
      <c r="CZ56" s="95"/>
      <c r="DA56" s="95"/>
      <c r="DB56" s="95"/>
      <c r="DC56" s="95"/>
      <c r="DD56" s="95"/>
      <c r="DE56" s="95"/>
      <c r="DF56" s="95"/>
      <c r="DG56" s="95"/>
      <c r="DH56" s="95"/>
      <c r="DI56" s="95"/>
      <c r="DJ56" s="95"/>
      <c r="DK56" s="95"/>
      <c r="DL56" s="95"/>
      <c r="DM56" s="95"/>
      <c r="DN56" s="95"/>
      <c r="DO56" s="95"/>
      <c r="DP56" s="95"/>
      <c r="DQ56" s="95"/>
      <c r="DR56" s="95"/>
      <c r="DS56" s="95"/>
      <c r="DT56" s="95"/>
      <c r="DU56" s="95"/>
      <c r="DV56" s="95"/>
      <c r="DW56" s="95"/>
      <c r="DX56" s="95"/>
      <c r="DY56" s="95"/>
      <c r="DZ56" s="95"/>
      <c r="EA56" s="95"/>
      <c r="EB56" s="95"/>
      <c r="EC56" s="95"/>
      <c r="ED56" s="95"/>
      <c r="EE56" s="95"/>
      <c r="EF56" s="95"/>
      <c r="EG56" s="95"/>
      <c r="EH56" s="95"/>
      <c r="EI56" s="95"/>
      <c r="EJ56" s="95"/>
      <c r="EK56" s="95"/>
      <c r="EL56" s="95"/>
      <c r="EM56" s="95"/>
      <c r="EN56" s="95"/>
      <c r="EO56" s="95"/>
      <c r="EP56" s="95"/>
      <c r="EQ56" s="95"/>
      <c r="ER56" s="95"/>
      <c r="ES56" s="95"/>
      <c r="ET56" s="95"/>
      <c r="EU56" s="95"/>
      <c r="EV56" s="95"/>
      <c r="EW56" s="95"/>
      <c r="EX56" s="95"/>
      <c r="EY56" s="95"/>
      <c r="EZ56" s="95"/>
      <c r="FA56" s="95"/>
      <c r="FB56" s="95"/>
      <c r="FC56" s="95"/>
      <c r="FD56" s="95"/>
      <c r="FE56" s="95"/>
      <c r="FF56" s="95"/>
      <c r="FG56" s="95"/>
      <c r="FH56" s="95"/>
      <c r="FI56" s="95"/>
      <c r="FJ56" s="95"/>
      <c r="FK56" s="95"/>
      <c r="FL56" s="95"/>
      <c r="FM56" s="95"/>
      <c r="FN56" s="95"/>
      <c r="FO56" s="95"/>
      <c r="FP56" s="95"/>
      <c r="FQ56" s="95"/>
      <c r="FR56" s="95"/>
      <c r="FS56" s="95"/>
      <c r="FT56" s="95"/>
      <c r="FU56" s="95"/>
      <c r="FV56" s="95"/>
      <c r="FW56" s="95"/>
      <c r="FX56" s="95"/>
      <c r="FY56" s="95"/>
      <c r="FZ56" s="95"/>
      <c r="GA56" s="95"/>
      <c r="GB56" s="95"/>
      <c r="GC56" s="95"/>
      <c r="GD56" s="95"/>
      <c r="GE56" s="95"/>
      <c r="GF56" s="95"/>
      <c r="GG56" s="95"/>
      <c r="GH56" s="95"/>
      <c r="GI56" s="95"/>
      <c r="GJ56" s="95"/>
      <c r="GK56" s="95"/>
      <c r="GL56" s="95"/>
      <c r="GM56" s="95"/>
      <c r="GN56" s="95"/>
      <c r="GO56" s="95"/>
      <c r="GP56" s="95"/>
      <c r="GQ56" s="95"/>
      <c r="GR56" s="95"/>
      <c r="GS56" s="95"/>
      <c r="GT56" s="95"/>
      <c r="GU56" s="95"/>
      <c r="GV56" s="95"/>
      <c r="GW56" s="95"/>
      <c r="GX56" s="95"/>
      <c r="GY56" s="95"/>
      <c r="GZ56" s="95"/>
      <c r="HA56" s="95"/>
      <c r="HB56" s="95"/>
      <c r="HC56" s="95"/>
      <c r="HD56" s="95"/>
      <c r="HE56" s="95"/>
      <c r="HF56" s="95"/>
      <c r="HG56" s="95"/>
      <c r="HH56" s="95"/>
      <c r="HI56" s="95"/>
      <c r="HJ56" s="95"/>
      <c r="HK56" s="95"/>
      <c r="HL56" s="95"/>
      <c r="HM56" s="95"/>
      <c r="HN56" s="95"/>
      <c r="HO56" s="95"/>
      <c r="HP56" s="95"/>
      <c r="HQ56" s="95"/>
      <c r="HR56" s="95"/>
      <c r="HS56" s="95"/>
      <c r="HT56" s="95"/>
      <c r="HU56" s="95"/>
      <c r="HV56" s="95"/>
      <c r="HW56" s="95"/>
      <c r="HX56" s="95"/>
      <c r="HY56" s="95"/>
      <c r="HZ56" s="95"/>
      <c r="IA56" s="95"/>
      <c r="IB56" s="95"/>
      <c r="IC56" s="95"/>
      <c r="ID56" s="95"/>
      <c r="IE56" s="95"/>
      <c r="IF56" s="95"/>
      <c r="IG56" s="95"/>
      <c r="IH56" s="95"/>
      <c r="II56" s="95"/>
      <c r="IJ56" s="95"/>
      <c r="IK56" s="95"/>
      <c r="IL56" s="95"/>
      <c r="IM56" s="95"/>
      <c r="IN56" s="95"/>
      <c r="IO56" s="95"/>
      <c r="IP56" s="95"/>
      <c r="IQ56" s="95"/>
      <c r="IR56" s="95"/>
      <c r="IS56" s="95"/>
      <c r="IT56" s="95"/>
      <c r="IU56" s="95"/>
      <c r="IV56" s="95"/>
      <c r="IW56" s="95"/>
      <c r="IX56" s="95"/>
      <c r="IY56" s="95"/>
      <c r="IZ56" s="95"/>
      <c r="JA56" s="95"/>
      <c r="JB56" s="95"/>
      <c r="JC56" s="95"/>
      <c r="JD56" s="95"/>
      <c r="JE56" s="95"/>
      <c r="JF56" s="95"/>
      <c r="JG56" s="95"/>
      <c r="JH56" s="95"/>
      <c r="JI56" s="95"/>
      <c r="JJ56" s="95"/>
      <c r="JK56" s="95"/>
      <c r="JL56" s="95"/>
      <c r="JM56" s="95"/>
      <c r="JN56" s="95"/>
      <c r="JO56" s="95"/>
      <c r="JP56" s="95"/>
      <c r="JQ56" s="95"/>
      <c r="JR56" s="95"/>
      <c r="JS56" s="95"/>
      <c r="JT56" s="95"/>
      <c r="JU56" s="95"/>
      <c r="JV56" s="95"/>
      <c r="JW56" s="95"/>
      <c r="JX56" s="95"/>
      <c r="JY56" s="95"/>
      <c r="JZ56" s="95"/>
    </row>
    <row r="57" spans="1:286" s="97" customFormat="1" ht="82.5" customHeight="1" x14ac:dyDescent="0.25">
      <c r="A57" s="297"/>
      <c r="B57" s="30" t="s">
        <v>45</v>
      </c>
      <c r="C57" s="31" t="s">
        <v>135</v>
      </c>
      <c r="D57" s="32" t="s">
        <v>89</v>
      </c>
      <c r="E57" s="32" t="s">
        <v>75</v>
      </c>
      <c r="F57" s="65"/>
      <c r="G57" s="65" t="s">
        <v>50</v>
      </c>
      <c r="H57" s="65">
        <v>5</v>
      </c>
      <c r="I57" s="107">
        <v>1</v>
      </c>
      <c r="J57" s="103">
        <v>0</v>
      </c>
      <c r="K57" s="104">
        <v>3</v>
      </c>
      <c r="L57" s="105">
        <v>0</v>
      </c>
      <c r="M57" s="106">
        <v>1</v>
      </c>
      <c r="N57" s="70">
        <f t="shared" si="11"/>
        <v>5</v>
      </c>
      <c r="O57" s="71"/>
      <c r="P57" s="71"/>
      <c r="Q57" s="93"/>
      <c r="R57" s="33" t="s">
        <v>51</v>
      </c>
      <c r="S57" s="36" t="s">
        <v>136</v>
      </c>
      <c r="T57" s="33" t="s">
        <v>137</v>
      </c>
      <c r="U57" s="65">
        <v>5</v>
      </c>
      <c r="V57" s="199">
        <v>1</v>
      </c>
      <c r="W57" s="103">
        <v>0</v>
      </c>
      <c r="X57" s="104">
        <v>3</v>
      </c>
      <c r="Y57" s="105">
        <v>0</v>
      </c>
      <c r="Z57" s="106">
        <v>1</v>
      </c>
      <c r="AA57" s="70">
        <f t="shared" si="0"/>
        <v>5</v>
      </c>
      <c r="AB57" s="35">
        <v>0</v>
      </c>
      <c r="AC57" s="65">
        <v>0</v>
      </c>
      <c r="AD57" s="199">
        <v>0</v>
      </c>
      <c r="AE57" s="103">
        <v>0</v>
      </c>
      <c r="AF57" s="104">
        <v>0</v>
      </c>
      <c r="AG57" s="105">
        <v>0</v>
      </c>
      <c r="AH57" s="106">
        <v>0</v>
      </c>
      <c r="AI57" s="70">
        <f t="shared" si="1"/>
        <v>0</v>
      </c>
      <c r="AJ57" s="71"/>
      <c r="AK57" s="65"/>
      <c r="AL57" s="65"/>
      <c r="AM57" s="46"/>
      <c r="AN57" s="65"/>
      <c r="AO57" s="72"/>
      <c r="AP57" s="33"/>
      <c r="AQ57" s="76"/>
      <c r="AR57" s="47"/>
      <c r="AS57" s="48"/>
      <c r="AT57" s="49"/>
      <c r="AU57" s="76"/>
      <c r="AV57" s="65"/>
      <c r="AW57" s="33"/>
      <c r="AX57" s="32" t="s">
        <v>87</v>
      </c>
      <c r="AY57" s="95"/>
      <c r="AZ57" s="95"/>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c r="EC57" s="95"/>
      <c r="ED57" s="95"/>
      <c r="EE57" s="95"/>
      <c r="EF57" s="95"/>
      <c r="EG57" s="95"/>
      <c r="EH57" s="95"/>
      <c r="EI57" s="95"/>
      <c r="EJ57" s="95"/>
      <c r="EK57" s="95"/>
      <c r="EL57" s="95"/>
      <c r="EM57" s="95"/>
      <c r="EN57" s="95"/>
      <c r="EO57" s="95"/>
      <c r="EP57" s="95"/>
      <c r="EQ57" s="95"/>
      <c r="ER57" s="95"/>
      <c r="ES57" s="95"/>
      <c r="ET57" s="95"/>
      <c r="EU57" s="95"/>
      <c r="EV57" s="95"/>
      <c r="EW57" s="95"/>
      <c r="EX57" s="95"/>
      <c r="EY57" s="95"/>
      <c r="EZ57" s="95"/>
      <c r="FA57" s="95"/>
      <c r="FB57" s="95"/>
      <c r="FC57" s="95"/>
      <c r="FD57" s="95"/>
      <c r="FE57" s="95"/>
      <c r="FF57" s="95"/>
      <c r="FG57" s="95"/>
      <c r="FH57" s="95"/>
      <c r="FI57" s="95"/>
      <c r="FJ57" s="95"/>
      <c r="FK57" s="95"/>
      <c r="FL57" s="95"/>
      <c r="FM57" s="95"/>
      <c r="FN57" s="95"/>
      <c r="FO57" s="95"/>
      <c r="FP57" s="95"/>
      <c r="FQ57" s="95"/>
      <c r="FR57" s="95"/>
      <c r="FS57" s="95"/>
      <c r="FT57" s="95"/>
      <c r="FU57" s="95"/>
      <c r="FV57" s="95"/>
      <c r="FW57" s="95"/>
      <c r="FX57" s="95"/>
      <c r="FY57" s="95"/>
      <c r="FZ57" s="95"/>
      <c r="GA57" s="95"/>
      <c r="GB57" s="95"/>
      <c r="GC57" s="95"/>
      <c r="GD57" s="95"/>
      <c r="GE57" s="95"/>
      <c r="GF57" s="95"/>
      <c r="GG57" s="95"/>
      <c r="GH57" s="95"/>
      <c r="GI57" s="95"/>
      <c r="GJ57" s="95"/>
      <c r="GK57" s="95"/>
      <c r="GL57" s="95"/>
      <c r="GM57" s="95"/>
      <c r="GN57" s="95"/>
      <c r="GO57" s="95"/>
      <c r="GP57" s="95"/>
      <c r="GQ57" s="95"/>
      <c r="GR57" s="95"/>
      <c r="GS57" s="95"/>
      <c r="GT57" s="95"/>
      <c r="GU57" s="95"/>
      <c r="GV57" s="95"/>
      <c r="GW57" s="95"/>
      <c r="GX57" s="95"/>
      <c r="GY57" s="95"/>
      <c r="GZ57" s="95"/>
      <c r="HA57" s="95"/>
      <c r="HB57" s="95"/>
      <c r="HC57" s="95"/>
      <c r="HD57" s="95"/>
      <c r="HE57" s="95"/>
      <c r="HF57" s="95"/>
      <c r="HG57" s="95"/>
      <c r="HH57" s="95"/>
      <c r="HI57" s="95"/>
      <c r="HJ57" s="95"/>
      <c r="HK57" s="95"/>
      <c r="HL57" s="95"/>
      <c r="HM57" s="95"/>
      <c r="HN57" s="95"/>
      <c r="HO57" s="95"/>
      <c r="HP57" s="95"/>
      <c r="HQ57" s="95"/>
      <c r="HR57" s="95"/>
      <c r="HS57" s="95"/>
      <c r="HT57" s="95"/>
      <c r="HU57" s="95"/>
      <c r="HV57" s="95"/>
      <c r="HW57" s="95"/>
      <c r="HX57" s="95"/>
      <c r="HY57" s="95"/>
      <c r="HZ57" s="95"/>
      <c r="IA57" s="95"/>
      <c r="IB57" s="95"/>
      <c r="IC57" s="95"/>
      <c r="ID57" s="95"/>
      <c r="IE57" s="95"/>
      <c r="IF57" s="95"/>
      <c r="IG57" s="95"/>
      <c r="IH57" s="95"/>
      <c r="II57" s="95"/>
      <c r="IJ57" s="95"/>
      <c r="IK57" s="95"/>
      <c r="IL57" s="95"/>
      <c r="IM57" s="95"/>
      <c r="IN57" s="95"/>
      <c r="IO57" s="95"/>
      <c r="IP57" s="95"/>
      <c r="IQ57" s="95"/>
      <c r="IR57" s="95"/>
      <c r="IS57" s="95"/>
      <c r="IT57" s="95"/>
      <c r="IU57" s="95"/>
      <c r="IV57" s="95"/>
      <c r="IW57" s="95"/>
      <c r="IX57" s="95"/>
      <c r="IY57" s="95"/>
      <c r="IZ57" s="95"/>
      <c r="JA57" s="95"/>
      <c r="JB57" s="95"/>
      <c r="JC57" s="95"/>
      <c r="JD57" s="95"/>
      <c r="JE57" s="95"/>
      <c r="JF57" s="95"/>
      <c r="JG57" s="95"/>
      <c r="JH57" s="95"/>
      <c r="JI57" s="95"/>
      <c r="JJ57" s="95"/>
      <c r="JK57" s="95"/>
      <c r="JL57" s="95"/>
      <c r="JM57" s="95"/>
      <c r="JN57" s="95"/>
      <c r="JO57" s="95"/>
      <c r="JP57" s="95"/>
      <c r="JQ57" s="95"/>
      <c r="JR57" s="95"/>
      <c r="JS57" s="95"/>
      <c r="JT57" s="95"/>
      <c r="JU57" s="95"/>
      <c r="JV57" s="95"/>
      <c r="JW57" s="95"/>
      <c r="JX57" s="95"/>
      <c r="JY57" s="95"/>
      <c r="JZ57" s="95"/>
    </row>
    <row r="58" spans="1:286" s="97" customFormat="1" ht="82.5" customHeight="1" x14ac:dyDescent="0.25">
      <c r="A58" s="297"/>
      <c r="B58" s="30" t="s">
        <v>45</v>
      </c>
      <c r="C58" s="31" t="s">
        <v>135</v>
      </c>
      <c r="D58" s="32" t="s">
        <v>89</v>
      </c>
      <c r="E58" s="32" t="s">
        <v>75</v>
      </c>
      <c r="F58" s="51" t="s">
        <v>61</v>
      </c>
      <c r="G58" s="83"/>
      <c r="H58" s="84">
        <f>SUM(H57)</f>
        <v>5</v>
      </c>
      <c r="I58" s="84">
        <f t="shared" ref="I58" si="110">SUM(I57)</f>
        <v>1</v>
      </c>
      <c r="J58" s="84">
        <f t="shared" ref="J58:O58" si="111">SUM(J57)</f>
        <v>0</v>
      </c>
      <c r="K58" s="84">
        <f t="shared" si="111"/>
        <v>3</v>
      </c>
      <c r="L58" s="84">
        <f t="shared" si="111"/>
        <v>0</v>
      </c>
      <c r="M58" s="84">
        <f t="shared" si="111"/>
        <v>1</v>
      </c>
      <c r="N58" s="84">
        <f t="shared" si="11"/>
        <v>5</v>
      </c>
      <c r="O58" s="84">
        <f t="shared" si="111"/>
        <v>0</v>
      </c>
      <c r="P58" s="84"/>
      <c r="Q58" s="96"/>
      <c r="R58" s="85"/>
      <c r="S58" s="53"/>
      <c r="T58" s="51"/>
      <c r="U58" s="84">
        <f>SUM(U57)</f>
        <v>5</v>
      </c>
      <c r="V58" s="84">
        <f t="shared" ref="V58" si="112">SUM(V57)</f>
        <v>1</v>
      </c>
      <c r="W58" s="84">
        <f t="shared" ref="W58:AJ58" si="113">SUM(W57)</f>
        <v>0</v>
      </c>
      <c r="X58" s="84">
        <f t="shared" si="113"/>
        <v>3</v>
      </c>
      <c r="Y58" s="84">
        <f t="shared" si="113"/>
        <v>0</v>
      </c>
      <c r="Z58" s="84">
        <f t="shared" si="113"/>
        <v>1</v>
      </c>
      <c r="AA58" s="84">
        <f t="shared" si="0"/>
        <v>5</v>
      </c>
      <c r="AB58" s="84">
        <f t="shared" si="113"/>
        <v>0</v>
      </c>
      <c r="AC58" s="84">
        <f t="shared" si="113"/>
        <v>0</v>
      </c>
      <c r="AD58" s="84">
        <f t="shared" si="113"/>
        <v>0</v>
      </c>
      <c r="AE58" s="84">
        <f t="shared" si="113"/>
        <v>0</v>
      </c>
      <c r="AF58" s="84">
        <f t="shared" si="113"/>
        <v>0</v>
      </c>
      <c r="AG58" s="84">
        <f t="shared" si="113"/>
        <v>0</v>
      </c>
      <c r="AH58" s="84">
        <f t="shared" si="113"/>
        <v>0</v>
      </c>
      <c r="AI58" s="84">
        <f t="shared" si="1"/>
        <v>0</v>
      </c>
      <c r="AJ58" s="84">
        <f t="shared" si="113"/>
        <v>0</v>
      </c>
      <c r="AK58" s="83"/>
      <c r="AL58" s="85"/>
      <c r="AM58" s="83"/>
      <c r="AN58" s="96"/>
      <c r="AO58" s="96"/>
      <c r="AP58" s="51"/>
      <c r="AQ58" s="83"/>
      <c r="AR58" s="83"/>
      <c r="AS58" s="83"/>
      <c r="AT58" s="83"/>
      <c r="AU58" s="87"/>
      <c r="AV58" s="83"/>
      <c r="AW58" s="51"/>
      <c r="AX58" s="51" t="s">
        <v>87</v>
      </c>
      <c r="AY58" s="95"/>
      <c r="AZ58" s="95"/>
      <c r="BA58" s="95"/>
      <c r="BB58" s="95"/>
      <c r="BC58" s="95"/>
      <c r="BD58" s="95"/>
      <c r="BE58" s="95"/>
      <c r="BF58" s="95"/>
      <c r="BG58" s="95"/>
      <c r="BH58" s="95"/>
      <c r="BI58" s="95"/>
      <c r="BJ58" s="95"/>
      <c r="BK58" s="95"/>
      <c r="BL58" s="95"/>
      <c r="BM58" s="95"/>
      <c r="BN58" s="95"/>
      <c r="BO58" s="95"/>
      <c r="BP58" s="95"/>
      <c r="BQ58" s="95"/>
      <c r="BR58" s="95"/>
      <c r="BS58" s="95"/>
      <c r="BT58" s="95"/>
      <c r="BU58" s="95"/>
      <c r="BV58" s="95"/>
      <c r="BW58" s="95"/>
      <c r="BX58" s="95"/>
      <c r="BY58" s="95"/>
      <c r="BZ58" s="95"/>
      <c r="CA58" s="95"/>
      <c r="CB58" s="95"/>
      <c r="CC58" s="95"/>
      <c r="CD58" s="95"/>
      <c r="CE58" s="95"/>
      <c r="CF58" s="95"/>
      <c r="CG58" s="95"/>
      <c r="CH58" s="95"/>
      <c r="CI58" s="95"/>
      <c r="CJ58" s="95"/>
      <c r="CK58" s="95"/>
      <c r="CL58" s="95"/>
      <c r="CM58" s="95"/>
      <c r="CN58" s="95"/>
      <c r="CO58" s="95"/>
      <c r="CP58" s="95"/>
      <c r="CQ58" s="95"/>
      <c r="CR58" s="95"/>
      <c r="CS58" s="95"/>
      <c r="CT58" s="95"/>
      <c r="CU58" s="95"/>
      <c r="CV58" s="95"/>
      <c r="CW58" s="95"/>
      <c r="CX58" s="95"/>
      <c r="CY58" s="95"/>
      <c r="CZ58" s="95"/>
      <c r="DA58" s="95"/>
      <c r="DB58" s="95"/>
      <c r="DC58" s="95"/>
      <c r="DD58" s="95"/>
      <c r="DE58" s="95"/>
      <c r="DF58" s="95"/>
      <c r="DG58" s="95"/>
      <c r="DH58" s="95"/>
      <c r="DI58" s="95"/>
      <c r="DJ58" s="95"/>
      <c r="DK58" s="95"/>
      <c r="DL58" s="95"/>
      <c r="DM58" s="95"/>
      <c r="DN58" s="95"/>
      <c r="DO58" s="95"/>
      <c r="DP58" s="95"/>
      <c r="DQ58" s="95"/>
      <c r="DR58" s="95"/>
      <c r="DS58" s="95"/>
      <c r="DT58" s="95"/>
      <c r="DU58" s="95"/>
      <c r="DV58" s="95"/>
      <c r="DW58" s="95"/>
      <c r="DX58" s="95"/>
      <c r="DY58" s="95"/>
      <c r="DZ58" s="95"/>
      <c r="EA58" s="95"/>
      <c r="EB58" s="95"/>
      <c r="EC58" s="95"/>
      <c r="ED58" s="95"/>
      <c r="EE58" s="95"/>
      <c r="EF58" s="95"/>
      <c r="EG58" s="95"/>
      <c r="EH58" s="95"/>
      <c r="EI58" s="95"/>
      <c r="EJ58" s="95"/>
      <c r="EK58" s="95"/>
      <c r="EL58" s="95"/>
      <c r="EM58" s="95"/>
      <c r="EN58" s="95"/>
      <c r="EO58" s="95"/>
      <c r="EP58" s="95"/>
      <c r="EQ58" s="95"/>
      <c r="ER58" s="95"/>
      <c r="ES58" s="95"/>
      <c r="ET58" s="95"/>
      <c r="EU58" s="95"/>
      <c r="EV58" s="95"/>
      <c r="EW58" s="95"/>
      <c r="EX58" s="95"/>
      <c r="EY58" s="95"/>
      <c r="EZ58" s="95"/>
      <c r="FA58" s="95"/>
      <c r="FB58" s="95"/>
      <c r="FC58" s="95"/>
      <c r="FD58" s="95"/>
      <c r="FE58" s="95"/>
      <c r="FF58" s="95"/>
      <c r="FG58" s="95"/>
      <c r="FH58" s="95"/>
      <c r="FI58" s="95"/>
      <c r="FJ58" s="95"/>
      <c r="FK58" s="95"/>
      <c r="FL58" s="95"/>
      <c r="FM58" s="95"/>
      <c r="FN58" s="95"/>
      <c r="FO58" s="95"/>
      <c r="FP58" s="95"/>
      <c r="FQ58" s="95"/>
      <c r="FR58" s="95"/>
      <c r="FS58" s="95"/>
      <c r="FT58" s="95"/>
      <c r="FU58" s="95"/>
      <c r="FV58" s="95"/>
      <c r="FW58" s="95"/>
      <c r="FX58" s="95"/>
      <c r="FY58" s="95"/>
      <c r="FZ58" s="95"/>
      <c r="GA58" s="95"/>
      <c r="GB58" s="95"/>
      <c r="GC58" s="95"/>
      <c r="GD58" s="95"/>
      <c r="GE58" s="95"/>
      <c r="GF58" s="95"/>
      <c r="GG58" s="95"/>
      <c r="GH58" s="95"/>
      <c r="GI58" s="95"/>
      <c r="GJ58" s="95"/>
      <c r="GK58" s="95"/>
      <c r="GL58" s="95"/>
      <c r="GM58" s="95"/>
      <c r="GN58" s="95"/>
      <c r="GO58" s="95"/>
      <c r="GP58" s="95"/>
      <c r="GQ58" s="95"/>
      <c r="GR58" s="95"/>
      <c r="GS58" s="95"/>
      <c r="GT58" s="95"/>
      <c r="GU58" s="95"/>
      <c r="GV58" s="95"/>
      <c r="GW58" s="95"/>
      <c r="GX58" s="95"/>
      <c r="GY58" s="95"/>
      <c r="GZ58" s="95"/>
      <c r="HA58" s="95"/>
      <c r="HB58" s="95"/>
      <c r="HC58" s="95"/>
      <c r="HD58" s="95"/>
      <c r="HE58" s="95"/>
      <c r="HF58" s="95"/>
      <c r="HG58" s="95"/>
      <c r="HH58" s="95"/>
      <c r="HI58" s="95"/>
      <c r="HJ58" s="95"/>
      <c r="HK58" s="95"/>
      <c r="HL58" s="95"/>
      <c r="HM58" s="95"/>
      <c r="HN58" s="95"/>
      <c r="HO58" s="95"/>
      <c r="HP58" s="95"/>
      <c r="HQ58" s="95"/>
      <c r="HR58" s="95"/>
      <c r="HS58" s="95"/>
      <c r="HT58" s="95"/>
      <c r="HU58" s="95"/>
      <c r="HV58" s="95"/>
      <c r="HW58" s="95"/>
      <c r="HX58" s="95"/>
      <c r="HY58" s="95"/>
      <c r="HZ58" s="95"/>
      <c r="IA58" s="95"/>
      <c r="IB58" s="95"/>
      <c r="IC58" s="95"/>
      <c r="ID58" s="95"/>
      <c r="IE58" s="95"/>
      <c r="IF58" s="95"/>
      <c r="IG58" s="95"/>
      <c r="IH58" s="95"/>
      <c r="II58" s="95"/>
      <c r="IJ58" s="95"/>
      <c r="IK58" s="95"/>
      <c r="IL58" s="95"/>
      <c r="IM58" s="95"/>
      <c r="IN58" s="95"/>
      <c r="IO58" s="95"/>
      <c r="IP58" s="95"/>
      <c r="IQ58" s="95"/>
      <c r="IR58" s="95"/>
      <c r="IS58" s="95"/>
      <c r="IT58" s="95"/>
      <c r="IU58" s="95"/>
      <c r="IV58" s="95"/>
      <c r="IW58" s="95"/>
      <c r="IX58" s="95"/>
      <c r="IY58" s="95"/>
      <c r="IZ58" s="95"/>
      <c r="JA58" s="95"/>
      <c r="JB58" s="95"/>
      <c r="JC58" s="95"/>
      <c r="JD58" s="95"/>
      <c r="JE58" s="95"/>
      <c r="JF58" s="95"/>
      <c r="JG58" s="95"/>
      <c r="JH58" s="95"/>
      <c r="JI58" s="95"/>
      <c r="JJ58" s="95"/>
      <c r="JK58" s="95"/>
      <c r="JL58" s="95"/>
      <c r="JM58" s="95"/>
      <c r="JN58" s="95"/>
      <c r="JO58" s="95"/>
      <c r="JP58" s="95"/>
      <c r="JQ58" s="95"/>
      <c r="JR58" s="95"/>
      <c r="JS58" s="95"/>
      <c r="JT58" s="95"/>
      <c r="JU58" s="95"/>
      <c r="JV58" s="95"/>
      <c r="JW58" s="95"/>
      <c r="JX58" s="95"/>
      <c r="JY58" s="95"/>
      <c r="JZ58" s="95"/>
    </row>
    <row r="59" spans="1:286" s="95" customFormat="1" ht="82.5" customHeight="1" x14ac:dyDescent="0.25">
      <c r="A59" s="297"/>
      <c r="B59" s="30" t="s">
        <v>45</v>
      </c>
      <c r="C59" s="31" t="s">
        <v>138</v>
      </c>
      <c r="D59" s="32" t="s">
        <v>106</v>
      </c>
      <c r="E59" s="32" t="s">
        <v>48</v>
      </c>
      <c r="F59" s="65" t="s">
        <v>49</v>
      </c>
      <c r="G59" s="33" t="s">
        <v>139</v>
      </c>
      <c r="H59" s="65">
        <v>70</v>
      </c>
      <c r="I59" s="89">
        <v>5</v>
      </c>
      <c r="J59" s="90">
        <v>8</v>
      </c>
      <c r="K59" s="91">
        <v>10</v>
      </c>
      <c r="L59" s="92">
        <v>5</v>
      </c>
      <c r="M59" s="81">
        <v>30</v>
      </c>
      <c r="N59" s="70">
        <f t="shared" si="11"/>
        <v>58</v>
      </c>
      <c r="O59" s="71">
        <v>0</v>
      </c>
      <c r="P59" s="71"/>
      <c r="Q59" s="65"/>
      <c r="R59" s="33" t="s">
        <v>51</v>
      </c>
      <c r="S59" s="36" t="s">
        <v>140</v>
      </c>
      <c r="T59" s="109" t="s">
        <v>77</v>
      </c>
      <c r="U59" s="65">
        <v>70</v>
      </c>
      <c r="V59" s="197">
        <v>5</v>
      </c>
      <c r="W59" s="90">
        <v>8</v>
      </c>
      <c r="X59" s="91">
        <v>10</v>
      </c>
      <c r="Y59" s="92">
        <v>17</v>
      </c>
      <c r="Z59" s="81">
        <v>30</v>
      </c>
      <c r="AA59" s="70">
        <f t="shared" si="0"/>
        <v>70</v>
      </c>
      <c r="AB59" s="35">
        <v>0</v>
      </c>
      <c r="AC59" s="65">
        <v>1</v>
      </c>
      <c r="AD59" s="199">
        <v>0</v>
      </c>
      <c r="AE59" s="103">
        <v>0</v>
      </c>
      <c r="AF59" s="104">
        <v>0</v>
      </c>
      <c r="AG59" s="105">
        <v>0</v>
      </c>
      <c r="AH59" s="106">
        <v>0</v>
      </c>
      <c r="AI59" s="70">
        <f t="shared" si="1"/>
        <v>0</v>
      </c>
      <c r="AJ59" s="71">
        <v>0</v>
      </c>
      <c r="AK59" s="65"/>
      <c r="AL59" s="65"/>
      <c r="AM59" s="72"/>
      <c r="AN59" s="65"/>
      <c r="AO59" s="72"/>
      <c r="AP59" s="33" t="s">
        <v>58</v>
      </c>
      <c r="AQ59" s="65">
        <v>1</v>
      </c>
      <c r="AR59" s="73">
        <v>0</v>
      </c>
      <c r="AS59" s="74">
        <v>1</v>
      </c>
      <c r="AT59" s="75">
        <v>0</v>
      </c>
      <c r="AU59" s="76"/>
      <c r="AV59" s="65"/>
      <c r="AW59" s="33"/>
      <c r="AX59" s="32" t="s">
        <v>108</v>
      </c>
    </row>
    <row r="60" spans="1:286" s="97" customFormat="1" ht="82.5" customHeight="1" x14ac:dyDescent="0.25">
      <c r="A60" s="297"/>
      <c r="B60" s="30" t="s">
        <v>45</v>
      </c>
      <c r="C60" s="31" t="s">
        <v>138</v>
      </c>
      <c r="D60" s="32" t="s">
        <v>106</v>
      </c>
      <c r="E60" s="32" t="s">
        <v>48</v>
      </c>
      <c r="F60" s="51" t="s">
        <v>61</v>
      </c>
      <c r="G60" s="83"/>
      <c r="H60" s="84">
        <f>SUM(H59)</f>
        <v>70</v>
      </c>
      <c r="I60" s="84">
        <f t="shared" ref="I60" si="114">SUM(I59)</f>
        <v>5</v>
      </c>
      <c r="J60" s="84">
        <f t="shared" ref="J60:M60" si="115">SUM(J59)</f>
        <v>8</v>
      </c>
      <c r="K60" s="84">
        <f t="shared" si="115"/>
        <v>10</v>
      </c>
      <c r="L60" s="84">
        <f t="shared" si="115"/>
        <v>5</v>
      </c>
      <c r="M60" s="84">
        <f t="shared" si="115"/>
        <v>30</v>
      </c>
      <c r="N60" s="84">
        <f t="shared" si="11"/>
        <v>58</v>
      </c>
      <c r="O60" s="84">
        <f t="shared" ref="O60:P60" si="116">SUM(O59)</f>
        <v>0</v>
      </c>
      <c r="P60" s="84">
        <f t="shared" si="116"/>
        <v>0</v>
      </c>
      <c r="Q60" s="96"/>
      <c r="R60" s="85"/>
      <c r="S60" s="53"/>
      <c r="T60" s="51"/>
      <c r="U60" s="84">
        <f t="shared" ref="U60:AJ60" si="117">SUM(U59)</f>
        <v>70</v>
      </c>
      <c r="V60" s="84">
        <f t="shared" si="117"/>
        <v>5</v>
      </c>
      <c r="W60" s="84">
        <f t="shared" si="117"/>
        <v>8</v>
      </c>
      <c r="X60" s="84">
        <f t="shared" si="117"/>
        <v>10</v>
      </c>
      <c r="Y60" s="84">
        <f t="shared" si="117"/>
        <v>17</v>
      </c>
      <c r="Z60" s="84">
        <f t="shared" si="117"/>
        <v>30</v>
      </c>
      <c r="AA60" s="84">
        <f t="shared" si="0"/>
        <v>70</v>
      </c>
      <c r="AB60" s="84">
        <f t="shared" si="117"/>
        <v>0</v>
      </c>
      <c r="AC60" s="84">
        <f t="shared" si="117"/>
        <v>1</v>
      </c>
      <c r="AD60" s="84">
        <f t="shared" si="117"/>
        <v>0</v>
      </c>
      <c r="AE60" s="84">
        <f t="shared" si="117"/>
        <v>0</v>
      </c>
      <c r="AF60" s="84">
        <f t="shared" si="117"/>
        <v>0</v>
      </c>
      <c r="AG60" s="84">
        <f t="shared" si="117"/>
        <v>0</v>
      </c>
      <c r="AH60" s="84">
        <f t="shared" si="117"/>
        <v>0</v>
      </c>
      <c r="AI60" s="84">
        <f t="shared" si="1"/>
        <v>0</v>
      </c>
      <c r="AJ60" s="84">
        <f t="shared" si="117"/>
        <v>0</v>
      </c>
      <c r="AK60" s="83"/>
      <c r="AL60" s="85"/>
      <c r="AM60" s="83"/>
      <c r="AN60" s="96"/>
      <c r="AO60" s="96"/>
      <c r="AP60" s="51"/>
      <c r="AQ60" s="83">
        <f>SUM(AQ59)</f>
        <v>1</v>
      </c>
      <c r="AR60" s="83">
        <f t="shared" ref="AR60:AT60" si="118">SUM(AR59)</f>
        <v>0</v>
      </c>
      <c r="AS60" s="83">
        <f t="shared" si="118"/>
        <v>1</v>
      </c>
      <c r="AT60" s="83">
        <f t="shared" si="118"/>
        <v>0</v>
      </c>
      <c r="AU60" s="87"/>
      <c r="AV60" s="83"/>
      <c r="AW60" s="51"/>
      <c r="AX60" s="51" t="s">
        <v>108</v>
      </c>
      <c r="AY60" s="95"/>
      <c r="AZ60" s="95"/>
      <c r="BA60" s="95"/>
      <c r="BB60" s="95"/>
      <c r="BC60" s="95"/>
      <c r="BD60" s="95"/>
      <c r="BE60" s="95"/>
      <c r="BF60" s="95"/>
      <c r="BG60" s="95"/>
      <c r="BH60" s="95"/>
      <c r="BI60" s="95"/>
      <c r="BJ60" s="95"/>
      <c r="BK60" s="95"/>
      <c r="BL60" s="95"/>
      <c r="BM60" s="95"/>
      <c r="BN60" s="95"/>
      <c r="BO60" s="95"/>
      <c r="BP60" s="95"/>
      <c r="BQ60" s="95"/>
      <c r="BR60" s="95"/>
      <c r="BS60" s="95"/>
      <c r="BT60" s="95"/>
      <c r="BU60" s="95"/>
      <c r="BV60" s="95"/>
      <c r="BW60" s="95"/>
      <c r="BX60" s="95"/>
      <c r="BY60" s="95"/>
      <c r="BZ60" s="95"/>
      <c r="CA60" s="95"/>
      <c r="CB60" s="95"/>
      <c r="CC60" s="95"/>
      <c r="CD60" s="95"/>
      <c r="CE60" s="95"/>
      <c r="CF60" s="95"/>
      <c r="CG60" s="95"/>
      <c r="CH60" s="95"/>
      <c r="CI60" s="95"/>
      <c r="CJ60" s="95"/>
      <c r="CK60" s="95"/>
      <c r="CL60" s="95"/>
      <c r="CM60" s="95"/>
      <c r="CN60" s="95"/>
      <c r="CO60" s="95"/>
      <c r="CP60" s="95"/>
      <c r="CQ60" s="95"/>
      <c r="CR60" s="95"/>
      <c r="CS60" s="95"/>
      <c r="CT60" s="95"/>
      <c r="CU60" s="95"/>
      <c r="CV60" s="95"/>
      <c r="CW60" s="95"/>
      <c r="CX60" s="95"/>
      <c r="CY60" s="95"/>
      <c r="CZ60" s="95"/>
      <c r="DA60" s="95"/>
      <c r="DB60" s="95"/>
      <c r="DC60" s="95"/>
      <c r="DD60" s="95"/>
      <c r="DE60" s="95"/>
      <c r="DF60" s="95"/>
      <c r="DG60" s="95"/>
      <c r="DH60" s="95"/>
      <c r="DI60" s="95"/>
      <c r="DJ60" s="95"/>
      <c r="DK60" s="95"/>
      <c r="DL60" s="95"/>
      <c r="DM60" s="95"/>
      <c r="DN60" s="95"/>
      <c r="DO60" s="95"/>
      <c r="DP60" s="95"/>
      <c r="DQ60" s="95"/>
      <c r="DR60" s="95"/>
      <c r="DS60" s="95"/>
      <c r="DT60" s="95"/>
      <c r="DU60" s="95"/>
      <c r="DV60" s="95"/>
      <c r="DW60" s="95"/>
      <c r="DX60" s="95"/>
      <c r="DY60" s="95"/>
      <c r="DZ60" s="95"/>
      <c r="EA60" s="95"/>
      <c r="EB60" s="95"/>
      <c r="EC60" s="95"/>
      <c r="ED60" s="95"/>
      <c r="EE60" s="95"/>
      <c r="EF60" s="95"/>
      <c r="EG60" s="95"/>
      <c r="EH60" s="95"/>
      <c r="EI60" s="95"/>
      <c r="EJ60" s="95"/>
      <c r="EK60" s="95"/>
      <c r="EL60" s="95"/>
      <c r="EM60" s="95"/>
      <c r="EN60" s="95"/>
      <c r="EO60" s="95"/>
      <c r="EP60" s="95"/>
      <c r="EQ60" s="95"/>
      <c r="ER60" s="95"/>
      <c r="ES60" s="95"/>
      <c r="ET60" s="95"/>
      <c r="EU60" s="95"/>
      <c r="EV60" s="95"/>
      <c r="EW60" s="95"/>
      <c r="EX60" s="95"/>
      <c r="EY60" s="95"/>
      <c r="EZ60" s="95"/>
      <c r="FA60" s="95"/>
      <c r="FB60" s="95"/>
      <c r="FC60" s="95"/>
      <c r="FD60" s="95"/>
      <c r="FE60" s="95"/>
      <c r="FF60" s="95"/>
      <c r="FG60" s="95"/>
      <c r="FH60" s="95"/>
      <c r="FI60" s="95"/>
      <c r="FJ60" s="95"/>
      <c r="FK60" s="95"/>
      <c r="FL60" s="95"/>
      <c r="FM60" s="95"/>
      <c r="FN60" s="95"/>
      <c r="FO60" s="95"/>
      <c r="FP60" s="95"/>
      <c r="FQ60" s="95"/>
      <c r="FR60" s="95"/>
      <c r="FS60" s="95"/>
      <c r="FT60" s="95"/>
      <c r="FU60" s="95"/>
      <c r="FV60" s="95"/>
      <c r="FW60" s="95"/>
      <c r="FX60" s="95"/>
      <c r="FY60" s="95"/>
      <c r="FZ60" s="95"/>
      <c r="GA60" s="95"/>
      <c r="GB60" s="95"/>
      <c r="GC60" s="95"/>
      <c r="GD60" s="95"/>
      <c r="GE60" s="95"/>
      <c r="GF60" s="95"/>
      <c r="GG60" s="95"/>
      <c r="GH60" s="95"/>
      <c r="GI60" s="95"/>
      <c r="GJ60" s="95"/>
      <c r="GK60" s="95"/>
      <c r="GL60" s="95"/>
      <c r="GM60" s="95"/>
      <c r="GN60" s="95"/>
      <c r="GO60" s="95"/>
      <c r="GP60" s="95"/>
      <c r="GQ60" s="95"/>
      <c r="GR60" s="95"/>
      <c r="GS60" s="95"/>
      <c r="GT60" s="95"/>
      <c r="GU60" s="95"/>
      <c r="GV60" s="95"/>
      <c r="GW60" s="95"/>
      <c r="GX60" s="95"/>
      <c r="GY60" s="95"/>
      <c r="GZ60" s="95"/>
      <c r="HA60" s="95"/>
      <c r="HB60" s="95"/>
      <c r="HC60" s="95"/>
      <c r="HD60" s="95"/>
      <c r="HE60" s="95"/>
      <c r="HF60" s="95"/>
      <c r="HG60" s="95"/>
      <c r="HH60" s="95"/>
      <c r="HI60" s="95"/>
      <c r="HJ60" s="95"/>
      <c r="HK60" s="95"/>
      <c r="HL60" s="95"/>
      <c r="HM60" s="95"/>
      <c r="HN60" s="95"/>
      <c r="HO60" s="95"/>
      <c r="HP60" s="95"/>
      <c r="HQ60" s="95"/>
      <c r="HR60" s="95"/>
      <c r="HS60" s="95"/>
      <c r="HT60" s="95"/>
      <c r="HU60" s="95"/>
      <c r="HV60" s="95"/>
      <c r="HW60" s="95"/>
      <c r="HX60" s="95"/>
      <c r="HY60" s="95"/>
      <c r="HZ60" s="95"/>
      <c r="IA60" s="95"/>
      <c r="IB60" s="95"/>
      <c r="IC60" s="95"/>
      <c r="ID60" s="95"/>
      <c r="IE60" s="95"/>
      <c r="IF60" s="95"/>
      <c r="IG60" s="95"/>
      <c r="IH60" s="95"/>
      <c r="II60" s="95"/>
      <c r="IJ60" s="95"/>
      <c r="IK60" s="95"/>
      <c r="IL60" s="95"/>
      <c r="IM60" s="95"/>
      <c r="IN60" s="95"/>
      <c r="IO60" s="95"/>
      <c r="IP60" s="95"/>
      <c r="IQ60" s="95"/>
      <c r="IR60" s="95"/>
      <c r="IS60" s="95"/>
      <c r="IT60" s="95"/>
      <c r="IU60" s="95"/>
      <c r="IV60" s="95"/>
      <c r="IW60" s="95"/>
      <c r="IX60" s="95"/>
      <c r="IY60" s="95"/>
      <c r="IZ60" s="95"/>
      <c r="JA60" s="95"/>
      <c r="JB60" s="95"/>
      <c r="JC60" s="95"/>
      <c r="JD60" s="95"/>
      <c r="JE60" s="95"/>
      <c r="JF60" s="95"/>
      <c r="JG60" s="95"/>
      <c r="JH60" s="95"/>
      <c r="JI60" s="95"/>
      <c r="JJ60" s="95"/>
      <c r="JK60" s="95"/>
      <c r="JL60" s="95"/>
      <c r="JM60" s="95"/>
      <c r="JN60" s="95"/>
      <c r="JO60" s="95"/>
      <c r="JP60" s="95"/>
      <c r="JQ60" s="95"/>
      <c r="JR60" s="95"/>
      <c r="JS60" s="95"/>
      <c r="JT60" s="95"/>
      <c r="JU60" s="95"/>
      <c r="JV60" s="95"/>
      <c r="JW60" s="95"/>
      <c r="JX60" s="95"/>
      <c r="JY60" s="95"/>
      <c r="JZ60" s="95"/>
    </row>
    <row r="61" spans="1:286" s="95" customFormat="1" ht="82.5" customHeight="1" x14ac:dyDescent="0.25">
      <c r="A61" s="297"/>
      <c r="B61" s="30" t="s">
        <v>45</v>
      </c>
      <c r="C61" s="31" t="s">
        <v>141</v>
      </c>
      <c r="D61" s="32" t="s">
        <v>106</v>
      </c>
      <c r="E61" s="32" t="s">
        <v>64</v>
      </c>
      <c r="F61" s="65" t="s">
        <v>49</v>
      </c>
      <c r="G61" s="33" t="s">
        <v>139</v>
      </c>
      <c r="H61" s="65">
        <v>10</v>
      </c>
      <c r="I61" s="89">
        <v>3</v>
      </c>
      <c r="J61" s="90">
        <v>0</v>
      </c>
      <c r="K61" s="91">
        <v>4</v>
      </c>
      <c r="L61" s="92">
        <v>1</v>
      </c>
      <c r="M61" s="81">
        <v>1</v>
      </c>
      <c r="N61" s="70">
        <f t="shared" si="11"/>
        <v>9</v>
      </c>
      <c r="O61" s="71">
        <v>0</v>
      </c>
      <c r="P61" s="71"/>
      <c r="Q61" s="65"/>
      <c r="R61" s="33" t="s">
        <v>51</v>
      </c>
      <c r="S61" s="36" t="s">
        <v>142</v>
      </c>
      <c r="T61" s="109" t="s">
        <v>77</v>
      </c>
      <c r="U61" s="65">
        <v>10</v>
      </c>
      <c r="V61" s="197">
        <v>3</v>
      </c>
      <c r="W61" s="90">
        <v>0</v>
      </c>
      <c r="X61" s="91">
        <v>4</v>
      </c>
      <c r="Y61" s="92">
        <v>2</v>
      </c>
      <c r="Z61" s="81">
        <v>1</v>
      </c>
      <c r="AA61" s="70">
        <f t="shared" si="0"/>
        <v>10</v>
      </c>
      <c r="AB61" s="35">
        <v>0</v>
      </c>
      <c r="AC61" s="65">
        <v>5</v>
      </c>
      <c r="AD61" s="197">
        <v>0</v>
      </c>
      <c r="AE61" s="90">
        <v>0</v>
      </c>
      <c r="AF61" s="91">
        <v>3</v>
      </c>
      <c r="AG61" s="92">
        <v>0</v>
      </c>
      <c r="AH61" s="81">
        <v>0</v>
      </c>
      <c r="AI61" s="70">
        <f t="shared" si="1"/>
        <v>3</v>
      </c>
      <c r="AJ61" s="71">
        <v>0</v>
      </c>
      <c r="AK61" s="65"/>
      <c r="AL61" s="65"/>
      <c r="AM61" s="72"/>
      <c r="AN61" s="65"/>
      <c r="AO61" s="72"/>
      <c r="AP61" s="33" t="s">
        <v>58</v>
      </c>
      <c r="AQ61" s="65">
        <v>5</v>
      </c>
      <c r="AR61" s="73">
        <v>0</v>
      </c>
      <c r="AS61" s="74">
        <v>5</v>
      </c>
      <c r="AT61" s="75">
        <v>0</v>
      </c>
      <c r="AU61" s="76"/>
      <c r="AV61" s="65"/>
      <c r="AW61" s="33"/>
      <c r="AX61" s="32" t="s">
        <v>108</v>
      </c>
    </row>
    <row r="62" spans="1:286" s="97" customFormat="1" ht="82.5" customHeight="1" x14ac:dyDescent="0.25">
      <c r="A62" s="297"/>
      <c r="B62" s="30" t="s">
        <v>45</v>
      </c>
      <c r="C62" s="31" t="s">
        <v>141</v>
      </c>
      <c r="D62" s="32" t="s">
        <v>106</v>
      </c>
      <c r="E62" s="32" t="s">
        <v>64</v>
      </c>
      <c r="F62" s="51" t="s">
        <v>61</v>
      </c>
      <c r="G62" s="83"/>
      <c r="H62" s="84">
        <f>SUM(H61)</f>
        <v>10</v>
      </c>
      <c r="I62" s="84">
        <f t="shared" ref="I62" si="119">SUM(I61)</f>
        <v>3</v>
      </c>
      <c r="J62" s="84">
        <f t="shared" ref="J62:O62" si="120">SUM(J61)</f>
        <v>0</v>
      </c>
      <c r="K62" s="84">
        <f t="shared" si="120"/>
        <v>4</v>
      </c>
      <c r="L62" s="84">
        <f t="shared" si="120"/>
        <v>1</v>
      </c>
      <c r="M62" s="84">
        <f t="shared" si="120"/>
        <v>1</v>
      </c>
      <c r="N62" s="84">
        <f t="shared" si="11"/>
        <v>9</v>
      </c>
      <c r="O62" s="84">
        <f t="shared" si="120"/>
        <v>0</v>
      </c>
      <c r="P62" s="84">
        <v>0</v>
      </c>
      <c r="Q62" s="96"/>
      <c r="R62" s="85"/>
      <c r="S62" s="53"/>
      <c r="T62" s="51"/>
      <c r="U62" s="84">
        <f t="shared" ref="U62:AJ62" si="121">SUM(U61)</f>
        <v>10</v>
      </c>
      <c r="V62" s="84">
        <f t="shared" si="121"/>
        <v>3</v>
      </c>
      <c r="W62" s="84">
        <f t="shared" si="121"/>
        <v>0</v>
      </c>
      <c r="X62" s="84">
        <f t="shared" si="121"/>
        <v>4</v>
      </c>
      <c r="Y62" s="84">
        <f t="shared" si="121"/>
        <v>2</v>
      </c>
      <c r="Z62" s="84">
        <f t="shared" si="121"/>
        <v>1</v>
      </c>
      <c r="AA62" s="84">
        <f t="shared" si="0"/>
        <v>10</v>
      </c>
      <c r="AB62" s="84">
        <f t="shared" si="121"/>
        <v>0</v>
      </c>
      <c r="AC62" s="84">
        <f t="shared" si="121"/>
        <v>5</v>
      </c>
      <c r="AD62" s="84">
        <f t="shared" si="121"/>
        <v>0</v>
      </c>
      <c r="AE62" s="84">
        <f t="shared" si="121"/>
        <v>0</v>
      </c>
      <c r="AF62" s="84">
        <f t="shared" si="121"/>
        <v>3</v>
      </c>
      <c r="AG62" s="84">
        <f t="shared" si="121"/>
        <v>0</v>
      </c>
      <c r="AH62" s="84">
        <f t="shared" si="121"/>
        <v>0</v>
      </c>
      <c r="AI62" s="84">
        <f t="shared" si="1"/>
        <v>3</v>
      </c>
      <c r="AJ62" s="84">
        <f t="shared" si="121"/>
        <v>0</v>
      </c>
      <c r="AK62" s="83"/>
      <c r="AL62" s="85"/>
      <c r="AM62" s="83"/>
      <c r="AN62" s="96"/>
      <c r="AO62" s="96"/>
      <c r="AP62" s="51"/>
      <c r="AQ62" s="83">
        <f>SUM(AQ61)</f>
        <v>5</v>
      </c>
      <c r="AR62" s="83">
        <f t="shared" ref="AR62:AT62" si="122">SUM(AR61)</f>
        <v>0</v>
      </c>
      <c r="AS62" s="83">
        <f t="shared" si="122"/>
        <v>5</v>
      </c>
      <c r="AT62" s="83">
        <f t="shared" si="122"/>
        <v>0</v>
      </c>
      <c r="AU62" s="87"/>
      <c r="AV62" s="83"/>
      <c r="AW62" s="51"/>
      <c r="AX62" s="51" t="s">
        <v>108</v>
      </c>
      <c r="AY62" s="95"/>
      <c r="AZ62" s="95"/>
      <c r="BA62" s="95"/>
      <c r="BB62" s="95"/>
      <c r="BC62" s="95"/>
      <c r="BD62" s="95"/>
      <c r="BE62" s="95"/>
      <c r="BF62" s="95"/>
      <c r="BG62" s="95"/>
      <c r="BH62" s="95"/>
      <c r="BI62" s="95"/>
      <c r="BJ62" s="95"/>
      <c r="BK62" s="95"/>
      <c r="BL62" s="95"/>
      <c r="BM62" s="95"/>
      <c r="BN62" s="95"/>
      <c r="BO62" s="95"/>
      <c r="BP62" s="95"/>
      <c r="BQ62" s="95"/>
      <c r="BR62" s="95"/>
      <c r="BS62" s="95"/>
      <c r="BT62" s="95"/>
      <c r="BU62" s="95"/>
      <c r="BV62" s="95"/>
      <c r="BW62" s="95"/>
      <c r="BX62" s="95"/>
      <c r="BY62" s="95"/>
      <c r="BZ62" s="95"/>
      <c r="CA62" s="95"/>
      <c r="CB62" s="95"/>
      <c r="CC62" s="95"/>
      <c r="CD62" s="95"/>
      <c r="CE62" s="95"/>
      <c r="CF62" s="95"/>
      <c r="CG62" s="95"/>
      <c r="CH62" s="95"/>
      <c r="CI62" s="95"/>
      <c r="CJ62" s="95"/>
      <c r="CK62" s="95"/>
      <c r="CL62" s="95"/>
      <c r="CM62" s="95"/>
      <c r="CN62" s="95"/>
      <c r="CO62" s="95"/>
      <c r="CP62" s="95"/>
      <c r="CQ62" s="95"/>
      <c r="CR62" s="95"/>
      <c r="CS62" s="95"/>
      <c r="CT62" s="95"/>
      <c r="CU62" s="95"/>
      <c r="CV62" s="95"/>
      <c r="CW62" s="95"/>
      <c r="CX62" s="95"/>
      <c r="CY62" s="95"/>
      <c r="CZ62" s="95"/>
      <c r="DA62" s="95"/>
      <c r="DB62" s="95"/>
      <c r="DC62" s="95"/>
      <c r="DD62" s="95"/>
      <c r="DE62" s="95"/>
      <c r="DF62" s="95"/>
      <c r="DG62" s="95"/>
      <c r="DH62" s="95"/>
      <c r="DI62" s="95"/>
      <c r="DJ62" s="95"/>
      <c r="DK62" s="95"/>
      <c r="DL62" s="95"/>
      <c r="DM62" s="95"/>
      <c r="DN62" s="95"/>
      <c r="DO62" s="95"/>
      <c r="DP62" s="95"/>
      <c r="DQ62" s="95"/>
      <c r="DR62" s="95"/>
      <c r="DS62" s="95"/>
      <c r="DT62" s="95"/>
      <c r="DU62" s="95"/>
      <c r="DV62" s="95"/>
      <c r="DW62" s="95"/>
      <c r="DX62" s="95"/>
      <c r="DY62" s="95"/>
      <c r="DZ62" s="95"/>
      <c r="EA62" s="95"/>
      <c r="EB62" s="95"/>
      <c r="EC62" s="95"/>
      <c r="ED62" s="95"/>
      <c r="EE62" s="95"/>
      <c r="EF62" s="95"/>
      <c r="EG62" s="95"/>
      <c r="EH62" s="95"/>
      <c r="EI62" s="95"/>
      <c r="EJ62" s="95"/>
      <c r="EK62" s="95"/>
      <c r="EL62" s="95"/>
      <c r="EM62" s="95"/>
      <c r="EN62" s="95"/>
      <c r="EO62" s="95"/>
      <c r="EP62" s="95"/>
      <c r="EQ62" s="95"/>
      <c r="ER62" s="95"/>
      <c r="ES62" s="95"/>
      <c r="ET62" s="95"/>
      <c r="EU62" s="95"/>
      <c r="EV62" s="95"/>
      <c r="EW62" s="95"/>
      <c r="EX62" s="95"/>
      <c r="EY62" s="95"/>
      <c r="EZ62" s="95"/>
      <c r="FA62" s="95"/>
      <c r="FB62" s="95"/>
      <c r="FC62" s="95"/>
      <c r="FD62" s="95"/>
      <c r="FE62" s="95"/>
      <c r="FF62" s="95"/>
      <c r="FG62" s="95"/>
      <c r="FH62" s="95"/>
      <c r="FI62" s="95"/>
      <c r="FJ62" s="95"/>
      <c r="FK62" s="95"/>
      <c r="FL62" s="95"/>
      <c r="FM62" s="95"/>
      <c r="FN62" s="95"/>
      <c r="FO62" s="95"/>
      <c r="FP62" s="95"/>
      <c r="FQ62" s="95"/>
      <c r="FR62" s="95"/>
      <c r="FS62" s="95"/>
      <c r="FT62" s="95"/>
      <c r="FU62" s="95"/>
      <c r="FV62" s="95"/>
      <c r="FW62" s="95"/>
      <c r="FX62" s="95"/>
      <c r="FY62" s="95"/>
      <c r="FZ62" s="95"/>
      <c r="GA62" s="95"/>
      <c r="GB62" s="95"/>
      <c r="GC62" s="95"/>
      <c r="GD62" s="95"/>
      <c r="GE62" s="95"/>
      <c r="GF62" s="95"/>
      <c r="GG62" s="95"/>
      <c r="GH62" s="95"/>
      <c r="GI62" s="95"/>
      <c r="GJ62" s="95"/>
      <c r="GK62" s="95"/>
      <c r="GL62" s="95"/>
      <c r="GM62" s="95"/>
      <c r="GN62" s="95"/>
      <c r="GO62" s="95"/>
      <c r="GP62" s="95"/>
      <c r="GQ62" s="95"/>
      <c r="GR62" s="95"/>
      <c r="GS62" s="95"/>
      <c r="GT62" s="95"/>
      <c r="GU62" s="95"/>
      <c r="GV62" s="95"/>
      <c r="GW62" s="95"/>
      <c r="GX62" s="95"/>
      <c r="GY62" s="95"/>
      <c r="GZ62" s="95"/>
      <c r="HA62" s="95"/>
      <c r="HB62" s="95"/>
      <c r="HC62" s="95"/>
      <c r="HD62" s="95"/>
      <c r="HE62" s="95"/>
      <c r="HF62" s="95"/>
      <c r="HG62" s="95"/>
      <c r="HH62" s="95"/>
      <c r="HI62" s="95"/>
      <c r="HJ62" s="95"/>
      <c r="HK62" s="95"/>
      <c r="HL62" s="95"/>
      <c r="HM62" s="95"/>
      <c r="HN62" s="95"/>
      <c r="HO62" s="95"/>
      <c r="HP62" s="95"/>
      <c r="HQ62" s="95"/>
      <c r="HR62" s="95"/>
      <c r="HS62" s="95"/>
      <c r="HT62" s="95"/>
      <c r="HU62" s="95"/>
      <c r="HV62" s="95"/>
      <c r="HW62" s="95"/>
      <c r="HX62" s="95"/>
      <c r="HY62" s="95"/>
      <c r="HZ62" s="95"/>
      <c r="IA62" s="95"/>
      <c r="IB62" s="95"/>
      <c r="IC62" s="95"/>
      <c r="ID62" s="95"/>
      <c r="IE62" s="95"/>
      <c r="IF62" s="95"/>
      <c r="IG62" s="95"/>
      <c r="IH62" s="95"/>
      <c r="II62" s="95"/>
      <c r="IJ62" s="95"/>
      <c r="IK62" s="95"/>
      <c r="IL62" s="95"/>
      <c r="IM62" s="95"/>
      <c r="IN62" s="95"/>
      <c r="IO62" s="95"/>
      <c r="IP62" s="95"/>
      <c r="IQ62" s="95"/>
      <c r="IR62" s="95"/>
      <c r="IS62" s="95"/>
      <c r="IT62" s="95"/>
      <c r="IU62" s="95"/>
      <c r="IV62" s="95"/>
      <c r="IW62" s="95"/>
      <c r="IX62" s="95"/>
      <c r="IY62" s="95"/>
      <c r="IZ62" s="95"/>
      <c r="JA62" s="95"/>
      <c r="JB62" s="95"/>
      <c r="JC62" s="95"/>
      <c r="JD62" s="95"/>
      <c r="JE62" s="95"/>
      <c r="JF62" s="95"/>
      <c r="JG62" s="95"/>
      <c r="JH62" s="95"/>
      <c r="JI62" s="95"/>
      <c r="JJ62" s="95"/>
      <c r="JK62" s="95"/>
      <c r="JL62" s="95"/>
      <c r="JM62" s="95"/>
      <c r="JN62" s="95"/>
      <c r="JO62" s="95"/>
      <c r="JP62" s="95"/>
      <c r="JQ62" s="95"/>
      <c r="JR62" s="95"/>
      <c r="JS62" s="95"/>
      <c r="JT62" s="95"/>
      <c r="JU62" s="95"/>
      <c r="JV62" s="95"/>
      <c r="JW62" s="95"/>
      <c r="JX62" s="95"/>
      <c r="JY62" s="95"/>
      <c r="JZ62" s="95"/>
    </row>
    <row r="63" spans="1:286" s="95" customFormat="1" ht="82.5" customHeight="1" x14ac:dyDescent="0.25">
      <c r="A63" s="297"/>
      <c r="B63" s="30" t="s">
        <v>45</v>
      </c>
      <c r="C63" s="31" t="s">
        <v>143</v>
      </c>
      <c r="D63" s="32" t="s">
        <v>106</v>
      </c>
      <c r="E63" s="32" t="s">
        <v>48</v>
      </c>
      <c r="F63" s="65" t="s">
        <v>49</v>
      </c>
      <c r="G63" s="33" t="s">
        <v>139</v>
      </c>
      <c r="H63" s="65">
        <v>20</v>
      </c>
      <c r="I63" s="89">
        <v>3</v>
      </c>
      <c r="J63" s="90">
        <v>0</v>
      </c>
      <c r="K63" s="91">
        <v>4</v>
      </c>
      <c r="L63" s="92">
        <v>1</v>
      </c>
      <c r="M63" s="81">
        <v>1</v>
      </c>
      <c r="N63" s="70">
        <f t="shared" si="11"/>
        <v>9</v>
      </c>
      <c r="O63" s="71">
        <v>0</v>
      </c>
      <c r="P63" s="71"/>
      <c r="Q63" s="93"/>
      <c r="R63" s="33" t="s">
        <v>51</v>
      </c>
      <c r="S63" s="36" t="s">
        <v>144</v>
      </c>
      <c r="T63" s="33" t="s">
        <v>77</v>
      </c>
      <c r="U63" s="65">
        <v>20</v>
      </c>
      <c r="V63" s="197">
        <v>3</v>
      </c>
      <c r="W63" s="90">
        <v>0</v>
      </c>
      <c r="X63" s="91">
        <v>4</v>
      </c>
      <c r="Y63" s="92">
        <v>2</v>
      </c>
      <c r="Z63" s="81">
        <v>1</v>
      </c>
      <c r="AA63" s="70">
        <f t="shared" si="0"/>
        <v>10</v>
      </c>
      <c r="AB63" s="35">
        <v>0</v>
      </c>
      <c r="AC63" s="65">
        <v>1</v>
      </c>
      <c r="AD63" s="197">
        <v>0</v>
      </c>
      <c r="AE63" s="90">
        <v>0</v>
      </c>
      <c r="AF63" s="91">
        <v>0</v>
      </c>
      <c r="AG63" s="92">
        <v>0</v>
      </c>
      <c r="AH63" s="81">
        <v>0</v>
      </c>
      <c r="AI63" s="70">
        <f t="shared" si="1"/>
        <v>0</v>
      </c>
      <c r="AJ63" s="71">
        <v>0</v>
      </c>
      <c r="AK63" s="65"/>
      <c r="AL63" s="33"/>
      <c r="AM63" s="72"/>
      <c r="AN63" s="93"/>
      <c r="AO63" s="94"/>
      <c r="AP63" s="33" t="s">
        <v>58</v>
      </c>
      <c r="AQ63" s="65">
        <v>1</v>
      </c>
      <c r="AR63" s="73">
        <v>0</v>
      </c>
      <c r="AS63" s="74">
        <v>1</v>
      </c>
      <c r="AT63" s="75">
        <v>0</v>
      </c>
      <c r="AU63" s="76"/>
      <c r="AV63" s="65"/>
      <c r="AW63" s="33"/>
      <c r="AX63" s="32" t="s">
        <v>108</v>
      </c>
    </row>
    <row r="64" spans="1:286" s="97" customFormat="1" ht="82.5" customHeight="1" x14ac:dyDescent="0.25">
      <c r="A64" s="297"/>
      <c r="B64" s="30" t="s">
        <v>45</v>
      </c>
      <c r="C64" s="31" t="s">
        <v>143</v>
      </c>
      <c r="D64" s="32" t="s">
        <v>106</v>
      </c>
      <c r="E64" s="32" t="s">
        <v>48</v>
      </c>
      <c r="F64" s="51" t="s">
        <v>61</v>
      </c>
      <c r="G64" s="83"/>
      <c r="H64" s="84">
        <f>SUM(H63)</f>
        <v>20</v>
      </c>
      <c r="I64" s="84">
        <f t="shared" ref="I64" si="123">SUM(I63)</f>
        <v>3</v>
      </c>
      <c r="J64" s="84">
        <f t="shared" ref="J64:M64" si="124">SUM(J63)</f>
        <v>0</v>
      </c>
      <c r="K64" s="84">
        <f t="shared" si="124"/>
        <v>4</v>
      </c>
      <c r="L64" s="84">
        <f t="shared" si="124"/>
        <v>1</v>
      </c>
      <c r="M64" s="84">
        <f t="shared" si="124"/>
        <v>1</v>
      </c>
      <c r="N64" s="84">
        <f t="shared" si="11"/>
        <v>9</v>
      </c>
      <c r="O64" s="84">
        <f t="shared" ref="O64:P64" si="125">SUM(O63)</f>
        <v>0</v>
      </c>
      <c r="P64" s="84">
        <f t="shared" si="125"/>
        <v>0</v>
      </c>
      <c r="Q64" s="96"/>
      <c r="R64" s="85"/>
      <c r="S64" s="53"/>
      <c r="T64" s="51"/>
      <c r="U64" s="84">
        <f t="shared" ref="U64:AJ64" si="126">SUM(U63)</f>
        <v>20</v>
      </c>
      <c r="V64" s="84">
        <f t="shared" si="126"/>
        <v>3</v>
      </c>
      <c r="W64" s="84">
        <f t="shared" si="126"/>
        <v>0</v>
      </c>
      <c r="X64" s="84">
        <f t="shared" si="126"/>
        <v>4</v>
      </c>
      <c r="Y64" s="84">
        <f t="shared" si="126"/>
        <v>2</v>
      </c>
      <c r="Z64" s="84">
        <f t="shared" si="126"/>
        <v>1</v>
      </c>
      <c r="AA64" s="84">
        <f t="shared" si="0"/>
        <v>10</v>
      </c>
      <c r="AB64" s="84">
        <f t="shared" si="126"/>
        <v>0</v>
      </c>
      <c r="AC64" s="84">
        <f t="shared" si="126"/>
        <v>1</v>
      </c>
      <c r="AD64" s="84">
        <f t="shared" si="126"/>
        <v>0</v>
      </c>
      <c r="AE64" s="84">
        <f t="shared" si="126"/>
        <v>0</v>
      </c>
      <c r="AF64" s="84">
        <f t="shared" si="126"/>
        <v>0</v>
      </c>
      <c r="AG64" s="84">
        <f t="shared" si="126"/>
        <v>0</v>
      </c>
      <c r="AH64" s="84">
        <f t="shared" si="126"/>
        <v>0</v>
      </c>
      <c r="AI64" s="84">
        <f t="shared" si="1"/>
        <v>0</v>
      </c>
      <c r="AJ64" s="84">
        <f t="shared" si="126"/>
        <v>0</v>
      </c>
      <c r="AK64" s="83"/>
      <c r="AL64" s="85"/>
      <c r="AM64" s="83"/>
      <c r="AN64" s="96"/>
      <c r="AO64" s="96"/>
      <c r="AP64" s="51"/>
      <c r="AQ64" s="83">
        <f>SUM(AQ63)</f>
        <v>1</v>
      </c>
      <c r="AR64" s="83">
        <f t="shared" ref="AR64:AT64" si="127">SUM(AR63)</f>
        <v>0</v>
      </c>
      <c r="AS64" s="83">
        <f t="shared" si="127"/>
        <v>1</v>
      </c>
      <c r="AT64" s="83">
        <f t="shared" si="127"/>
        <v>0</v>
      </c>
      <c r="AU64" s="87"/>
      <c r="AV64" s="83"/>
      <c r="AW64" s="51"/>
      <c r="AX64" s="51" t="s">
        <v>108</v>
      </c>
      <c r="AY64" s="95"/>
      <c r="AZ64" s="95"/>
      <c r="BA64" s="95"/>
      <c r="BB64" s="95"/>
      <c r="BC64" s="95"/>
      <c r="BD64" s="95"/>
      <c r="BE64" s="95"/>
      <c r="BF64" s="95"/>
      <c r="BG64" s="95"/>
      <c r="BH64" s="95"/>
      <c r="BI64" s="95"/>
      <c r="BJ64" s="95"/>
      <c r="BK64" s="95"/>
      <c r="BL64" s="95"/>
      <c r="BM64" s="95"/>
      <c r="BN64" s="95"/>
      <c r="BO64" s="95"/>
      <c r="BP64" s="95"/>
      <c r="BQ64" s="95"/>
      <c r="BR64" s="95"/>
      <c r="BS64" s="95"/>
      <c r="BT64" s="95"/>
      <c r="BU64" s="95"/>
      <c r="BV64" s="95"/>
      <c r="BW64" s="95"/>
      <c r="BX64" s="95"/>
      <c r="BY64" s="95"/>
      <c r="BZ64" s="95"/>
      <c r="CA64" s="95"/>
      <c r="CB64" s="95"/>
      <c r="CC64" s="95"/>
      <c r="CD64" s="95"/>
      <c r="CE64" s="95"/>
      <c r="CF64" s="95"/>
      <c r="CG64" s="95"/>
      <c r="CH64" s="95"/>
      <c r="CI64" s="95"/>
      <c r="CJ64" s="95"/>
      <c r="CK64" s="95"/>
      <c r="CL64" s="95"/>
      <c r="CM64" s="95"/>
      <c r="CN64" s="95"/>
      <c r="CO64" s="95"/>
      <c r="CP64" s="95"/>
      <c r="CQ64" s="95"/>
      <c r="CR64" s="95"/>
      <c r="CS64" s="95"/>
      <c r="CT64" s="95"/>
      <c r="CU64" s="95"/>
      <c r="CV64" s="95"/>
      <c r="CW64" s="95"/>
      <c r="CX64" s="95"/>
      <c r="CY64" s="95"/>
      <c r="CZ64" s="95"/>
      <c r="DA64" s="95"/>
      <c r="DB64" s="95"/>
      <c r="DC64" s="95"/>
      <c r="DD64" s="95"/>
      <c r="DE64" s="95"/>
      <c r="DF64" s="95"/>
      <c r="DG64" s="95"/>
      <c r="DH64" s="95"/>
      <c r="DI64" s="95"/>
      <c r="DJ64" s="95"/>
      <c r="DK64" s="95"/>
      <c r="DL64" s="95"/>
      <c r="DM64" s="95"/>
      <c r="DN64" s="95"/>
      <c r="DO64" s="95"/>
      <c r="DP64" s="95"/>
      <c r="DQ64" s="95"/>
      <c r="DR64" s="95"/>
      <c r="DS64" s="95"/>
      <c r="DT64" s="95"/>
      <c r="DU64" s="95"/>
      <c r="DV64" s="95"/>
      <c r="DW64" s="95"/>
      <c r="DX64" s="95"/>
      <c r="DY64" s="95"/>
      <c r="DZ64" s="95"/>
      <c r="EA64" s="95"/>
      <c r="EB64" s="95"/>
      <c r="EC64" s="95"/>
      <c r="ED64" s="95"/>
      <c r="EE64" s="95"/>
      <c r="EF64" s="95"/>
      <c r="EG64" s="95"/>
      <c r="EH64" s="95"/>
      <c r="EI64" s="95"/>
      <c r="EJ64" s="95"/>
      <c r="EK64" s="95"/>
      <c r="EL64" s="95"/>
      <c r="EM64" s="95"/>
      <c r="EN64" s="95"/>
      <c r="EO64" s="95"/>
      <c r="EP64" s="95"/>
      <c r="EQ64" s="95"/>
      <c r="ER64" s="95"/>
      <c r="ES64" s="95"/>
      <c r="ET64" s="95"/>
      <c r="EU64" s="95"/>
      <c r="EV64" s="95"/>
      <c r="EW64" s="95"/>
      <c r="EX64" s="95"/>
      <c r="EY64" s="95"/>
      <c r="EZ64" s="95"/>
      <c r="FA64" s="95"/>
      <c r="FB64" s="95"/>
      <c r="FC64" s="95"/>
      <c r="FD64" s="95"/>
      <c r="FE64" s="95"/>
      <c r="FF64" s="95"/>
      <c r="FG64" s="95"/>
      <c r="FH64" s="95"/>
      <c r="FI64" s="95"/>
      <c r="FJ64" s="95"/>
      <c r="FK64" s="95"/>
      <c r="FL64" s="95"/>
      <c r="FM64" s="95"/>
      <c r="FN64" s="95"/>
      <c r="FO64" s="95"/>
      <c r="FP64" s="95"/>
      <c r="FQ64" s="95"/>
      <c r="FR64" s="95"/>
      <c r="FS64" s="95"/>
      <c r="FT64" s="95"/>
      <c r="FU64" s="95"/>
      <c r="FV64" s="95"/>
      <c r="FW64" s="95"/>
      <c r="FX64" s="95"/>
      <c r="FY64" s="95"/>
      <c r="FZ64" s="95"/>
      <c r="GA64" s="95"/>
      <c r="GB64" s="95"/>
      <c r="GC64" s="95"/>
      <c r="GD64" s="95"/>
      <c r="GE64" s="95"/>
      <c r="GF64" s="95"/>
      <c r="GG64" s="95"/>
      <c r="GH64" s="95"/>
      <c r="GI64" s="95"/>
      <c r="GJ64" s="95"/>
      <c r="GK64" s="95"/>
      <c r="GL64" s="95"/>
      <c r="GM64" s="95"/>
      <c r="GN64" s="95"/>
      <c r="GO64" s="95"/>
      <c r="GP64" s="95"/>
      <c r="GQ64" s="95"/>
      <c r="GR64" s="95"/>
      <c r="GS64" s="95"/>
      <c r="GT64" s="95"/>
      <c r="GU64" s="95"/>
      <c r="GV64" s="95"/>
      <c r="GW64" s="95"/>
      <c r="GX64" s="95"/>
      <c r="GY64" s="95"/>
      <c r="GZ64" s="95"/>
      <c r="HA64" s="95"/>
      <c r="HB64" s="95"/>
      <c r="HC64" s="95"/>
      <c r="HD64" s="95"/>
      <c r="HE64" s="95"/>
      <c r="HF64" s="95"/>
      <c r="HG64" s="95"/>
      <c r="HH64" s="95"/>
      <c r="HI64" s="95"/>
      <c r="HJ64" s="95"/>
      <c r="HK64" s="95"/>
      <c r="HL64" s="95"/>
      <c r="HM64" s="95"/>
      <c r="HN64" s="95"/>
      <c r="HO64" s="95"/>
      <c r="HP64" s="95"/>
      <c r="HQ64" s="95"/>
      <c r="HR64" s="95"/>
      <c r="HS64" s="95"/>
      <c r="HT64" s="95"/>
      <c r="HU64" s="95"/>
      <c r="HV64" s="95"/>
      <c r="HW64" s="95"/>
      <c r="HX64" s="95"/>
      <c r="HY64" s="95"/>
      <c r="HZ64" s="95"/>
      <c r="IA64" s="95"/>
      <c r="IB64" s="95"/>
      <c r="IC64" s="95"/>
      <c r="ID64" s="95"/>
      <c r="IE64" s="95"/>
      <c r="IF64" s="95"/>
      <c r="IG64" s="95"/>
      <c r="IH64" s="95"/>
      <c r="II64" s="95"/>
      <c r="IJ64" s="95"/>
      <c r="IK64" s="95"/>
      <c r="IL64" s="95"/>
      <c r="IM64" s="95"/>
      <c r="IN64" s="95"/>
      <c r="IO64" s="95"/>
      <c r="IP64" s="95"/>
      <c r="IQ64" s="95"/>
      <c r="IR64" s="95"/>
      <c r="IS64" s="95"/>
      <c r="IT64" s="95"/>
      <c r="IU64" s="95"/>
      <c r="IV64" s="95"/>
      <c r="IW64" s="95"/>
      <c r="IX64" s="95"/>
      <c r="IY64" s="95"/>
      <c r="IZ64" s="95"/>
      <c r="JA64" s="95"/>
      <c r="JB64" s="95"/>
      <c r="JC64" s="95"/>
      <c r="JD64" s="95"/>
      <c r="JE64" s="95"/>
      <c r="JF64" s="95"/>
      <c r="JG64" s="95"/>
      <c r="JH64" s="95"/>
      <c r="JI64" s="95"/>
      <c r="JJ64" s="95"/>
      <c r="JK64" s="95"/>
      <c r="JL64" s="95"/>
      <c r="JM64" s="95"/>
      <c r="JN64" s="95"/>
      <c r="JO64" s="95"/>
      <c r="JP64" s="95"/>
      <c r="JQ64" s="95"/>
      <c r="JR64" s="95"/>
      <c r="JS64" s="95"/>
      <c r="JT64" s="95"/>
      <c r="JU64" s="95"/>
      <c r="JV64" s="95"/>
      <c r="JW64" s="95"/>
      <c r="JX64" s="95"/>
      <c r="JY64" s="95"/>
      <c r="JZ64" s="95"/>
    </row>
    <row r="65" spans="1:286" s="95" customFormat="1" ht="82.5" customHeight="1" x14ac:dyDescent="0.25">
      <c r="A65" s="297"/>
      <c r="B65" s="30" t="s">
        <v>45</v>
      </c>
      <c r="C65" s="31" t="s">
        <v>145</v>
      </c>
      <c r="D65" s="32" t="s">
        <v>106</v>
      </c>
      <c r="E65" s="32" t="s">
        <v>70</v>
      </c>
      <c r="F65" s="65" t="s">
        <v>49</v>
      </c>
      <c r="G65" s="65" t="s">
        <v>71</v>
      </c>
      <c r="H65" s="65">
        <v>40</v>
      </c>
      <c r="I65" s="89">
        <v>2</v>
      </c>
      <c r="J65" s="90">
        <v>5</v>
      </c>
      <c r="K65" s="91">
        <v>15</v>
      </c>
      <c r="L65" s="92">
        <v>5</v>
      </c>
      <c r="M65" s="81">
        <v>10</v>
      </c>
      <c r="N65" s="70">
        <f t="shared" si="11"/>
        <v>37</v>
      </c>
      <c r="O65" s="71">
        <v>0</v>
      </c>
      <c r="P65" s="71"/>
      <c r="Q65" s="93"/>
      <c r="R65" s="33" t="s">
        <v>51</v>
      </c>
      <c r="S65" s="36" t="s">
        <v>195</v>
      </c>
      <c r="T65" s="33" t="s">
        <v>146</v>
      </c>
      <c r="U65" s="65">
        <v>40</v>
      </c>
      <c r="V65" s="197">
        <v>2</v>
      </c>
      <c r="W65" s="90">
        <v>5</v>
      </c>
      <c r="X65" s="91">
        <v>15</v>
      </c>
      <c r="Y65" s="92">
        <v>8</v>
      </c>
      <c r="Z65" s="81">
        <v>10</v>
      </c>
      <c r="AA65" s="70">
        <f t="shared" si="0"/>
        <v>40</v>
      </c>
      <c r="AB65" s="35">
        <v>0</v>
      </c>
      <c r="AC65" s="65">
        <v>5</v>
      </c>
      <c r="AD65" s="197">
        <v>2</v>
      </c>
      <c r="AE65" s="90">
        <v>2</v>
      </c>
      <c r="AF65" s="91">
        <v>1</v>
      </c>
      <c r="AG65" s="92">
        <v>0</v>
      </c>
      <c r="AH65" s="81">
        <v>0</v>
      </c>
      <c r="AI65" s="70">
        <f t="shared" si="1"/>
        <v>5</v>
      </c>
      <c r="AJ65" s="71">
        <v>0</v>
      </c>
      <c r="AK65" s="65"/>
      <c r="AL65" s="33"/>
      <c r="AM65" s="72"/>
      <c r="AN65" s="93"/>
      <c r="AO65" s="94"/>
      <c r="AP65" s="33" t="s">
        <v>58</v>
      </c>
      <c r="AQ65" s="65">
        <v>5</v>
      </c>
      <c r="AR65" s="73">
        <v>0</v>
      </c>
      <c r="AS65" s="48">
        <v>0</v>
      </c>
      <c r="AT65" s="75">
        <v>5</v>
      </c>
      <c r="AU65" s="76"/>
      <c r="AV65" s="65"/>
      <c r="AW65" s="33"/>
      <c r="AX65" s="32" t="s">
        <v>147</v>
      </c>
    </row>
    <row r="66" spans="1:286" s="97" customFormat="1" ht="82.5" customHeight="1" x14ac:dyDescent="0.25">
      <c r="A66" s="297"/>
      <c r="B66" s="30" t="s">
        <v>45</v>
      </c>
      <c r="C66" s="31" t="s">
        <v>145</v>
      </c>
      <c r="D66" s="32" t="s">
        <v>106</v>
      </c>
      <c r="E66" s="32" t="s">
        <v>70</v>
      </c>
      <c r="F66" s="51" t="s">
        <v>61</v>
      </c>
      <c r="G66" s="83"/>
      <c r="H66" s="84">
        <f>SUM(H65)</f>
        <v>40</v>
      </c>
      <c r="I66" s="84">
        <f t="shared" ref="I66" si="128">SUM(I65)</f>
        <v>2</v>
      </c>
      <c r="J66" s="84">
        <f t="shared" ref="J66:M66" si="129">SUM(J65)</f>
        <v>5</v>
      </c>
      <c r="K66" s="84">
        <f t="shared" si="129"/>
        <v>15</v>
      </c>
      <c r="L66" s="84">
        <f t="shared" si="129"/>
        <v>5</v>
      </c>
      <c r="M66" s="84">
        <f t="shared" si="129"/>
        <v>10</v>
      </c>
      <c r="N66" s="84">
        <f t="shared" si="11"/>
        <v>37</v>
      </c>
      <c r="O66" s="84">
        <f t="shared" ref="O66:P66" si="130">SUM(O65)</f>
        <v>0</v>
      </c>
      <c r="P66" s="84">
        <f t="shared" si="130"/>
        <v>0</v>
      </c>
      <c r="Q66" s="84"/>
      <c r="R66" s="85"/>
      <c r="S66" s="53"/>
      <c r="T66" s="51"/>
      <c r="U66" s="84">
        <f t="shared" ref="U66:AJ66" si="131">SUM(U65)</f>
        <v>40</v>
      </c>
      <c r="V66" s="84">
        <f t="shared" si="131"/>
        <v>2</v>
      </c>
      <c r="W66" s="84">
        <f t="shared" si="131"/>
        <v>5</v>
      </c>
      <c r="X66" s="84">
        <f t="shared" si="131"/>
        <v>15</v>
      </c>
      <c r="Y66" s="84">
        <f t="shared" si="131"/>
        <v>8</v>
      </c>
      <c r="Z66" s="84">
        <f t="shared" si="131"/>
        <v>10</v>
      </c>
      <c r="AA66" s="84">
        <f t="shared" si="0"/>
        <v>40</v>
      </c>
      <c r="AB66" s="84">
        <f t="shared" si="131"/>
        <v>0</v>
      </c>
      <c r="AC66" s="84">
        <f t="shared" si="131"/>
        <v>5</v>
      </c>
      <c r="AD66" s="84">
        <f t="shared" si="131"/>
        <v>2</v>
      </c>
      <c r="AE66" s="84">
        <f t="shared" si="131"/>
        <v>2</v>
      </c>
      <c r="AF66" s="84">
        <f t="shared" si="131"/>
        <v>1</v>
      </c>
      <c r="AG66" s="84">
        <f t="shared" si="131"/>
        <v>0</v>
      </c>
      <c r="AH66" s="84"/>
      <c r="AI66" s="84">
        <f t="shared" si="1"/>
        <v>5</v>
      </c>
      <c r="AJ66" s="84">
        <f t="shared" si="131"/>
        <v>0</v>
      </c>
      <c r="AK66" s="83"/>
      <c r="AL66" s="85"/>
      <c r="AM66" s="83"/>
      <c r="AN66" s="96"/>
      <c r="AO66" s="96"/>
      <c r="AP66" s="51"/>
      <c r="AQ66" s="83">
        <f>SUM(AQ65)</f>
        <v>5</v>
      </c>
      <c r="AR66" s="83">
        <f t="shared" ref="AR66:AT66" si="132">SUM(AR65)</f>
        <v>0</v>
      </c>
      <c r="AS66" s="83">
        <f t="shared" si="132"/>
        <v>0</v>
      </c>
      <c r="AT66" s="83">
        <f t="shared" si="132"/>
        <v>5</v>
      </c>
      <c r="AU66" s="87"/>
      <c r="AV66" s="83"/>
      <c r="AW66" s="51"/>
      <c r="AX66" s="51" t="s">
        <v>147</v>
      </c>
      <c r="AY66" s="95"/>
      <c r="AZ66" s="95"/>
      <c r="BA66" s="95"/>
      <c r="BB66" s="95"/>
      <c r="BC66" s="95"/>
      <c r="BD66" s="95"/>
      <c r="BE66" s="95"/>
      <c r="BF66" s="95"/>
      <c r="BG66" s="95"/>
      <c r="BH66" s="95"/>
      <c r="BI66" s="95"/>
      <c r="BJ66" s="95"/>
      <c r="BK66" s="95"/>
      <c r="BL66" s="95"/>
      <c r="BM66" s="95"/>
      <c r="BN66" s="95"/>
      <c r="BO66" s="95"/>
      <c r="BP66" s="95"/>
      <c r="BQ66" s="95"/>
      <c r="BR66" s="95"/>
      <c r="BS66" s="95"/>
      <c r="BT66" s="95"/>
      <c r="BU66" s="95"/>
      <c r="BV66" s="95"/>
      <c r="BW66" s="95"/>
      <c r="BX66" s="95"/>
      <c r="BY66" s="95"/>
      <c r="BZ66" s="95"/>
      <c r="CA66" s="95"/>
      <c r="CB66" s="95"/>
      <c r="CC66" s="95"/>
      <c r="CD66" s="95"/>
      <c r="CE66" s="95"/>
      <c r="CF66" s="95"/>
      <c r="CG66" s="95"/>
      <c r="CH66" s="95"/>
      <c r="CI66" s="95"/>
      <c r="CJ66" s="95"/>
      <c r="CK66" s="95"/>
      <c r="CL66" s="95"/>
      <c r="CM66" s="95"/>
      <c r="CN66" s="95"/>
      <c r="CO66" s="95"/>
      <c r="CP66" s="95"/>
      <c r="CQ66" s="95"/>
      <c r="CR66" s="95"/>
      <c r="CS66" s="95"/>
      <c r="CT66" s="95"/>
      <c r="CU66" s="95"/>
      <c r="CV66" s="95"/>
      <c r="CW66" s="95"/>
      <c r="CX66" s="95"/>
      <c r="CY66" s="95"/>
      <c r="CZ66" s="95"/>
      <c r="DA66" s="95"/>
      <c r="DB66" s="95"/>
      <c r="DC66" s="95"/>
      <c r="DD66" s="95"/>
      <c r="DE66" s="95"/>
      <c r="DF66" s="95"/>
      <c r="DG66" s="95"/>
      <c r="DH66" s="95"/>
      <c r="DI66" s="95"/>
      <c r="DJ66" s="95"/>
      <c r="DK66" s="95"/>
      <c r="DL66" s="95"/>
      <c r="DM66" s="95"/>
      <c r="DN66" s="95"/>
      <c r="DO66" s="95"/>
      <c r="DP66" s="95"/>
      <c r="DQ66" s="95"/>
      <c r="DR66" s="95"/>
      <c r="DS66" s="95"/>
      <c r="DT66" s="95"/>
      <c r="DU66" s="95"/>
      <c r="DV66" s="95"/>
      <c r="DW66" s="95"/>
      <c r="DX66" s="95"/>
      <c r="DY66" s="95"/>
      <c r="DZ66" s="95"/>
      <c r="EA66" s="95"/>
      <c r="EB66" s="95"/>
      <c r="EC66" s="95"/>
      <c r="ED66" s="95"/>
      <c r="EE66" s="95"/>
      <c r="EF66" s="95"/>
      <c r="EG66" s="95"/>
      <c r="EH66" s="95"/>
      <c r="EI66" s="95"/>
      <c r="EJ66" s="95"/>
      <c r="EK66" s="95"/>
      <c r="EL66" s="95"/>
      <c r="EM66" s="95"/>
      <c r="EN66" s="95"/>
      <c r="EO66" s="95"/>
      <c r="EP66" s="95"/>
      <c r="EQ66" s="95"/>
      <c r="ER66" s="95"/>
      <c r="ES66" s="95"/>
      <c r="ET66" s="95"/>
      <c r="EU66" s="95"/>
      <c r="EV66" s="95"/>
      <c r="EW66" s="95"/>
      <c r="EX66" s="95"/>
      <c r="EY66" s="95"/>
      <c r="EZ66" s="95"/>
      <c r="FA66" s="95"/>
      <c r="FB66" s="95"/>
      <c r="FC66" s="95"/>
      <c r="FD66" s="95"/>
      <c r="FE66" s="95"/>
      <c r="FF66" s="95"/>
      <c r="FG66" s="95"/>
      <c r="FH66" s="95"/>
      <c r="FI66" s="95"/>
      <c r="FJ66" s="95"/>
      <c r="FK66" s="95"/>
      <c r="FL66" s="95"/>
      <c r="FM66" s="95"/>
      <c r="FN66" s="95"/>
      <c r="FO66" s="95"/>
      <c r="FP66" s="95"/>
      <c r="FQ66" s="95"/>
      <c r="FR66" s="95"/>
      <c r="FS66" s="95"/>
      <c r="FT66" s="95"/>
      <c r="FU66" s="95"/>
      <c r="FV66" s="95"/>
      <c r="FW66" s="95"/>
      <c r="FX66" s="95"/>
      <c r="FY66" s="95"/>
      <c r="FZ66" s="95"/>
      <c r="GA66" s="95"/>
      <c r="GB66" s="95"/>
      <c r="GC66" s="95"/>
      <c r="GD66" s="95"/>
      <c r="GE66" s="95"/>
      <c r="GF66" s="95"/>
      <c r="GG66" s="95"/>
      <c r="GH66" s="95"/>
      <c r="GI66" s="95"/>
      <c r="GJ66" s="95"/>
      <c r="GK66" s="95"/>
      <c r="GL66" s="95"/>
      <c r="GM66" s="95"/>
      <c r="GN66" s="95"/>
      <c r="GO66" s="95"/>
      <c r="GP66" s="95"/>
      <c r="GQ66" s="95"/>
      <c r="GR66" s="95"/>
      <c r="GS66" s="95"/>
      <c r="GT66" s="95"/>
      <c r="GU66" s="95"/>
      <c r="GV66" s="95"/>
      <c r="GW66" s="95"/>
      <c r="GX66" s="95"/>
      <c r="GY66" s="95"/>
      <c r="GZ66" s="95"/>
      <c r="HA66" s="95"/>
      <c r="HB66" s="95"/>
      <c r="HC66" s="95"/>
      <c r="HD66" s="95"/>
      <c r="HE66" s="95"/>
      <c r="HF66" s="95"/>
      <c r="HG66" s="95"/>
      <c r="HH66" s="95"/>
      <c r="HI66" s="95"/>
      <c r="HJ66" s="95"/>
      <c r="HK66" s="95"/>
      <c r="HL66" s="95"/>
      <c r="HM66" s="95"/>
      <c r="HN66" s="95"/>
      <c r="HO66" s="95"/>
      <c r="HP66" s="95"/>
      <c r="HQ66" s="95"/>
      <c r="HR66" s="95"/>
      <c r="HS66" s="95"/>
      <c r="HT66" s="95"/>
      <c r="HU66" s="95"/>
      <c r="HV66" s="95"/>
      <c r="HW66" s="95"/>
      <c r="HX66" s="95"/>
      <c r="HY66" s="95"/>
      <c r="HZ66" s="95"/>
      <c r="IA66" s="95"/>
      <c r="IB66" s="95"/>
      <c r="IC66" s="95"/>
      <c r="ID66" s="95"/>
      <c r="IE66" s="95"/>
      <c r="IF66" s="95"/>
      <c r="IG66" s="95"/>
      <c r="IH66" s="95"/>
      <c r="II66" s="95"/>
      <c r="IJ66" s="95"/>
      <c r="IK66" s="95"/>
      <c r="IL66" s="95"/>
      <c r="IM66" s="95"/>
      <c r="IN66" s="95"/>
      <c r="IO66" s="95"/>
      <c r="IP66" s="95"/>
      <c r="IQ66" s="95"/>
      <c r="IR66" s="95"/>
      <c r="IS66" s="95"/>
      <c r="IT66" s="95"/>
      <c r="IU66" s="95"/>
      <c r="IV66" s="95"/>
      <c r="IW66" s="95"/>
      <c r="IX66" s="95"/>
      <c r="IY66" s="95"/>
      <c r="IZ66" s="95"/>
      <c r="JA66" s="95"/>
      <c r="JB66" s="95"/>
      <c r="JC66" s="95"/>
      <c r="JD66" s="95"/>
      <c r="JE66" s="95"/>
      <c r="JF66" s="95"/>
      <c r="JG66" s="95"/>
      <c r="JH66" s="95"/>
      <c r="JI66" s="95"/>
      <c r="JJ66" s="95"/>
      <c r="JK66" s="95"/>
      <c r="JL66" s="95"/>
      <c r="JM66" s="95"/>
      <c r="JN66" s="95"/>
      <c r="JO66" s="95"/>
      <c r="JP66" s="95"/>
      <c r="JQ66" s="95"/>
      <c r="JR66" s="95"/>
      <c r="JS66" s="95"/>
      <c r="JT66" s="95"/>
      <c r="JU66" s="95"/>
      <c r="JV66" s="95"/>
      <c r="JW66" s="95"/>
      <c r="JX66" s="95"/>
      <c r="JY66" s="95"/>
      <c r="JZ66" s="95"/>
    </row>
    <row r="67" spans="1:286" s="95" customFormat="1" ht="82.5" customHeight="1" x14ac:dyDescent="0.25">
      <c r="A67" s="297"/>
      <c r="B67" s="30" t="s">
        <v>45</v>
      </c>
      <c r="C67" s="31" t="s">
        <v>148</v>
      </c>
      <c r="D67" s="32" t="s">
        <v>106</v>
      </c>
      <c r="E67" s="32" t="s">
        <v>149</v>
      </c>
      <c r="F67" s="65" t="s">
        <v>49</v>
      </c>
      <c r="G67" s="65" t="s">
        <v>50</v>
      </c>
      <c r="H67" s="65">
        <v>10</v>
      </c>
      <c r="I67" s="89">
        <v>0</v>
      </c>
      <c r="J67" s="90">
        <v>0</v>
      </c>
      <c r="K67" s="91">
        <v>4</v>
      </c>
      <c r="L67" s="92">
        <v>2</v>
      </c>
      <c r="M67" s="81">
        <v>4</v>
      </c>
      <c r="N67" s="70">
        <f t="shared" si="11"/>
        <v>10</v>
      </c>
      <c r="O67" s="71">
        <v>0</v>
      </c>
      <c r="P67" s="71"/>
      <c r="Q67" s="93"/>
      <c r="R67" s="33" t="s">
        <v>51</v>
      </c>
      <c r="S67" s="36" t="s">
        <v>96</v>
      </c>
      <c r="T67" s="33" t="s">
        <v>84</v>
      </c>
      <c r="U67" s="65">
        <v>10</v>
      </c>
      <c r="V67" s="197">
        <v>0</v>
      </c>
      <c r="W67" s="90">
        <v>0</v>
      </c>
      <c r="X67" s="91">
        <v>4</v>
      </c>
      <c r="Y67" s="92">
        <v>2</v>
      </c>
      <c r="Z67" s="81">
        <v>4</v>
      </c>
      <c r="AA67" s="70">
        <f t="shared" si="0"/>
        <v>10</v>
      </c>
      <c r="AB67" s="35">
        <v>0</v>
      </c>
      <c r="AC67" s="65">
        <v>0</v>
      </c>
      <c r="AD67" s="197">
        <v>0</v>
      </c>
      <c r="AE67" s="90">
        <v>0</v>
      </c>
      <c r="AF67" s="91">
        <v>0</v>
      </c>
      <c r="AG67" s="92">
        <v>0</v>
      </c>
      <c r="AH67" s="81">
        <v>0</v>
      </c>
      <c r="AI67" s="70">
        <f t="shared" si="1"/>
        <v>0</v>
      </c>
      <c r="AJ67" s="71">
        <v>0</v>
      </c>
      <c r="AK67" s="65"/>
      <c r="AL67" s="33"/>
      <c r="AM67" s="72"/>
      <c r="AN67" s="93"/>
      <c r="AO67" s="94"/>
      <c r="AP67" s="33"/>
      <c r="AQ67" s="65"/>
      <c r="AR67" s="73"/>
      <c r="AS67" s="74"/>
      <c r="AT67" s="75"/>
      <c r="AU67" s="76"/>
      <c r="AV67" s="65"/>
      <c r="AW67" s="33"/>
      <c r="AX67" s="32" t="s">
        <v>126</v>
      </c>
    </row>
    <row r="68" spans="1:286" s="97" customFormat="1" ht="82.5" customHeight="1" x14ac:dyDescent="0.25">
      <c r="A68" s="297"/>
      <c r="B68" s="30" t="s">
        <v>45</v>
      </c>
      <c r="C68" s="31" t="s">
        <v>148</v>
      </c>
      <c r="D68" s="32" t="s">
        <v>106</v>
      </c>
      <c r="E68" s="32" t="s">
        <v>149</v>
      </c>
      <c r="F68" s="51" t="s">
        <v>61</v>
      </c>
      <c r="G68" s="83"/>
      <c r="H68" s="84">
        <f>SUM(H67)</f>
        <v>10</v>
      </c>
      <c r="I68" s="84">
        <f t="shared" ref="I68" si="133">SUM(I67)</f>
        <v>0</v>
      </c>
      <c r="J68" s="84">
        <f t="shared" ref="J68:O68" si="134">SUM(J67)</f>
        <v>0</v>
      </c>
      <c r="K68" s="84">
        <f t="shared" si="134"/>
        <v>4</v>
      </c>
      <c r="L68" s="84">
        <f t="shared" si="134"/>
        <v>2</v>
      </c>
      <c r="M68" s="84">
        <f t="shared" si="134"/>
        <v>4</v>
      </c>
      <c r="N68" s="84">
        <f t="shared" si="11"/>
        <v>10</v>
      </c>
      <c r="O68" s="84">
        <f t="shared" si="134"/>
        <v>0</v>
      </c>
      <c r="P68" s="84">
        <v>0</v>
      </c>
      <c r="Q68" s="96"/>
      <c r="R68" s="85"/>
      <c r="S68" s="53"/>
      <c r="T68" s="51"/>
      <c r="U68" s="84">
        <f t="shared" ref="U68:AJ68" si="135">SUM(U67)</f>
        <v>10</v>
      </c>
      <c r="V68" s="84">
        <f t="shared" si="135"/>
        <v>0</v>
      </c>
      <c r="W68" s="84">
        <f t="shared" si="135"/>
        <v>0</v>
      </c>
      <c r="X68" s="84">
        <f t="shared" si="135"/>
        <v>4</v>
      </c>
      <c r="Y68" s="84">
        <f t="shared" si="135"/>
        <v>2</v>
      </c>
      <c r="Z68" s="84">
        <f t="shared" si="135"/>
        <v>4</v>
      </c>
      <c r="AA68" s="84">
        <f t="shared" ref="AA68:AA131" si="136">SUM(V68:Z68)</f>
        <v>10</v>
      </c>
      <c r="AB68" s="84">
        <f t="shared" si="135"/>
        <v>0</v>
      </c>
      <c r="AC68" s="84">
        <f t="shared" si="135"/>
        <v>0</v>
      </c>
      <c r="AD68" s="84">
        <f t="shared" si="135"/>
        <v>0</v>
      </c>
      <c r="AE68" s="84">
        <f t="shared" si="135"/>
        <v>0</v>
      </c>
      <c r="AF68" s="84">
        <f t="shared" si="135"/>
        <v>0</v>
      </c>
      <c r="AG68" s="84">
        <f t="shared" si="135"/>
        <v>0</v>
      </c>
      <c r="AH68" s="84">
        <f t="shared" si="135"/>
        <v>0</v>
      </c>
      <c r="AI68" s="84">
        <f t="shared" ref="AI68:AI131" si="137">SUM(AD68:AH68)</f>
        <v>0</v>
      </c>
      <c r="AJ68" s="84">
        <f t="shared" si="135"/>
        <v>0</v>
      </c>
      <c r="AK68" s="83"/>
      <c r="AL68" s="85"/>
      <c r="AM68" s="83"/>
      <c r="AN68" s="96"/>
      <c r="AO68" s="96"/>
      <c r="AP68" s="51"/>
      <c r="AQ68" s="83">
        <f>SUM(AQ67)</f>
        <v>0</v>
      </c>
      <c r="AR68" s="83">
        <f t="shared" ref="AR68:AT68" si="138">SUM(AR67)</f>
        <v>0</v>
      </c>
      <c r="AS68" s="83">
        <f t="shared" si="138"/>
        <v>0</v>
      </c>
      <c r="AT68" s="83">
        <f t="shared" si="138"/>
        <v>0</v>
      </c>
      <c r="AU68" s="87"/>
      <c r="AV68" s="83"/>
      <c r="AW68" s="51"/>
      <c r="AX68" s="51" t="s">
        <v>126</v>
      </c>
      <c r="AY68" s="95"/>
      <c r="AZ68" s="95"/>
      <c r="BA68" s="95"/>
      <c r="BB68" s="95"/>
      <c r="BC68" s="95"/>
      <c r="BD68" s="95"/>
      <c r="BE68" s="95"/>
      <c r="BF68" s="95"/>
      <c r="BG68" s="95"/>
      <c r="BH68" s="95"/>
      <c r="BI68" s="95"/>
      <c r="BJ68" s="95"/>
      <c r="BK68" s="95"/>
      <c r="BL68" s="95"/>
      <c r="BM68" s="95"/>
      <c r="BN68" s="95"/>
      <c r="BO68" s="95"/>
      <c r="BP68" s="95"/>
      <c r="BQ68" s="95"/>
      <c r="BR68" s="95"/>
      <c r="BS68" s="95"/>
      <c r="BT68" s="95"/>
      <c r="BU68" s="95"/>
      <c r="BV68" s="95"/>
      <c r="BW68" s="95"/>
      <c r="BX68" s="95"/>
      <c r="BY68" s="95"/>
      <c r="BZ68" s="95"/>
      <c r="CA68" s="95"/>
      <c r="CB68" s="95"/>
      <c r="CC68" s="95"/>
      <c r="CD68" s="95"/>
      <c r="CE68" s="95"/>
      <c r="CF68" s="95"/>
      <c r="CG68" s="95"/>
      <c r="CH68" s="95"/>
      <c r="CI68" s="95"/>
      <c r="CJ68" s="95"/>
      <c r="CK68" s="95"/>
      <c r="CL68" s="95"/>
      <c r="CM68" s="95"/>
      <c r="CN68" s="95"/>
      <c r="CO68" s="95"/>
      <c r="CP68" s="95"/>
      <c r="CQ68" s="95"/>
      <c r="CR68" s="95"/>
      <c r="CS68" s="95"/>
      <c r="CT68" s="95"/>
      <c r="CU68" s="95"/>
      <c r="CV68" s="95"/>
      <c r="CW68" s="95"/>
      <c r="CX68" s="95"/>
      <c r="CY68" s="95"/>
      <c r="CZ68" s="95"/>
      <c r="DA68" s="95"/>
      <c r="DB68" s="95"/>
      <c r="DC68" s="95"/>
      <c r="DD68" s="95"/>
      <c r="DE68" s="95"/>
      <c r="DF68" s="95"/>
      <c r="DG68" s="95"/>
      <c r="DH68" s="95"/>
      <c r="DI68" s="95"/>
      <c r="DJ68" s="95"/>
      <c r="DK68" s="95"/>
      <c r="DL68" s="95"/>
      <c r="DM68" s="95"/>
      <c r="DN68" s="95"/>
      <c r="DO68" s="95"/>
      <c r="DP68" s="95"/>
      <c r="DQ68" s="95"/>
      <c r="DR68" s="95"/>
      <c r="DS68" s="95"/>
      <c r="DT68" s="95"/>
      <c r="DU68" s="95"/>
      <c r="DV68" s="95"/>
      <c r="DW68" s="95"/>
      <c r="DX68" s="95"/>
      <c r="DY68" s="95"/>
      <c r="DZ68" s="95"/>
      <c r="EA68" s="95"/>
      <c r="EB68" s="95"/>
      <c r="EC68" s="95"/>
      <c r="ED68" s="95"/>
      <c r="EE68" s="95"/>
      <c r="EF68" s="95"/>
      <c r="EG68" s="95"/>
      <c r="EH68" s="95"/>
      <c r="EI68" s="95"/>
      <c r="EJ68" s="95"/>
      <c r="EK68" s="95"/>
      <c r="EL68" s="95"/>
      <c r="EM68" s="95"/>
      <c r="EN68" s="95"/>
      <c r="EO68" s="95"/>
      <c r="EP68" s="95"/>
      <c r="EQ68" s="95"/>
      <c r="ER68" s="95"/>
      <c r="ES68" s="95"/>
      <c r="ET68" s="95"/>
      <c r="EU68" s="95"/>
      <c r="EV68" s="95"/>
      <c r="EW68" s="95"/>
      <c r="EX68" s="95"/>
      <c r="EY68" s="95"/>
      <c r="EZ68" s="95"/>
      <c r="FA68" s="95"/>
      <c r="FB68" s="95"/>
      <c r="FC68" s="95"/>
      <c r="FD68" s="95"/>
      <c r="FE68" s="95"/>
      <c r="FF68" s="95"/>
      <c r="FG68" s="95"/>
      <c r="FH68" s="95"/>
      <c r="FI68" s="95"/>
      <c r="FJ68" s="95"/>
      <c r="FK68" s="95"/>
      <c r="FL68" s="95"/>
      <c r="FM68" s="95"/>
      <c r="FN68" s="95"/>
      <c r="FO68" s="95"/>
      <c r="FP68" s="95"/>
      <c r="FQ68" s="95"/>
      <c r="FR68" s="95"/>
      <c r="FS68" s="95"/>
      <c r="FT68" s="95"/>
      <c r="FU68" s="95"/>
      <c r="FV68" s="95"/>
      <c r="FW68" s="95"/>
      <c r="FX68" s="95"/>
      <c r="FY68" s="95"/>
      <c r="FZ68" s="95"/>
      <c r="GA68" s="95"/>
      <c r="GB68" s="95"/>
      <c r="GC68" s="95"/>
      <c r="GD68" s="95"/>
      <c r="GE68" s="95"/>
      <c r="GF68" s="95"/>
      <c r="GG68" s="95"/>
      <c r="GH68" s="95"/>
      <c r="GI68" s="95"/>
      <c r="GJ68" s="95"/>
      <c r="GK68" s="95"/>
      <c r="GL68" s="95"/>
      <c r="GM68" s="95"/>
      <c r="GN68" s="95"/>
      <c r="GO68" s="95"/>
      <c r="GP68" s="95"/>
      <c r="GQ68" s="95"/>
      <c r="GR68" s="95"/>
      <c r="GS68" s="95"/>
      <c r="GT68" s="95"/>
      <c r="GU68" s="95"/>
      <c r="GV68" s="95"/>
      <c r="GW68" s="95"/>
      <c r="GX68" s="95"/>
      <c r="GY68" s="95"/>
      <c r="GZ68" s="95"/>
      <c r="HA68" s="95"/>
      <c r="HB68" s="95"/>
      <c r="HC68" s="95"/>
      <c r="HD68" s="95"/>
      <c r="HE68" s="95"/>
      <c r="HF68" s="95"/>
      <c r="HG68" s="95"/>
      <c r="HH68" s="95"/>
      <c r="HI68" s="95"/>
      <c r="HJ68" s="95"/>
      <c r="HK68" s="95"/>
      <c r="HL68" s="95"/>
      <c r="HM68" s="95"/>
      <c r="HN68" s="95"/>
      <c r="HO68" s="95"/>
      <c r="HP68" s="95"/>
      <c r="HQ68" s="95"/>
      <c r="HR68" s="95"/>
      <c r="HS68" s="95"/>
      <c r="HT68" s="95"/>
      <c r="HU68" s="95"/>
      <c r="HV68" s="95"/>
      <c r="HW68" s="95"/>
      <c r="HX68" s="95"/>
      <c r="HY68" s="95"/>
      <c r="HZ68" s="95"/>
      <c r="IA68" s="95"/>
      <c r="IB68" s="95"/>
      <c r="IC68" s="95"/>
      <c r="ID68" s="95"/>
      <c r="IE68" s="95"/>
      <c r="IF68" s="95"/>
      <c r="IG68" s="95"/>
      <c r="IH68" s="95"/>
      <c r="II68" s="95"/>
      <c r="IJ68" s="95"/>
      <c r="IK68" s="95"/>
      <c r="IL68" s="95"/>
      <c r="IM68" s="95"/>
      <c r="IN68" s="95"/>
      <c r="IO68" s="95"/>
      <c r="IP68" s="95"/>
      <c r="IQ68" s="95"/>
      <c r="IR68" s="95"/>
      <c r="IS68" s="95"/>
      <c r="IT68" s="95"/>
      <c r="IU68" s="95"/>
      <c r="IV68" s="95"/>
      <c r="IW68" s="95"/>
      <c r="IX68" s="95"/>
      <c r="IY68" s="95"/>
      <c r="IZ68" s="95"/>
      <c r="JA68" s="95"/>
      <c r="JB68" s="95"/>
      <c r="JC68" s="95"/>
      <c r="JD68" s="95"/>
      <c r="JE68" s="95"/>
      <c r="JF68" s="95"/>
      <c r="JG68" s="95"/>
      <c r="JH68" s="95"/>
      <c r="JI68" s="95"/>
      <c r="JJ68" s="95"/>
      <c r="JK68" s="95"/>
      <c r="JL68" s="95"/>
      <c r="JM68" s="95"/>
      <c r="JN68" s="95"/>
      <c r="JO68" s="95"/>
      <c r="JP68" s="95"/>
      <c r="JQ68" s="95"/>
      <c r="JR68" s="95"/>
      <c r="JS68" s="95"/>
      <c r="JT68" s="95"/>
      <c r="JU68" s="95"/>
      <c r="JV68" s="95"/>
      <c r="JW68" s="95"/>
      <c r="JX68" s="95"/>
      <c r="JY68" s="95"/>
      <c r="JZ68" s="95"/>
    </row>
    <row r="69" spans="1:286" s="97" customFormat="1" ht="82.5" customHeight="1" x14ac:dyDescent="0.25">
      <c r="A69" s="297"/>
      <c r="B69" s="30" t="s">
        <v>45</v>
      </c>
      <c r="C69" s="31" t="s">
        <v>150</v>
      </c>
      <c r="D69" s="32" t="s">
        <v>106</v>
      </c>
      <c r="E69" s="32" t="s">
        <v>75</v>
      </c>
      <c r="F69" s="65"/>
      <c r="G69" s="65" t="s">
        <v>50</v>
      </c>
      <c r="H69" s="65">
        <v>5</v>
      </c>
      <c r="I69" s="89">
        <v>1</v>
      </c>
      <c r="J69" s="90">
        <v>1</v>
      </c>
      <c r="K69" s="91">
        <v>1</v>
      </c>
      <c r="L69" s="92">
        <v>1</v>
      </c>
      <c r="M69" s="81">
        <v>1</v>
      </c>
      <c r="N69" s="70">
        <f t="shared" si="11"/>
        <v>5</v>
      </c>
      <c r="O69" s="71"/>
      <c r="P69" s="71"/>
      <c r="Q69" s="93"/>
      <c r="R69" s="33" t="s">
        <v>51</v>
      </c>
      <c r="S69" s="36" t="s">
        <v>151</v>
      </c>
      <c r="T69" s="33" t="s">
        <v>146</v>
      </c>
      <c r="U69" s="65">
        <v>5</v>
      </c>
      <c r="V69" s="197">
        <v>1</v>
      </c>
      <c r="W69" s="90">
        <v>1</v>
      </c>
      <c r="X69" s="91">
        <v>1</v>
      </c>
      <c r="Y69" s="92">
        <v>1</v>
      </c>
      <c r="Z69" s="81">
        <v>1</v>
      </c>
      <c r="AA69" s="70">
        <f t="shared" si="136"/>
        <v>5</v>
      </c>
      <c r="AB69" s="35">
        <v>0</v>
      </c>
      <c r="AC69" s="65">
        <v>1</v>
      </c>
      <c r="AD69" s="197">
        <v>0</v>
      </c>
      <c r="AE69" s="90">
        <v>0</v>
      </c>
      <c r="AF69" s="91">
        <v>0</v>
      </c>
      <c r="AG69" s="92">
        <v>0</v>
      </c>
      <c r="AH69" s="81">
        <v>0</v>
      </c>
      <c r="AI69" s="70">
        <f t="shared" si="137"/>
        <v>0</v>
      </c>
      <c r="AJ69" s="71">
        <v>0</v>
      </c>
      <c r="AK69" s="65"/>
      <c r="AL69" s="33"/>
      <c r="AM69" s="72"/>
      <c r="AN69" s="93"/>
      <c r="AO69" s="94"/>
      <c r="AP69" s="33" t="s">
        <v>58</v>
      </c>
      <c r="AQ69" s="65">
        <v>0</v>
      </c>
      <c r="AR69" s="73">
        <v>0</v>
      </c>
      <c r="AS69" s="48">
        <v>0</v>
      </c>
      <c r="AT69" s="75">
        <v>0</v>
      </c>
      <c r="AU69" s="76"/>
      <c r="AV69" s="65"/>
      <c r="AW69" s="33"/>
      <c r="AX69" s="32" t="s">
        <v>147</v>
      </c>
      <c r="AY69" s="95"/>
      <c r="AZ69" s="95"/>
      <c r="BA69" s="95"/>
      <c r="BB69" s="95"/>
      <c r="BC69" s="95"/>
      <c r="BD69" s="95"/>
      <c r="BE69" s="95"/>
      <c r="BF69" s="95"/>
      <c r="BG69" s="95"/>
      <c r="BH69" s="95"/>
      <c r="BI69" s="95"/>
      <c r="BJ69" s="95"/>
      <c r="BK69" s="95"/>
      <c r="BL69" s="95"/>
      <c r="BM69" s="95"/>
      <c r="BN69" s="95"/>
      <c r="BO69" s="95"/>
      <c r="BP69" s="95"/>
      <c r="BQ69" s="95"/>
      <c r="BR69" s="95"/>
      <c r="BS69" s="95"/>
      <c r="BT69" s="95"/>
      <c r="BU69" s="95"/>
      <c r="BV69" s="95"/>
      <c r="BW69" s="95"/>
      <c r="BX69" s="95"/>
      <c r="BY69" s="95"/>
      <c r="BZ69" s="95"/>
      <c r="CA69" s="95"/>
      <c r="CB69" s="95"/>
      <c r="CC69" s="95"/>
      <c r="CD69" s="95"/>
      <c r="CE69" s="95"/>
      <c r="CF69" s="95"/>
      <c r="CG69" s="95"/>
      <c r="CH69" s="95"/>
      <c r="CI69" s="95"/>
      <c r="CJ69" s="95"/>
      <c r="CK69" s="95"/>
      <c r="CL69" s="95"/>
      <c r="CM69" s="95"/>
      <c r="CN69" s="95"/>
      <c r="CO69" s="95"/>
      <c r="CP69" s="95"/>
      <c r="CQ69" s="95"/>
      <c r="CR69" s="95"/>
      <c r="CS69" s="95"/>
      <c r="CT69" s="95"/>
      <c r="CU69" s="95"/>
      <c r="CV69" s="95"/>
      <c r="CW69" s="95"/>
      <c r="CX69" s="95"/>
      <c r="CY69" s="95"/>
      <c r="CZ69" s="95"/>
      <c r="DA69" s="95"/>
      <c r="DB69" s="95"/>
      <c r="DC69" s="95"/>
      <c r="DD69" s="95"/>
      <c r="DE69" s="95"/>
      <c r="DF69" s="95"/>
      <c r="DG69" s="95"/>
      <c r="DH69" s="95"/>
      <c r="DI69" s="95"/>
      <c r="DJ69" s="95"/>
      <c r="DK69" s="95"/>
      <c r="DL69" s="95"/>
      <c r="DM69" s="95"/>
      <c r="DN69" s="95"/>
      <c r="DO69" s="95"/>
      <c r="DP69" s="95"/>
      <c r="DQ69" s="95"/>
      <c r="DR69" s="95"/>
      <c r="DS69" s="95"/>
      <c r="DT69" s="95"/>
      <c r="DU69" s="95"/>
      <c r="DV69" s="95"/>
      <c r="DW69" s="95"/>
      <c r="DX69" s="95"/>
      <c r="DY69" s="95"/>
      <c r="DZ69" s="95"/>
      <c r="EA69" s="95"/>
      <c r="EB69" s="95"/>
      <c r="EC69" s="95"/>
      <c r="ED69" s="95"/>
      <c r="EE69" s="95"/>
      <c r="EF69" s="95"/>
      <c r="EG69" s="95"/>
      <c r="EH69" s="95"/>
      <c r="EI69" s="95"/>
      <c r="EJ69" s="95"/>
      <c r="EK69" s="95"/>
      <c r="EL69" s="95"/>
      <c r="EM69" s="95"/>
      <c r="EN69" s="95"/>
      <c r="EO69" s="95"/>
      <c r="EP69" s="95"/>
      <c r="EQ69" s="95"/>
      <c r="ER69" s="95"/>
      <c r="ES69" s="95"/>
      <c r="ET69" s="95"/>
      <c r="EU69" s="95"/>
      <c r="EV69" s="95"/>
      <c r="EW69" s="95"/>
      <c r="EX69" s="95"/>
      <c r="EY69" s="95"/>
      <c r="EZ69" s="95"/>
      <c r="FA69" s="95"/>
      <c r="FB69" s="95"/>
      <c r="FC69" s="95"/>
      <c r="FD69" s="95"/>
      <c r="FE69" s="95"/>
      <c r="FF69" s="95"/>
      <c r="FG69" s="95"/>
      <c r="FH69" s="95"/>
      <c r="FI69" s="95"/>
      <c r="FJ69" s="95"/>
      <c r="FK69" s="95"/>
      <c r="FL69" s="95"/>
      <c r="FM69" s="95"/>
      <c r="FN69" s="95"/>
      <c r="FO69" s="95"/>
      <c r="FP69" s="95"/>
      <c r="FQ69" s="95"/>
      <c r="FR69" s="95"/>
      <c r="FS69" s="95"/>
      <c r="FT69" s="95"/>
      <c r="FU69" s="95"/>
      <c r="FV69" s="95"/>
      <c r="FW69" s="95"/>
      <c r="FX69" s="95"/>
      <c r="FY69" s="95"/>
      <c r="FZ69" s="95"/>
      <c r="GA69" s="95"/>
      <c r="GB69" s="95"/>
      <c r="GC69" s="95"/>
      <c r="GD69" s="95"/>
      <c r="GE69" s="95"/>
      <c r="GF69" s="95"/>
      <c r="GG69" s="95"/>
      <c r="GH69" s="95"/>
      <c r="GI69" s="95"/>
      <c r="GJ69" s="95"/>
      <c r="GK69" s="95"/>
      <c r="GL69" s="95"/>
      <c r="GM69" s="95"/>
      <c r="GN69" s="95"/>
      <c r="GO69" s="95"/>
      <c r="GP69" s="95"/>
      <c r="GQ69" s="95"/>
      <c r="GR69" s="95"/>
      <c r="GS69" s="95"/>
      <c r="GT69" s="95"/>
      <c r="GU69" s="95"/>
      <c r="GV69" s="95"/>
      <c r="GW69" s="95"/>
      <c r="GX69" s="95"/>
      <c r="GY69" s="95"/>
      <c r="GZ69" s="95"/>
      <c r="HA69" s="95"/>
      <c r="HB69" s="95"/>
      <c r="HC69" s="95"/>
      <c r="HD69" s="95"/>
      <c r="HE69" s="95"/>
      <c r="HF69" s="95"/>
      <c r="HG69" s="95"/>
      <c r="HH69" s="95"/>
      <c r="HI69" s="95"/>
      <c r="HJ69" s="95"/>
      <c r="HK69" s="95"/>
      <c r="HL69" s="95"/>
      <c r="HM69" s="95"/>
      <c r="HN69" s="95"/>
      <c r="HO69" s="95"/>
      <c r="HP69" s="95"/>
      <c r="HQ69" s="95"/>
      <c r="HR69" s="95"/>
      <c r="HS69" s="95"/>
      <c r="HT69" s="95"/>
      <c r="HU69" s="95"/>
      <c r="HV69" s="95"/>
      <c r="HW69" s="95"/>
      <c r="HX69" s="95"/>
      <c r="HY69" s="95"/>
      <c r="HZ69" s="95"/>
      <c r="IA69" s="95"/>
      <c r="IB69" s="95"/>
      <c r="IC69" s="95"/>
      <c r="ID69" s="95"/>
      <c r="IE69" s="95"/>
      <c r="IF69" s="95"/>
      <c r="IG69" s="95"/>
      <c r="IH69" s="95"/>
      <c r="II69" s="95"/>
      <c r="IJ69" s="95"/>
      <c r="IK69" s="95"/>
      <c r="IL69" s="95"/>
      <c r="IM69" s="95"/>
      <c r="IN69" s="95"/>
      <c r="IO69" s="95"/>
      <c r="IP69" s="95"/>
      <c r="IQ69" s="95"/>
      <c r="IR69" s="95"/>
      <c r="IS69" s="95"/>
      <c r="IT69" s="95"/>
      <c r="IU69" s="95"/>
      <c r="IV69" s="95"/>
      <c r="IW69" s="95"/>
      <c r="IX69" s="95"/>
      <c r="IY69" s="95"/>
      <c r="IZ69" s="95"/>
      <c r="JA69" s="95"/>
      <c r="JB69" s="95"/>
      <c r="JC69" s="95"/>
      <c r="JD69" s="95"/>
      <c r="JE69" s="95"/>
      <c r="JF69" s="95"/>
      <c r="JG69" s="95"/>
      <c r="JH69" s="95"/>
      <c r="JI69" s="95"/>
      <c r="JJ69" s="95"/>
      <c r="JK69" s="95"/>
      <c r="JL69" s="95"/>
      <c r="JM69" s="95"/>
      <c r="JN69" s="95"/>
      <c r="JO69" s="95"/>
      <c r="JP69" s="95"/>
      <c r="JQ69" s="95"/>
      <c r="JR69" s="95"/>
      <c r="JS69" s="95"/>
      <c r="JT69" s="95"/>
      <c r="JU69" s="95"/>
      <c r="JV69" s="95"/>
      <c r="JW69" s="95"/>
      <c r="JX69" s="95"/>
      <c r="JY69" s="95"/>
      <c r="JZ69" s="95"/>
    </row>
    <row r="70" spans="1:286" s="97" customFormat="1" ht="82.5" customHeight="1" x14ac:dyDescent="0.25">
      <c r="A70" s="297"/>
      <c r="B70" s="30" t="s">
        <v>45</v>
      </c>
      <c r="C70" s="31" t="s">
        <v>150</v>
      </c>
      <c r="D70" s="32" t="s">
        <v>106</v>
      </c>
      <c r="E70" s="32" t="s">
        <v>75</v>
      </c>
      <c r="F70" s="51" t="s">
        <v>61</v>
      </c>
      <c r="G70" s="83"/>
      <c r="H70" s="84">
        <f>SUM(H69)</f>
        <v>5</v>
      </c>
      <c r="I70" s="84">
        <f t="shared" ref="I70" si="139">SUM(I69)</f>
        <v>1</v>
      </c>
      <c r="J70" s="84">
        <f t="shared" ref="J70:P70" si="140">SUM(J69)</f>
        <v>1</v>
      </c>
      <c r="K70" s="84">
        <f t="shared" si="140"/>
        <v>1</v>
      </c>
      <c r="L70" s="84">
        <f t="shared" si="140"/>
        <v>1</v>
      </c>
      <c r="M70" s="84">
        <f t="shared" si="140"/>
        <v>1</v>
      </c>
      <c r="N70" s="84">
        <f t="shared" si="11"/>
        <v>5</v>
      </c>
      <c r="O70" s="84">
        <f t="shared" si="140"/>
        <v>0</v>
      </c>
      <c r="P70" s="84">
        <f t="shared" si="140"/>
        <v>0</v>
      </c>
      <c r="Q70" s="96"/>
      <c r="R70" s="85"/>
      <c r="S70" s="53"/>
      <c r="T70" s="51"/>
      <c r="U70" s="84">
        <f>SUM(U69)</f>
        <v>5</v>
      </c>
      <c r="V70" s="84">
        <f t="shared" ref="V70" si="141">SUM(V69)</f>
        <v>1</v>
      </c>
      <c r="W70" s="84">
        <f t="shared" ref="W70:AJ70" si="142">SUM(W69)</f>
        <v>1</v>
      </c>
      <c r="X70" s="84">
        <f t="shared" si="142"/>
        <v>1</v>
      </c>
      <c r="Y70" s="84">
        <f t="shared" si="142"/>
        <v>1</v>
      </c>
      <c r="Z70" s="84">
        <f t="shared" si="142"/>
        <v>1</v>
      </c>
      <c r="AA70" s="84">
        <f t="shared" si="136"/>
        <v>5</v>
      </c>
      <c r="AB70" s="84">
        <f t="shared" si="142"/>
        <v>0</v>
      </c>
      <c r="AC70" s="84">
        <f t="shared" si="142"/>
        <v>1</v>
      </c>
      <c r="AD70" s="84">
        <f t="shared" si="142"/>
        <v>0</v>
      </c>
      <c r="AE70" s="84">
        <f t="shared" si="142"/>
        <v>0</v>
      </c>
      <c r="AF70" s="84">
        <f t="shared" si="142"/>
        <v>0</v>
      </c>
      <c r="AG70" s="84">
        <f t="shared" si="142"/>
        <v>0</v>
      </c>
      <c r="AH70" s="84">
        <f t="shared" si="142"/>
        <v>0</v>
      </c>
      <c r="AI70" s="84">
        <f t="shared" si="137"/>
        <v>0</v>
      </c>
      <c r="AJ70" s="84">
        <f t="shared" si="142"/>
        <v>0</v>
      </c>
      <c r="AK70" s="83"/>
      <c r="AL70" s="85"/>
      <c r="AM70" s="83"/>
      <c r="AN70" s="96"/>
      <c r="AO70" s="96"/>
      <c r="AP70" s="51"/>
      <c r="AQ70" s="83">
        <f>SUM(AQ69)</f>
        <v>0</v>
      </c>
      <c r="AR70" s="83">
        <f t="shared" ref="AR70:AT70" si="143">SUM(AR69)</f>
        <v>0</v>
      </c>
      <c r="AS70" s="83">
        <f t="shared" si="143"/>
        <v>0</v>
      </c>
      <c r="AT70" s="83">
        <f t="shared" si="143"/>
        <v>0</v>
      </c>
      <c r="AU70" s="87"/>
      <c r="AV70" s="83"/>
      <c r="AW70" s="51"/>
      <c r="AX70" s="51" t="s">
        <v>147</v>
      </c>
      <c r="AY70" s="95"/>
      <c r="AZ70" s="95"/>
      <c r="BA70" s="95"/>
      <c r="BB70" s="95"/>
      <c r="BC70" s="95"/>
      <c r="BD70" s="95"/>
      <c r="BE70" s="95"/>
      <c r="BF70" s="95"/>
      <c r="BG70" s="95"/>
      <c r="BH70" s="95"/>
      <c r="BI70" s="95"/>
      <c r="BJ70" s="95"/>
      <c r="BK70" s="95"/>
      <c r="BL70" s="95"/>
      <c r="BM70" s="95"/>
      <c r="BN70" s="95"/>
      <c r="BO70" s="95"/>
      <c r="BP70" s="95"/>
      <c r="BQ70" s="95"/>
      <c r="BR70" s="95"/>
      <c r="BS70" s="95"/>
      <c r="BT70" s="95"/>
      <c r="BU70" s="95"/>
      <c r="BV70" s="95"/>
      <c r="BW70" s="95"/>
      <c r="BX70" s="95"/>
      <c r="BY70" s="95"/>
      <c r="BZ70" s="95"/>
      <c r="CA70" s="95"/>
      <c r="CB70" s="95"/>
      <c r="CC70" s="95"/>
      <c r="CD70" s="95"/>
      <c r="CE70" s="95"/>
      <c r="CF70" s="95"/>
      <c r="CG70" s="95"/>
      <c r="CH70" s="95"/>
      <c r="CI70" s="95"/>
      <c r="CJ70" s="95"/>
      <c r="CK70" s="95"/>
      <c r="CL70" s="95"/>
      <c r="CM70" s="95"/>
      <c r="CN70" s="95"/>
      <c r="CO70" s="95"/>
      <c r="CP70" s="95"/>
      <c r="CQ70" s="95"/>
      <c r="CR70" s="95"/>
      <c r="CS70" s="95"/>
      <c r="CT70" s="95"/>
      <c r="CU70" s="95"/>
      <c r="CV70" s="95"/>
      <c r="CW70" s="95"/>
      <c r="CX70" s="95"/>
      <c r="CY70" s="95"/>
      <c r="CZ70" s="95"/>
      <c r="DA70" s="95"/>
      <c r="DB70" s="95"/>
      <c r="DC70" s="95"/>
      <c r="DD70" s="95"/>
      <c r="DE70" s="95"/>
      <c r="DF70" s="95"/>
      <c r="DG70" s="95"/>
      <c r="DH70" s="95"/>
      <c r="DI70" s="95"/>
      <c r="DJ70" s="95"/>
      <c r="DK70" s="95"/>
      <c r="DL70" s="95"/>
      <c r="DM70" s="95"/>
      <c r="DN70" s="95"/>
      <c r="DO70" s="95"/>
      <c r="DP70" s="95"/>
      <c r="DQ70" s="95"/>
      <c r="DR70" s="95"/>
      <c r="DS70" s="95"/>
      <c r="DT70" s="95"/>
      <c r="DU70" s="95"/>
      <c r="DV70" s="95"/>
      <c r="DW70" s="95"/>
      <c r="DX70" s="95"/>
      <c r="DY70" s="95"/>
      <c r="DZ70" s="95"/>
      <c r="EA70" s="95"/>
      <c r="EB70" s="95"/>
      <c r="EC70" s="95"/>
      <c r="ED70" s="95"/>
      <c r="EE70" s="95"/>
      <c r="EF70" s="95"/>
      <c r="EG70" s="95"/>
      <c r="EH70" s="95"/>
      <c r="EI70" s="95"/>
      <c r="EJ70" s="95"/>
      <c r="EK70" s="95"/>
      <c r="EL70" s="95"/>
      <c r="EM70" s="95"/>
      <c r="EN70" s="95"/>
      <c r="EO70" s="95"/>
      <c r="EP70" s="95"/>
      <c r="EQ70" s="95"/>
      <c r="ER70" s="95"/>
      <c r="ES70" s="95"/>
      <c r="ET70" s="95"/>
      <c r="EU70" s="95"/>
      <c r="EV70" s="95"/>
      <c r="EW70" s="95"/>
      <c r="EX70" s="95"/>
      <c r="EY70" s="95"/>
      <c r="EZ70" s="95"/>
      <c r="FA70" s="95"/>
      <c r="FB70" s="95"/>
      <c r="FC70" s="95"/>
      <c r="FD70" s="95"/>
      <c r="FE70" s="95"/>
      <c r="FF70" s="95"/>
      <c r="FG70" s="95"/>
      <c r="FH70" s="95"/>
      <c r="FI70" s="95"/>
      <c r="FJ70" s="95"/>
      <c r="FK70" s="95"/>
      <c r="FL70" s="95"/>
      <c r="FM70" s="95"/>
      <c r="FN70" s="95"/>
      <c r="FO70" s="95"/>
      <c r="FP70" s="95"/>
      <c r="FQ70" s="95"/>
      <c r="FR70" s="95"/>
      <c r="FS70" s="95"/>
      <c r="FT70" s="95"/>
      <c r="FU70" s="95"/>
      <c r="FV70" s="95"/>
      <c r="FW70" s="95"/>
      <c r="FX70" s="95"/>
      <c r="FY70" s="95"/>
      <c r="FZ70" s="95"/>
      <c r="GA70" s="95"/>
      <c r="GB70" s="95"/>
      <c r="GC70" s="95"/>
      <c r="GD70" s="95"/>
      <c r="GE70" s="95"/>
      <c r="GF70" s="95"/>
      <c r="GG70" s="95"/>
      <c r="GH70" s="95"/>
      <c r="GI70" s="95"/>
      <c r="GJ70" s="95"/>
      <c r="GK70" s="95"/>
      <c r="GL70" s="95"/>
      <c r="GM70" s="95"/>
      <c r="GN70" s="95"/>
      <c r="GO70" s="95"/>
      <c r="GP70" s="95"/>
      <c r="GQ70" s="95"/>
      <c r="GR70" s="95"/>
      <c r="GS70" s="95"/>
      <c r="GT70" s="95"/>
      <c r="GU70" s="95"/>
      <c r="GV70" s="95"/>
      <c r="GW70" s="95"/>
      <c r="GX70" s="95"/>
      <c r="GY70" s="95"/>
      <c r="GZ70" s="95"/>
      <c r="HA70" s="95"/>
      <c r="HB70" s="95"/>
      <c r="HC70" s="95"/>
      <c r="HD70" s="95"/>
      <c r="HE70" s="95"/>
      <c r="HF70" s="95"/>
      <c r="HG70" s="95"/>
      <c r="HH70" s="95"/>
      <c r="HI70" s="95"/>
      <c r="HJ70" s="95"/>
      <c r="HK70" s="95"/>
      <c r="HL70" s="95"/>
      <c r="HM70" s="95"/>
      <c r="HN70" s="95"/>
      <c r="HO70" s="95"/>
      <c r="HP70" s="95"/>
      <c r="HQ70" s="95"/>
      <c r="HR70" s="95"/>
      <c r="HS70" s="95"/>
      <c r="HT70" s="95"/>
      <c r="HU70" s="95"/>
      <c r="HV70" s="95"/>
      <c r="HW70" s="95"/>
      <c r="HX70" s="95"/>
      <c r="HY70" s="95"/>
      <c r="HZ70" s="95"/>
      <c r="IA70" s="95"/>
      <c r="IB70" s="95"/>
      <c r="IC70" s="95"/>
      <c r="ID70" s="95"/>
      <c r="IE70" s="95"/>
      <c r="IF70" s="95"/>
      <c r="IG70" s="95"/>
      <c r="IH70" s="95"/>
      <c r="II70" s="95"/>
      <c r="IJ70" s="95"/>
      <c r="IK70" s="95"/>
      <c r="IL70" s="95"/>
      <c r="IM70" s="95"/>
      <c r="IN70" s="95"/>
      <c r="IO70" s="95"/>
      <c r="IP70" s="95"/>
      <c r="IQ70" s="95"/>
      <c r="IR70" s="95"/>
      <c r="IS70" s="95"/>
      <c r="IT70" s="95"/>
      <c r="IU70" s="95"/>
      <c r="IV70" s="95"/>
      <c r="IW70" s="95"/>
      <c r="IX70" s="95"/>
      <c r="IY70" s="95"/>
      <c r="IZ70" s="95"/>
      <c r="JA70" s="95"/>
      <c r="JB70" s="95"/>
      <c r="JC70" s="95"/>
      <c r="JD70" s="95"/>
      <c r="JE70" s="95"/>
      <c r="JF70" s="95"/>
      <c r="JG70" s="95"/>
      <c r="JH70" s="95"/>
      <c r="JI70" s="95"/>
      <c r="JJ70" s="95"/>
      <c r="JK70" s="95"/>
      <c r="JL70" s="95"/>
      <c r="JM70" s="95"/>
      <c r="JN70" s="95"/>
      <c r="JO70" s="95"/>
      <c r="JP70" s="95"/>
      <c r="JQ70" s="95"/>
      <c r="JR70" s="95"/>
      <c r="JS70" s="95"/>
      <c r="JT70" s="95"/>
      <c r="JU70" s="95"/>
      <c r="JV70" s="95"/>
      <c r="JW70" s="95"/>
      <c r="JX70" s="95"/>
      <c r="JY70" s="95"/>
      <c r="JZ70" s="95"/>
    </row>
    <row r="71" spans="1:286" s="95" customFormat="1" ht="82.5" customHeight="1" x14ac:dyDescent="0.25">
      <c r="A71" s="297"/>
      <c r="B71" s="30" t="s">
        <v>45</v>
      </c>
      <c r="C71" s="31" t="s">
        <v>152</v>
      </c>
      <c r="D71" s="32" t="s">
        <v>106</v>
      </c>
      <c r="E71" s="32" t="s">
        <v>75</v>
      </c>
      <c r="F71" s="217"/>
      <c r="G71" s="65" t="s">
        <v>50</v>
      </c>
      <c r="H71" s="217">
        <v>10</v>
      </c>
      <c r="I71" s="240">
        <v>3</v>
      </c>
      <c r="J71" s="230">
        <v>0</v>
      </c>
      <c r="K71" s="224">
        <v>4</v>
      </c>
      <c r="L71" s="226">
        <v>1</v>
      </c>
      <c r="M71" s="232">
        <v>1</v>
      </c>
      <c r="N71" s="234">
        <f t="shared" si="11"/>
        <v>9</v>
      </c>
      <c r="O71" s="216">
        <v>0</v>
      </c>
      <c r="P71" s="71"/>
      <c r="Q71" s="217"/>
      <c r="R71" s="217" t="s">
        <v>51</v>
      </c>
      <c r="S71" s="235" t="s">
        <v>153</v>
      </c>
      <c r="T71" s="203" t="s">
        <v>77</v>
      </c>
      <c r="U71" s="217">
        <v>10</v>
      </c>
      <c r="V71" s="238">
        <v>3</v>
      </c>
      <c r="W71" s="230">
        <v>0</v>
      </c>
      <c r="X71" s="224">
        <v>4</v>
      </c>
      <c r="Y71" s="226">
        <v>2</v>
      </c>
      <c r="Z71" s="232">
        <v>1</v>
      </c>
      <c r="AA71" s="234">
        <f t="shared" si="136"/>
        <v>10</v>
      </c>
      <c r="AB71" s="216">
        <v>0</v>
      </c>
      <c r="AC71" s="217">
        <v>1</v>
      </c>
      <c r="AD71" s="238">
        <v>0</v>
      </c>
      <c r="AE71" s="230">
        <v>0</v>
      </c>
      <c r="AF71" s="224">
        <v>0</v>
      </c>
      <c r="AG71" s="226">
        <v>0</v>
      </c>
      <c r="AH71" s="232">
        <v>0</v>
      </c>
      <c r="AI71" s="234">
        <f t="shared" si="137"/>
        <v>0</v>
      </c>
      <c r="AJ71" s="242">
        <v>0</v>
      </c>
      <c r="AK71" s="217"/>
      <c r="AL71" s="217"/>
      <c r="AM71" s="243"/>
      <c r="AN71" s="217"/>
      <c r="AO71" s="72"/>
      <c r="AP71" s="33" t="s">
        <v>58</v>
      </c>
      <c r="AQ71" s="65">
        <v>1</v>
      </c>
      <c r="AR71" s="73">
        <v>0</v>
      </c>
      <c r="AS71" s="74">
        <v>1</v>
      </c>
      <c r="AT71" s="75">
        <v>0</v>
      </c>
      <c r="AU71" s="217"/>
      <c r="AV71" s="217"/>
      <c r="AW71" s="217"/>
      <c r="AX71" s="108" t="s">
        <v>108</v>
      </c>
    </row>
    <row r="72" spans="1:286" s="95" customFormat="1" ht="82.5" customHeight="1" x14ac:dyDescent="0.25">
      <c r="A72" s="297"/>
      <c r="B72" s="30" t="s">
        <v>45</v>
      </c>
      <c r="C72" s="31" t="s">
        <v>152</v>
      </c>
      <c r="D72" s="32" t="s">
        <v>106</v>
      </c>
      <c r="E72" s="32" t="s">
        <v>75</v>
      </c>
      <c r="F72" s="217"/>
      <c r="G72" s="65" t="s">
        <v>50</v>
      </c>
      <c r="H72" s="217"/>
      <c r="I72" s="241"/>
      <c r="J72" s="231"/>
      <c r="K72" s="225"/>
      <c r="L72" s="227"/>
      <c r="M72" s="233"/>
      <c r="N72" s="234">
        <f t="shared" si="11"/>
        <v>0</v>
      </c>
      <c r="O72" s="216"/>
      <c r="P72" s="71"/>
      <c r="Q72" s="217"/>
      <c r="R72" s="217"/>
      <c r="S72" s="235"/>
      <c r="T72" s="203"/>
      <c r="U72" s="217"/>
      <c r="V72" s="239"/>
      <c r="W72" s="231"/>
      <c r="X72" s="225"/>
      <c r="Y72" s="227"/>
      <c r="Z72" s="233"/>
      <c r="AA72" s="234">
        <f t="shared" si="136"/>
        <v>0</v>
      </c>
      <c r="AB72" s="216">
        <v>0</v>
      </c>
      <c r="AC72" s="217"/>
      <c r="AD72" s="239"/>
      <c r="AE72" s="231"/>
      <c r="AF72" s="225"/>
      <c r="AG72" s="227"/>
      <c r="AH72" s="233"/>
      <c r="AI72" s="234">
        <f t="shared" si="137"/>
        <v>0</v>
      </c>
      <c r="AJ72" s="242"/>
      <c r="AK72" s="217"/>
      <c r="AL72" s="217"/>
      <c r="AM72" s="243"/>
      <c r="AN72" s="217"/>
      <c r="AO72" s="72"/>
      <c r="AP72" s="33" t="s">
        <v>154</v>
      </c>
      <c r="AQ72" s="65">
        <v>1</v>
      </c>
      <c r="AR72" s="73">
        <v>1</v>
      </c>
      <c r="AS72" s="74">
        <v>0</v>
      </c>
      <c r="AT72" s="75">
        <v>0</v>
      </c>
      <c r="AU72" s="217"/>
      <c r="AV72" s="217"/>
      <c r="AW72" s="217"/>
      <c r="AX72" s="108" t="s">
        <v>108</v>
      </c>
    </row>
    <row r="73" spans="1:286" s="97" customFormat="1" ht="82.5" customHeight="1" x14ac:dyDescent="0.25">
      <c r="A73" s="297"/>
      <c r="B73" s="30" t="s">
        <v>45</v>
      </c>
      <c r="C73" s="31" t="s">
        <v>152</v>
      </c>
      <c r="D73" s="32" t="s">
        <v>106</v>
      </c>
      <c r="E73" s="32" t="s">
        <v>75</v>
      </c>
      <c r="F73" s="51" t="s">
        <v>61</v>
      </c>
      <c r="G73" s="83"/>
      <c r="H73" s="84">
        <f>SUM(H71)</f>
        <v>10</v>
      </c>
      <c r="I73" s="84">
        <f t="shared" ref="I73" si="144">SUM(I71)</f>
        <v>3</v>
      </c>
      <c r="J73" s="84">
        <f t="shared" ref="J73:L73" si="145">SUM(J71)</f>
        <v>0</v>
      </c>
      <c r="K73" s="84">
        <f t="shared" si="145"/>
        <v>4</v>
      </c>
      <c r="L73" s="84">
        <f t="shared" si="145"/>
        <v>1</v>
      </c>
      <c r="M73" s="84"/>
      <c r="N73" s="84">
        <f t="shared" ref="N73:N136" si="146">SUM(I73:M73)</f>
        <v>8</v>
      </c>
      <c r="O73" s="84">
        <f t="shared" ref="O73" si="147">SUM(O71)</f>
        <v>0</v>
      </c>
      <c r="P73" s="84">
        <v>0</v>
      </c>
      <c r="Q73" s="96"/>
      <c r="R73" s="85"/>
      <c r="S73" s="53"/>
      <c r="T73" s="51"/>
      <c r="U73" s="84">
        <f t="shared" ref="U73:AJ73" si="148">SUM(U71)</f>
        <v>10</v>
      </c>
      <c r="V73" s="84">
        <f t="shared" si="148"/>
        <v>3</v>
      </c>
      <c r="W73" s="84">
        <f t="shared" si="148"/>
        <v>0</v>
      </c>
      <c r="X73" s="84">
        <f t="shared" si="148"/>
        <v>4</v>
      </c>
      <c r="Y73" s="84">
        <f t="shared" si="148"/>
        <v>2</v>
      </c>
      <c r="Z73" s="84">
        <f t="shared" si="148"/>
        <v>1</v>
      </c>
      <c r="AA73" s="84">
        <f t="shared" si="136"/>
        <v>10</v>
      </c>
      <c r="AB73" s="84">
        <f t="shared" si="148"/>
        <v>0</v>
      </c>
      <c r="AC73" s="84">
        <f t="shared" si="148"/>
        <v>1</v>
      </c>
      <c r="AD73" s="84">
        <f t="shared" si="148"/>
        <v>0</v>
      </c>
      <c r="AE73" s="84">
        <f t="shared" si="148"/>
        <v>0</v>
      </c>
      <c r="AF73" s="84">
        <f t="shared" si="148"/>
        <v>0</v>
      </c>
      <c r="AG73" s="84">
        <f t="shared" si="148"/>
        <v>0</v>
      </c>
      <c r="AH73" s="84">
        <f t="shared" si="148"/>
        <v>0</v>
      </c>
      <c r="AI73" s="84">
        <f t="shared" si="137"/>
        <v>0</v>
      </c>
      <c r="AJ73" s="84">
        <f t="shared" si="148"/>
        <v>0</v>
      </c>
      <c r="AK73" s="83"/>
      <c r="AL73" s="85"/>
      <c r="AM73" s="83"/>
      <c r="AN73" s="96"/>
      <c r="AO73" s="96"/>
      <c r="AP73" s="51"/>
      <c r="AQ73" s="83">
        <f>SUM(AQ71)</f>
        <v>1</v>
      </c>
      <c r="AR73" s="83">
        <f>SUM(AR71:AR72)</f>
        <v>1</v>
      </c>
      <c r="AS73" s="83">
        <f t="shared" ref="AS73:AT73" si="149">SUM(AS71)</f>
        <v>1</v>
      </c>
      <c r="AT73" s="83">
        <f t="shared" si="149"/>
        <v>0</v>
      </c>
      <c r="AU73" s="87"/>
      <c r="AV73" s="83"/>
      <c r="AW73" s="51"/>
      <c r="AX73" s="51" t="s">
        <v>108</v>
      </c>
      <c r="AY73" s="95"/>
      <c r="AZ73" s="95"/>
      <c r="BA73" s="95"/>
      <c r="BB73" s="95"/>
      <c r="BC73" s="95"/>
      <c r="BD73" s="95"/>
      <c r="BE73" s="95"/>
      <c r="BF73" s="95"/>
      <c r="BG73" s="95"/>
      <c r="BH73" s="95"/>
      <c r="BI73" s="95"/>
      <c r="BJ73" s="95"/>
      <c r="BK73" s="95"/>
      <c r="BL73" s="95"/>
      <c r="BM73" s="95"/>
      <c r="BN73" s="95"/>
      <c r="BO73" s="95"/>
      <c r="BP73" s="95"/>
      <c r="BQ73" s="95"/>
      <c r="BR73" s="95"/>
      <c r="BS73" s="95"/>
      <c r="BT73" s="95"/>
      <c r="BU73" s="95"/>
      <c r="BV73" s="95"/>
      <c r="BW73" s="95"/>
      <c r="BX73" s="95"/>
      <c r="BY73" s="95"/>
      <c r="BZ73" s="95"/>
      <c r="CA73" s="95"/>
      <c r="CB73" s="95"/>
      <c r="CC73" s="95"/>
      <c r="CD73" s="95"/>
      <c r="CE73" s="95"/>
      <c r="CF73" s="95"/>
      <c r="CG73" s="95"/>
      <c r="CH73" s="95"/>
      <c r="CI73" s="95"/>
      <c r="CJ73" s="95"/>
      <c r="CK73" s="95"/>
      <c r="CL73" s="95"/>
      <c r="CM73" s="95"/>
      <c r="CN73" s="95"/>
      <c r="CO73" s="95"/>
      <c r="CP73" s="95"/>
      <c r="CQ73" s="95"/>
      <c r="CR73" s="95"/>
      <c r="CS73" s="95"/>
      <c r="CT73" s="95"/>
      <c r="CU73" s="95"/>
      <c r="CV73" s="95"/>
      <c r="CW73" s="95"/>
      <c r="CX73" s="95"/>
      <c r="CY73" s="95"/>
      <c r="CZ73" s="95"/>
      <c r="DA73" s="95"/>
      <c r="DB73" s="95"/>
      <c r="DC73" s="95"/>
      <c r="DD73" s="95"/>
      <c r="DE73" s="95"/>
      <c r="DF73" s="95"/>
      <c r="DG73" s="95"/>
      <c r="DH73" s="95"/>
      <c r="DI73" s="95"/>
      <c r="DJ73" s="95"/>
      <c r="DK73" s="95"/>
      <c r="DL73" s="95"/>
      <c r="DM73" s="95"/>
      <c r="DN73" s="95"/>
      <c r="DO73" s="95"/>
      <c r="DP73" s="95"/>
      <c r="DQ73" s="95"/>
      <c r="DR73" s="95"/>
      <c r="DS73" s="95"/>
      <c r="DT73" s="95"/>
      <c r="DU73" s="95"/>
      <c r="DV73" s="95"/>
      <c r="DW73" s="95"/>
      <c r="DX73" s="95"/>
      <c r="DY73" s="95"/>
      <c r="DZ73" s="95"/>
      <c r="EA73" s="95"/>
      <c r="EB73" s="95"/>
      <c r="EC73" s="95"/>
      <c r="ED73" s="95"/>
      <c r="EE73" s="95"/>
      <c r="EF73" s="95"/>
      <c r="EG73" s="95"/>
      <c r="EH73" s="95"/>
      <c r="EI73" s="95"/>
      <c r="EJ73" s="95"/>
      <c r="EK73" s="95"/>
      <c r="EL73" s="95"/>
      <c r="EM73" s="95"/>
      <c r="EN73" s="95"/>
      <c r="EO73" s="95"/>
      <c r="EP73" s="95"/>
      <c r="EQ73" s="95"/>
      <c r="ER73" s="95"/>
      <c r="ES73" s="95"/>
      <c r="ET73" s="95"/>
      <c r="EU73" s="95"/>
      <c r="EV73" s="95"/>
      <c r="EW73" s="95"/>
      <c r="EX73" s="95"/>
      <c r="EY73" s="95"/>
      <c r="EZ73" s="95"/>
      <c r="FA73" s="95"/>
      <c r="FB73" s="95"/>
      <c r="FC73" s="95"/>
      <c r="FD73" s="95"/>
      <c r="FE73" s="95"/>
      <c r="FF73" s="95"/>
      <c r="FG73" s="95"/>
      <c r="FH73" s="95"/>
      <c r="FI73" s="95"/>
      <c r="FJ73" s="95"/>
      <c r="FK73" s="95"/>
      <c r="FL73" s="95"/>
      <c r="FM73" s="95"/>
      <c r="FN73" s="95"/>
      <c r="FO73" s="95"/>
      <c r="FP73" s="95"/>
      <c r="FQ73" s="95"/>
      <c r="FR73" s="95"/>
      <c r="FS73" s="95"/>
      <c r="FT73" s="95"/>
      <c r="FU73" s="95"/>
      <c r="FV73" s="95"/>
      <c r="FW73" s="95"/>
      <c r="FX73" s="95"/>
      <c r="FY73" s="95"/>
      <c r="FZ73" s="95"/>
      <c r="GA73" s="95"/>
      <c r="GB73" s="95"/>
      <c r="GC73" s="95"/>
      <c r="GD73" s="95"/>
      <c r="GE73" s="95"/>
      <c r="GF73" s="95"/>
      <c r="GG73" s="95"/>
      <c r="GH73" s="95"/>
      <c r="GI73" s="95"/>
      <c r="GJ73" s="95"/>
      <c r="GK73" s="95"/>
      <c r="GL73" s="95"/>
      <c r="GM73" s="95"/>
      <c r="GN73" s="95"/>
      <c r="GO73" s="95"/>
      <c r="GP73" s="95"/>
      <c r="GQ73" s="95"/>
      <c r="GR73" s="95"/>
      <c r="GS73" s="95"/>
      <c r="GT73" s="95"/>
      <c r="GU73" s="95"/>
      <c r="GV73" s="95"/>
      <c r="GW73" s="95"/>
      <c r="GX73" s="95"/>
      <c r="GY73" s="95"/>
      <c r="GZ73" s="95"/>
      <c r="HA73" s="95"/>
      <c r="HB73" s="95"/>
      <c r="HC73" s="95"/>
      <c r="HD73" s="95"/>
      <c r="HE73" s="95"/>
      <c r="HF73" s="95"/>
      <c r="HG73" s="95"/>
      <c r="HH73" s="95"/>
      <c r="HI73" s="95"/>
      <c r="HJ73" s="95"/>
      <c r="HK73" s="95"/>
      <c r="HL73" s="95"/>
      <c r="HM73" s="95"/>
      <c r="HN73" s="95"/>
      <c r="HO73" s="95"/>
      <c r="HP73" s="95"/>
      <c r="HQ73" s="95"/>
      <c r="HR73" s="95"/>
      <c r="HS73" s="95"/>
      <c r="HT73" s="95"/>
      <c r="HU73" s="95"/>
      <c r="HV73" s="95"/>
      <c r="HW73" s="95"/>
      <c r="HX73" s="95"/>
      <c r="HY73" s="95"/>
      <c r="HZ73" s="95"/>
      <c r="IA73" s="95"/>
      <c r="IB73" s="95"/>
      <c r="IC73" s="95"/>
      <c r="ID73" s="95"/>
      <c r="IE73" s="95"/>
      <c r="IF73" s="95"/>
      <c r="IG73" s="95"/>
      <c r="IH73" s="95"/>
      <c r="II73" s="95"/>
      <c r="IJ73" s="95"/>
      <c r="IK73" s="95"/>
      <c r="IL73" s="95"/>
      <c r="IM73" s="95"/>
      <c r="IN73" s="95"/>
      <c r="IO73" s="95"/>
      <c r="IP73" s="95"/>
      <c r="IQ73" s="95"/>
      <c r="IR73" s="95"/>
      <c r="IS73" s="95"/>
      <c r="IT73" s="95"/>
      <c r="IU73" s="95"/>
      <c r="IV73" s="95"/>
      <c r="IW73" s="95"/>
      <c r="IX73" s="95"/>
      <c r="IY73" s="95"/>
      <c r="IZ73" s="95"/>
      <c r="JA73" s="95"/>
      <c r="JB73" s="95"/>
      <c r="JC73" s="95"/>
      <c r="JD73" s="95"/>
      <c r="JE73" s="95"/>
      <c r="JF73" s="95"/>
      <c r="JG73" s="95"/>
      <c r="JH73" s="95"/>
      <c r="JI73" s="95"/>
      <c r="JJ73" s="95"/>
      <c r="JK73" s="95"/>
      <c r="JL73" s="95"/>
      <c r="JM73" s="95"/>
      <c r="JN73" s="95"/>
      <c r="JO73" s="95"/>
      <c r="JP73" s="95"/>
      <c r="JQ73" s="95"/>
      <c r="JR73" s="95"/>
      <c r="JS73" s="95"/>
      <c r="JT73" s="95"/>
      <c r="JU73" s="95"/>
      <c r="JV73" s="95"/>
      <c r="JW73" s="95"/>
      <c r="JX73" s="95"/>
      <c r="JY73" s="95"/>
      <c r="JZ73" s="95"/>
    </row>
    <row r="74" spans="1:286" s="97" customFormat="1" ht="82.5" customHeight="1" x14ac:dyDescent="0.25">
      <c r="A74" s="297"/>
      <c r="B74" s="30" t="s">
        <v>45</v>
      </c>
      <c r="C74" s="31" t="s">
        <v>155</v>
      </c>
      <c r="D74" s="32" t="s">
        <v>106</v>
      </c>
      <c r="E74" s="32" t="s">
        <v>75</v>
      </c>
      <c r="F74" s="65"/>
      <c r="G74" s="33" t="s">
        <v>139</v>
      </c>
      <c r="H74" s="65">
        <v>5</v>
      </c>
      <c r="I74" s="107">
        <v>1</v>
      </c>
      <c r="J74" s="103">
        <v>1</v>
      </c>
      <c r="K74" s="104">
        <v>1</v>
      </c>
      <c r="L74" s="105">
        <v>1</v>
      </c>
      <c r="M74" s="106">
        <v>1</v>
      </c>
      <c r="N74" s="70">
        <f t="shared" si="146"/>
        <v>5</v>
      </c>
      <c r="O74" s="71"/>
      <c r="P74" s="71"/>
      <c r="Q74" s="65"/>
      <c r="R74" s="33" t="s">
        <v>51</v>
      </c>
      <c r="S74" s="36" t="s">
        <v>156</v>
      </c>
      <c r="T74" s="109" t="s">
        <v>77</v>
      </c>
      <c r="U74" s="65">
        <v>5</v>
      </c>
      <c r="V74" s="199">
        <v>1</v>
      </c>
      <c r="W74" s="103">
        <v>1</v>
      </c>
      <c r="X74" s="104">
        <v>1</v>
      </c>
      <c r="Y74" s="105">
        <v>1</v>
      </c>
      <c r="Z74" s="106">
        <v>1</v>
      </c>
      <c r="AA74" s="70">
        <f t="shared" si="136"/>
        <v>5</v>
      </c>
      <c r="AB74" s="35">
        <v>0</v>
      </c>
      <c r="AC74" s="65">
        <v>1</v>
      </c>
      <c r="AD74" s="199">
        <v>0</v>
      </c>
      <c r="AE74" s="103">
        <v>0</v>
      </c>
      <c r="AF74" s="104">
        <v>0</v>
      </c>
      <c r="AG74" s="105">
        <v>0</v>
      </c>
      <c r="AH74" s="106">
        <v>0</v>
      </c>
      <c r="AI74" s="70">
        <f t="shared" si="137"/>
        <v>0</v>
      </c>
      <c r="AJ74" s="71"/>
      <c r="AK74" s="65"/>
      <c r="AL74" s="65"/>
      <c r="AM74" s="72"/>
      <c r="AN74" s="65"/>
      <c r="AO74" s="72"/>
      <c r="AP74" s="33"/>
      <c r="AQ74" s="65"/>
      <c r="AR74" s="73"/>
      <c r="AS74" s="74"/>
      <c r="AT74" s="75"/>
      <c r="AU74" s="76"/>
      <c r="AV74" s="65"/>
      <c r="AW74" s="33"/>
      <c r="AX74" s="32" t="s">
        <v>108</v>
      </c>
      <c r="AY74" s="95"/>
      <c r="AZ74" s="95"/>
      <c r="BA74" s="95"/>
      <c r="BB74" s="95"/>
      <c r="BC74" s="95"/>
      <c r="BD74" s="95"/>
      <c r="BE74" s="95"/>
      <c r="BF74" s="95"/>
      <c r="BG74" s="95"/>
      <c r="BH74" s="95"/>
      <c r="BI74" s="95"/>
      <c r="BJ74" s="95"/>
      <c r="BK74" s="95"/>
      <c r="BL74" s="95"/>
      <c r="BM74" s="95"/>
      <c r="BN74" s="95"/>
      <c r="BO74" s="95"/>
      <c r="BP74" s="95"/>
      <c r="BQ74" s="95"/>
      <c r="BR74" s="95"/>
      <c r="BS74" s="95"/>
      <c r="BT74" s="95"/>
      <c r="BU74" s="95"/>
      <c r="BV74" s="95"/>
      <c r="BW74" s="95"/>
      <c r="BX74" s="95"/>
      <c r="BY74" s="95"/>
      <c r="BZ74" s="95"/>
      <c r="CA74" s="95"/>
      <c r="CB74" s="95"/>
      <c r="CC74" s="95"/>
      <c r="CD74" s="95"/>
      <c r="CE74" s="95"/>
      <c r="CF74" s="95"/>
      <c r="CG74" s="95"/>
      <c r="CH74" s="95"/>
      <c r="CI74" s="95"/>
      <c r="CJ74" s="95"/>
      <c r="CK74" s="95"/>
      <c r="CL74" s="95"/>
      <c r="CM74" s="95"/>
      <c r="CN74" s="95"/>
      <c r="CO74" s="95"/>
      <c r="CP74" s="95"/>
      <c r="CQ74" s="95"/>
      <c r="CR74" s="95"/>
      <c r="CS74" s="95"/>
      <c r="CT74" s="95"/>
      <c r="CU74" s="95"/>
      <c r="CV74" s="95"/>
      <c r="CW74" s="95"/>
      <c r="CX74" s="95"/>
      <c r="CY74" s="95"/>
      <c r="CZ74" s="95"/>
      <c r="DA74" s="95"/>
      <c r="DB74" s="95"/>
      <c r="DC74" s="95"/>
      <c r="DD74" s="95"/>
      <c r="DE74" s="95"/>
      <c r="DF74" s="95"/>
      <c r="DG74" s="95"/>
      <c r="DH74" s="95"/>
      <c r="DI74" s="95"/>
      <c r="DJ74" s="95"/>
      <c r="DK74" s="95"/>
      <c r="DL74" s="95"/>
      <c r="DM74" s="95"/>
      <c r="DN74" s="95"/>
      <c r="DO74" s="95"/>
      <c r="DP74" s="95"/>
      <c r="DQ74" s="95"/>
      <c r="DR74" s="95"/>
      <c r="DS74" s="95"/>
      <c r="DT74" s="95"/>
      <c r="DU74" s="95"/>
      <c r="DV74" s="95"/>
      <c r="DW74" s="95"/>
      <c r="DX74" s="95"/>
      <c r="DY74" s="95"/>
      <c r="DZ74" s="95"/>
      <c r="EA74" s="95"/>
      <c r="EB74" s="95"/>
      <c r="EC74" s="95"/>
      <c r="ED74" s="95"/>
      <c r="EE74" s="95"/>
      <c r="EF74" s="95"/>
      <c r="EG74" s="95"/>
      <c r="EH74" s="95"/>
      <c r="EI74" s="95"/>
      <c r="EJ74" s="95"/>
      <c r="EK74" s="95"/>
      <c r="EL74" s="95"/>
      <c r="EM74" s="95"/>
      <c r="EN74" s="95"/>
      <c r="EO74" s="95"/>
      <c r="EP74" s="95"/>
      <c r="EQ74" s="95"/>
      <c r="ER74" s="95"/>
      <c r="ES74" s="95"/>
      <c r="ET74" s="95"/>
      <c r="EU74" s="95"/>
      <c r="EV74" s="95"/>
      <c r="EW74" s="95"/>
      <c r="EX74" s="95"/>
      <c r="EY74" s="95"/>
      <c r="EZ74" s="95"/>
      <c r="FA74" s="95"/>
      <c r="FB74" s="95"/>
      <c r="FC74" s="95"/>
      <c r="FD74" s="95"/>
      <c r="FE74" s="95"/>
      <c r="FF74" s="95"/>
      <c r="FG74" s="95"/>
      <c r="FH74" s="95"/>
      <c r="FI74" s="95"/>
      <c r="FJ74" s="95"/>
      <c r="FK74" s="95"/>
      <c r="FL74" s="95"/>
      <c r="FM74" s="95"/>
      <c r="FN74" s="95"/>
      <c r="FO74" s="95"/>
      <c r="FP74" s="95"/>
      <c r="FQ74" s="95"/>
      <c r="FR74" s="95"/>
      <c r="FS74" s="95"/>
      <c r="FT74" s="95"/>
      <c r="FU74" s="95"/>
      <c r="FV74" s="95"/>
      <c r="FW74" s="95"/>
      <c r="FX74" s="95"/>
      <c r="FY74" s="95"/>
      <c r="FZ74" s="95"/>
      <c r="GA74" s="95"/>
      <c r="GB74" s="95"/>
      <c r="GC74" s="95"/>
      <c r="GD74" s="95"/>
      <c r="GE74" s="95"/>
      <c r="GF74" s="95"/>
      <c r="GG74" s="95"/>
      <c r="GH74" s="95"/>
      <c r="GI74" s="95"/>
      <c r="GJ74" s="95"/>
      <c r="GK74" s="95"/>
      <c r="GL74" s="95"/>
      <c r="GM74" s="95"/>
      <c r="GN74" s="95"/>
      <c r="GO74" s="95"/>
      <c r="GP74" s="95"/>
      <c r="GQ74" s="95"/>
      <c r="GR74" s="95"/>
      <c r="GS74" s="95"/>
      <c r="GT74" s="95"/>
      <c r="GU74" s="95"/>
      <c r="GV74" s="95"/>
      <c r="GW74" s="95"/>
      <c r="GX74" s="95"/>
      <c r="GY74" s="95"/>
      <c r="GZ74" s="95"/>
      <c r="HA74" s="95"/>
      <c r="HB74" s="95"/>
      <c r="HC74" s="95"/>
      <c r="HD74" s="95"/>
      <c r="HE74" s="95"/>
      <c r="HF74" s="95"/>
      <c r="HG74" s="95"/>
      <c r="HH74" s="95"/>
      <c r="HI74" s="95"/>
      <c r="HJ74" s="95"/>
      <c r="HK74" s="95"/>
      <c r="HL74" s="95"/>
      <c r="HM74" s="95"/>
      <c r="HN74" s="95"/>
      <c r="HO74" s="95"/>
      <c r="HP74" s="95"/>
      <c r="HQ74" s="95"/>
      <c r="HR74" s="95"/>
      <c r="HS74" s="95"/>
      <c r="HT74" s="95"/>
      <c r="HU74" s="95"/>
      <c r="HV74" s="95"/>
      <c r="HW74" s="95"/>
      <c r="HX74" s="95"/>
      <c r="HY74" s="95"/>
      <c r="HZ74" s="95"/>
      <c r="IA74" s="95"/>
      <c r="IB74" s="95"/>
      <c r="IC74" s="95"/>
      <c r="ID74" s="95"/>
      <c r="IE74" s="95"/>
      <c r="IF74" s="95"/>
      <c r="IG74" s="95"/>
      <c r="IH74" s="95"/>
      <c r="II74" s="95"/>
      <c r="IJ74" s="95"/>
      <c r="IK74" s="95"/>
      <c r="IL74" s="95"/>
      <c r="IM74" s="95"/>
      <c r="IN74" s="95"/>
      <c r="IO74" s="95"/>
      <c r="IP74" s="95"/>
      <c r="IQ74" s="95"/>
      <c r="IR74" s="95"/>
      <c r="IS74" s="95"/>
      <c r="IT74" s="95"/>
      <c r="IU74" s="95"/>
      <c r="IV74" s="95"/>
      <c r="IW74" s="95"/>
      <c r="IX74" s="95"/>
      <c r="IY74" s="95"/>
      <c r="IZ74" s="95"/>
      <c r="JA74" s="95"/>
      <c r="JB74" s="95"/>
      <c r="JC74" s="95"/>
      <c r="JD74" s="95"/>
      <c r="JE74" s="95"/>
      <c r="JF74" s="95"/>
      <c r="JG74" s="95"/>
      <c r="JH74" s="95"/>
      <c r="JI74" s="95"/>
      <c r="JJ74" s="95"/>
      <c r="JK74" s="95"/>
      <c r="JL74" s="95"/>
      <c r="JM74" s="95"/>
      <c r="JN74" s="95"/>
      <c r="JO74" s="95"/>
      <c r="JP74" s="95"/>
      <c r="JQ74" s="95"/>
      <c r="JR74" s="95"/>
      <c r="JS74" s="95"/>
      <c r="JT74" s="95"/>
      <c r="JU74" s="95"/>
      <c r="JV74" s="95"/>
      <c r="JW74" s="95"/>
      <c r="JX74" s="95"/>
      <c r="JY74" s="95"/>
      <c r="JZ74" s="95"/>
    </row>
    <row r="75" spans="1:286" s="97" customFormat="1" ht="82.5" customHeight="1" x14ac:dyDescent="0.25">
      <c r="A75" s="297"/>
      <c r="B75" s="30" t="s">
        <v>45</v>
      </c>
      <c r="C75" s="31" t="s">
        <v>155</v>
      </c>
      <c r="D75" s="32" t="s">
        <v>106</v>
      </c>
      <c r="E75" s="32" t="s">
        <v>75</v>
      </c>
      <c r="F75" s="51" t="s">
        <v>61</v>
      </c>
      <c r="G75" s="83"/>
      <c r="H75" s="84">
        <f>SUBTOTAL(9,H74)</f>
        <v>5</v>
      </c>
      <c r="I75" s="84">
        <f t="shared" ref="I75" si="150">SUBTOTAL(9,I74)</f>
        <v>1</v>
      </c>
      <c r="J75" s="84">
        <f t="shared" ref="J75:O75" si="151">SUBTOTAL(9,J74)</f>
        <v>1</v>
      </c>
      <c r="K75" s="84">
        <f t="shared" si="151"/>
        <v>1</v>
      </c>
      <c r="L75" s="84">
        <f t="shared" si="151"/>
        <v>1</v>
      </c>
      <c r="M75" s="84">
        <f t="shared" si="151"/>
        <v>1</v>
      </c>
      <c r="N75" s="84">
        <f t="shared" si="146"/>
        <v>5</v>
      </c>
      <c r="O75" s="84">
        <f t="shared" si="151"/>
        <v>0</v>
      </c>
      <c r="P75" s="84"/>
      <c r="Q75" s="96"/>
      <c r="R75" s="85"/>
      <c r="S75" s="53"/>
      <c r="T75" s="51"/>
      <c r="U75" s="84">
        <f>SUBTOTAL(9,U74)</f>
        <v>5</v>
      </c>
      <c r="V75" s="84">
        <f t="shared" ref="V75" si="152">SUBTOTAL(9,V74)</f>
        <v>1</v>
      </c>
      <c r="W75" s="84">
        <f t="shared" ref="W75:AJ75" si="153">SUBTOTAL(9,W74)</f>
        <v>1</v>
      </c>
      <c r="X75" s="84">
        <f t="shared" si="153"/>
        <v>1</v>
      </c>
      <c r="Y75" s="84">
        <f t="shared" si="153"/>
        <v>1</v>
      </c>
      <c r="Z75" s="84">
        <f t="shared" si="153"/>
        <v>1</v>
      </c>
      <c r="AA75" s="84">
        <f t="shared" si="136"/>
        <v>5</v>
      </c>
      <c r="AB75" s="84">
        <f t="shared" si="153"/>
        <v>0</v>
      </c>
      <c r="AC75" s="84">
        <f t="shared" si="153"/>
        <v>1</v>
      </c>
      <c r="AD75" s="84">
        <f t="shared" si="153"/>
        <v>0</v>
      </c>
      <c r="AE75" s="84">
        <f t="shared" si="153"/>
        <v>0</v>
      </c>
      <c r="AF75" s="84">
        <f t="shared" si="153"/>
        <v>0</v>
      </c>
      <c r="AG75" s="84">
        <f t="shared" si="153"/>
        <v>0</v>
      </c>
      <c r="AH75" s="84">
        <f t="shared" si="153"/>
        <v>0</v>
      </c>
      <c r="AI75" s="84">
        <f t="shared" si="137"/>
        <v>0</v>
      </c>
      <c r="AJ75" s="84">
        <f t="shared" si="153"/>
        <v>0</v>
      </c>
      <c r="AK75" s="83"/>
      <c r="AL75" s="85"/>
      <c r="AM75" s="83"/>
      <c r="AN75" s="96"/>
      <c r="AO75" s="96"/>
      <c r="AP75" s="51"/>
      <c r="AQ75" s="83"/>
      <c r="AR75" s="83"/>
      <c r="AS75" s="83"/>
      <c r="AT75" s="83"/>
      <c r="AU75" s="87"/>
      <c r="AV75" s="83"/>
      <c r="AW75" s="51"/>
      <c r="AX75" s="51" t="s">
        <v>108</v>
      </c>
      <c r="AY75" s="95"/>
      <c r="AZ75" s="95"/>
      <c r="BA75" s="95"/>
      <c r="BB75" s="95"/>
      <c r="BC75" s="95"/>
      <c r="BD75" s="95"/>
      <c r="BE75" s="95"/>
      <c r="BF75" s="95"/>
      <c r="BG75" s="95"/>
      <c r="BH75" s="95"/>
      <c r="BI75" s="95"/>
      <c r="BJ75" s="95"/>
      <c r="BK75" s="95"/>
      <c r="BL75" s="95"/>
      <c r="BM75" s="95"/>
      <c r="BN75" s="95"/>
      <c r="BO75" s="95"/>
      <c r="BP75" s="95"/>
      <c r="BQ75" s="95"/>
      <c r="BR75" s="95"/>
      <c r="BS75" s="95"/>
      <c r="BT75" s="95"/>
      <c r="BU75" s="95"/>
      <c r="BV75" s="95"/>
      <c r="BW75" s="95"/>
      <c r="BX75" s="95"/>
      <c r="BY75" s="95"/>
      <c r="BZ75" s="95"/>
      <c r="CA75" s="95"/>
      <c r="CB75" s="95"/>
      <c r="CC75" s="95"/>
      <c r="CD75" s="95"/>
      <c r="CE75" s="95"/>
      <c r="CF75" s="95"/>
      <c r="CG75" s="95"/>
      <c r="CH75" s="95"/>
      <c r="CI75" s="95"/>
      <c r="CJ75" s="95"/>
      <c r="CK75" s="95"/>
      <c r="CL75" s="95"/>
      <c r="CM75" s="95"/>
      <c r="CN75" s="95"/>
      <c r="CO75" s="95"/>
      <c r="CP75" s="95"/>
      <c r="CQ75" s="95"/>
      <c r="CR75" s="95"/>
      <c r="CS75" s="95"/>
      <c r="CT75" s="95"/>
      <c r="CU75" s="95"/>
      <c r="CV75" s="95"/>
      <c r="CW75" s="95"/>
      <c r="CX75" s="95"/>
      <c r="CY75" s="95"/>
      <c r="CZ75" s="95"/>
      <c r="DA75" s="95"/>
      <c r="DB75" s="95"/>
      <c r="DC75" s="95"/>
      <c r="DD75" s="95"/>
      <c r="DE75" s="95"/>
      <c r="DF75" s="95"/>
      <c r="DG75" s="95"/>
      <c r="DH75" s="95"/>
      <c r="DI75" s="95"/>
      <c r="DJ75" s="95"/>
      <c r="DK75" s="95"/>
      <c r="DL75" s="95"/>
      <c r="DM75" s="95"/>
      <c r="DN75" s="95"/>
      <c r="DO75" s="95"/>
      <c r="DP75" s="95"/>
      <c r="DQ75" s="95"/>
      <c r="DR75" s="95"/>
      <c r="DS75" s="95"/>
      <c r="DT75" s="95"/>
      <c r="DU75" s="95"/>
      <c r="DV75" s="95"/>
      <c r="DW75" s="95"/>
      <c r="DX75" s="95"/>
      <c r="DY75" s="95"/>
      <c r="DZ75" s="95"/>
      <c r="EA75" s="95"/>
      <c r="EB75" s="95"/>
      <c r="EC75" s="95"/>
      <c r="ED75" s="95"/>
      <c r="EE75" s="95"/>
      <c r="EF75" s="95"/>
      <c r="EG75" s="95"/>
      <c r="EH75" s="95"/>
      <c r="EI75" s="95"/>
      <c r="EJ75" s="95"/>
      <c r="EK75" s="95"/>
      <c r="EL75" s="95"/>
      <c r="EM75" s="95"/>
      <c r="EN75" s="95"/>
      <c r="EO75" s="95"/>
      <c r="EP75" s="95"/>
      <c r="EQ75" s="95"/>
      <c r="ER75" s="95"/>
      <c r="ES75" s="95"/>
      <c r="ET75" s="95"/>
      <c r="EU75" s="95"/>
      <c r="EV75" s="95"/>
      <c r="EW75" s="95"/>
      <c r="EX75" s="95"/>
      <c r="EY75" s="95"/>
      <c r="EZ75" s="95"/>
      <c r="FA75" s="95"/>
      <c r="FB75" s="95"/>
      <c r="FC75" s="95"/>
      <c r="FD75" s="95"/>
      <c r="FE75" s="95"/>
      <c r="FF75" s="95"/>
      <c r="FG75" s="95"/>
      <c r="FH75" s="95"/>
      <c r="FI75" s="95"/>
      <c r="FJ75" s="95"/>
      <c r="FK75" s="95"/>
      <c r="FL75" s="95"/>
      <c r="FM75" s="95"/>
      <c r="FN75" s="95"/>
      <c r="FO75" s="95"/>
      <c r="FP75" s="95"/>
      <c r="FQ75" s="95"/>
      <c r="FR75" s="95"/>
      <c r="FS75" s="95"/>
      <c r="FT75" s="95"/>
      <c r="FU75" s="95"/>
      <c r="FV75" s="95"/>
      <c r="FW75" s="95"/>
      <c r="FX75" s="95"/>
      <c r="FY75" s="95"/>
      <c r="FZ75" s="95"/>
      <c r="GA75" s="95"/>
      <c r="GB75" s="95"/>
      <c r="GC75" s="95"/>
      <c r="GD75" s="95"/>
      <c r="GE75" s="95"/>
      <c r="GF75" s="95"/>
      <c r="GG75" s="95"/>
      <c r="GH75" s="95"/>
      <c r="GI75" s="95"/>
      <c r="GJ75" s="95"/>
      <c r="GK75" s="95"/>
      <c r="GL75" s="95"/>
      <c r="GM75" s="95"/>
      <c r="GN75" s="95"/>
      <c r="GO75" s="95"/>
      <c r="GP75" s="95"/>
      <c r="GQ75" s="95"/>
      <c r="GR75" s="95"/>
      <c r="GS75" s="95"/>
      <c r="GT75" s="95"/>
      <c r="GU75" s="95"/>
      <c r="GV75" s="95"/>
      <c r="GW75" s="95"/>
      <c r="GX75" s="95"/>
      <c r="GY75" s="95"/>
      <c r="GZ75" s="95"/>
      <c r="HA75" s="95"/>
      <c r="HB75" s="95"/>
      <c r="HC75" s="95"/>
      <c r="HD75" s="95"/>
      <c r="HE75" s="95"/>
      <c r="HF75" s="95"/>
      <c r="HG75" s="95"/>
      <c r="HH75" s="95"/>
      <c r="HI75" s="95"/>
      <c r="HJ75" s="95"/>
      <c r="HK75" s="95"/>
      <c r="HL75" s="95"/>
      <c r="HM75" s="95"/>
      <c r="HN75" s="95"/>
      <c r="HO75" s="95"/>
      <c r="HP75" s="95"/>
      <c r="HQ75" s="95"/>
      <c r="HR75" s="95"/>
      <c r="HS75" s="95"/>
      <c r="HT75" s="95"/>
      <c r="HU75" s="95"/>
      <c r="HV75" s="95"/>
      <c r="HW75" s="95"/>
      <c r="HX75" s="95"/>
      <c r="HY75" s="95"/>
      <c r="HZ75" s="95"/>
      <c r="IA75" s="95"/>
      <c r="IB75" s="95"/>
      <c r="IC75" s="95"/>
      <c r="ID75" s="95"/>
      <c r="IE75" s="95"/>
      <c r="IF75" s="95"/>
      <c r="IG75" s="95"/>
      <c r="IH75" s="95"/>
      <c r="II75" s="95"/>
      <c r="IJ75" s="95"/>
      <c r="IK75" s="95"/>
      <c r="IL75" s="95"/>
      <c r="IM75" s="95"/>
      <c r="IN75" s="95"/>
      <c r="IO75" s="95"/>
      <c r="IP75" s="95"/>
      <c r="IQ75" s="95"/>
      <c r="IR75" s="95"/>
      <c r="IS75" s="95"/>
      <c r="IT75" s="95"/>
      <c r="IU75" s="95"/>
      <c r="IV75" s="95"/>
      <c r="IW75" s="95"/>
      <c r="IX75" s="95"/>
      <c r="IY75" s="95"/>
      <c r="IZ75" s="95"/>
      <c r="JA75" s="95"/>
      <c r="JB75" s="95"/>
      <c r="JC75" s="95"/>
      <c r="JD75" s="95"/>
      <c r="JE75" s="95"/>
      <c r="JF75" s="95"/>
      <c r="JG75" s="95"/>
      <c r="JH75" s="95"/>
      <c r="JI75" s="95"/>
      <c r="JJ75" s="95"/>
      <c r="JK75" s="95"/>
      <c r="JL75" s="95"/>
      <c r="JM75" s="95"/>
      <c r="JN75" s="95"/>
      <c r="JO75" s="95"/>
      <c r="JP75" s="95"/>
      <c r="JQ75" s="95"/>
      <c r="JR75" s="95"/>
      <c r="JS75" s="95"/>
      <c r="JT75" s="95"/>
      <c r="JU75" s="95"/>
      <c r="JV75" s="95"/>
      <c r="JW75" s="95"/>
      <c r="JX75" s="95"/>
      <c r="JY75" s="95"/>
      <c r="JZ75" s="95"/>
    </row>
    <row r="76" spans="1:286" s="97" customFormat="1" ht="82.5" customHeight="1" x14ac:dyDescent="0.25">
      <c r="A76" s="297"/>
      <c r="B76" s="30" t="s">
        <v>45</v>
      </c>
      <c r="C76" s="31" t="s">
        <v>157</v>
      </c>
      <c r="D76" s="32" t="s">
        <v>89</v>
      </c>
      <c r="E76" s="32" t="s">
        <v>75</v>
      </c>
      <c r="F76" s="65"/>
      <c r="G76" s="33" t="s">
        <v>139</v>
      </c>
      <c r="H76" s="65">
        <v>5</v>
      </c>
      <c r="I76" s="107">
        <v>0</v>
      </c>
      <c r="J76" s="103">
        <v>1</v>
      </c>
      <c r="K76" s="104">
        <v>1</v>
      </c>
      <c r="L76" s="105">
        <v>1</v>
      </c>
      <c r="M76" s="106">
        <v>1</v>
      </c>
      <c r="N76" s="70">
        <f t="shared" si="146"/>
        <v>4</v>
      </c>
      <c r="O76" s="71"/>
      <c r="P76" s="71"/>
      <c r="Q76" s="65"/>
      <c r="R76" s="33" t="s">
        <v>51</v>
      </c>
      <c r="S76" s="36" t="s">
        <v>158</v>
      </c>
      <c r="T76" s="109" t="s">
        <v>77</v>
      </c>
      <c r="U76" s="65">
        <v>5</v>
      </c>
      <c r="V76" s="199">
        <v>1</v>
      </c>
      <c r="W76" s="103">
        <v>1</v>
      </c>
      <c r="X76" s="104">
        <v>1</v>
      </c>
      <c r="Y76" s="105">
        <v>1</v>
      </c>
      <c r="Z76" s="106">
        <v>1</v>
      </c>
      <c r="AA76" s="70">
        <f t="shared" si="136"/>
        <v>5</v>
      </c>
      <c r="AB76" s="35">
        <v>0</v>
      </c>
      <c r="AC76" s="65">
        <v>1</v>
      </c>
      <c r="AD76" s="199">
        <v>0</v>
      </c>
      <c r="AE76" s="103">
        <v>0</v>
      </c>
      <c r="AF76" s="104">
        <v>0</v>
      </c>
      <c r="AG76" s="105">
        <v>0</v>
      </c>
      <c r="AH76" s="106">
        <v>0</v>
      </c>
      <c r="AI76" s="70">
        <f t="shared" si="137"/>
        <v>0</v>
      </c>
      <c r="AJ76" s="71"/>
      <c r="AK76" s="65"/>
      <c r="AL76" s="65"/>
      <c r="AM76" s="72"/>
      <c r="AN76" s="65"/>
      <c r="AO76" s="72"/>
      <c r="AP76" s="33"/>
      <c r="AQ76" s="65"/>
      <c r="AR76" s="73"/>
      <c r="AS76" s="74"/>
      <c r="AT76" s="75"/>
      <c r="AU76" s="76"/>
      <c r="AV76" s="65"/>
      <c r="AW76" s="33"/>
      <c r="AX76" s="32" t="s">
        <v>55</v>
      </c>
      <c r="AY76" s="95"/>
      <c r="AZ76" s="95"/>
      <c r="BA76" s="95"/>
      <c r="BB76" s="95"/>
      <c r="BC76" s="95"/>
      <c r="BD76" s="95"/>
      <c r="BE76" s="95"/>
      <c r="BF76" s="95"/>
      <c r="BG76" s="95"/>
      <c r="BH76" s="95"/>
      <c r="BI76" s="95"/>
      <c r="BJ76" s="95"/>
      <c r="BK76" s="95"/>
      <c r="BL76" s="95"/>
      <c r="BM76" s="95"/>
      <c r="BN76" s="95"/>
      <c r="BO76" s="95"/>
      <c r="BP76" s="95"/>
      <c r="BQ76" s="95"/>
      <c r="BR76" s="95"/>
      <c r="BS76" s="95"/>
      <c r="BT76" s="95"/>
      <c r="BU76" s="95"/>
      <c r="BV76" s="95"/>
      <c r="BW76" s="95"/>
      <c r="BX76" s="95"/>
      <c r="BY76" s="95"/>
      <c r="BZ76" s="95"/>
      <c r="CA76" s="95"/>
      <c r="CB76" s="95"/>
      <c r="CC76" s="95"/>
      <c r="CD76" s="95"/>
      <c r="CE76" s="95"/>
      <c r="CF76" s="95"/>
      <c r="CG76" s="95"/>
      <c r="CH76" s="95"/>
      <c r="CI76" s="95"/>
      <c r="CJ76" s="95"/>
      <c r="CK76" s="95"/>
      <c r="CL76" s="95"/>
      <c r="CM76" s="95"/>
      <c r="CN76" s="95"/>
      <c r="CO76" s="95"/>
      <c r="CP76" s="95"/>
      <c r="CQ76" s="95"/>
      <c r="CR76" s="95"/>
      <c r="CS76" s="95"/>
      <c r="CT76" s="95"/>
      <c r="CU76" s="95"/>
      <c r="CV76" s="95"/>
      <c r="CW76" s="95"/>
      <c r="CX76" s="95"/>
      <c r="CY76" s="95"/>
      <c r="CZ76" s="95"/>
      <c r="DA76" s="95"/>
      <c r="DB76" s="95"/>
      <c r="DC76" s="95"/>
      <c r="DD76" s="95"/>
      <c r="DE76" s="95"/>
      <c r="DF76" s="95"/>
      <c r="DG76" s="95"/>
      <c r="DH76" s="95"/>
      <c r="DI76" s="95"/>
      <c r="DJ76" s="95"/>
      <c r="DK76" s="95"/>
      <c r="DL76" s="95"/>
      <c r="DM76" s="95"/>
      <c r="DN76" s="95"/>
      <c r="DO76" s="95"/>
      <c r="DP76" s="95"/>
      <c r="DQ76" s="95"/>
      <c r="DR76" s="95"/>
      <c r="DS76" s="95"/>
      <c r="DT76" s="95"/>
      <c r="DU76" s="95"/>
      <c r="DV76" s="95"/>
      <c r="DW76" s="95"/>
      <c r="DX76" s="95"/>
      <c r="DY76" s="95"/>
      <c r="DZ76" s="95"/>
      <c r="EA76" s="95"/>
      <c r="EB76" s="95"/>
      <c r="EC76" s="95"/>
      <c r="ED76" s="95"/>
      <c r="EE76" s="95"/>
      <c r="EF76" s="95"/>
      <c r="EG76" s="95"/>
      <c r="EH76" s="95"/>
      <c r="EI76" s="95"/>
      <c r="EJ76" s="95"/>
      <c r="EK76" s="95"/>
      <c r="EL76" s="95"/>
      <c r="EM76" s="95"/>
      <c r="EN76" s="95"/>
      <c r="EO76" s="95"/>
      <c r="EP76" s="95"/>
      <c r="EQ76" s="95"/>
      <c r="ER76" s="95"/>
      <c r="ES76" s="95"/>
      <c r="ET76" s="95"/>
      <c r="EU76" s="95"/>
      <c r="EV76" s="95"/>
      <c r="EW76" s="95"/>
      <c r="EX76" s="95"/>
      <c r="EY76" s="95"/>
      <c r="EZ76" s="95"/>
      <c r="FA76" s="95"/>
      <c r="FB76" s="95"/>
      <c r="FC76" s="95"/>
      <c r="FD76" s="95"/>
      <c r="FE76" s="95"/>
      <c r="FF76" s="95"/>
      <c r="FG76" s="95"/>
      <c r="FH76" s="95"/>
      <c r="FI76" s="95"/>
      <c r="FJ76" s="95"/>
      <c r="FK76" s="95"/>
      <c r="FL76" s="95"/>
      <c r="FM76" s="95"/>
      <c r="FN76" s="95"/>
      <c r="FO76" s="95"/>
      <c r="FP76" s="95"/>
      <c r="FQ76" s="95"/>
      <c r="FR76" s="95"/>
      <c r="FS76" s="95"/>
      <c r="FT76" s="95"/>
      <c r="FU76" s="95"/>
      <c r="FV76" s="95"/>
      <c r="FW76" s="95"/>
      <c r="FX76" s="95"/>
      <c r="FY76" s="95"/>
      <c r="FZ76" s="95"/>
      <c r="GA76" s="95"/>
      <c r="GB76" s="95"/>
      <c r="GC76" s="95"/>
      <c r="GD76" s="95"/>
      <c r="GE76" s="95"/>
      <c r="GF76" s="95"/>
      <c r="GG76" s="95"/>
      <c r="GH76" s="95"/>
      <c r="GI76" s="95"/>
      <c r="GJ76" s="95"/>
      <c r="GK76" s="95"/>
      <c r="GL76" s="95"/>
      <c r="GM76" s="95"/>
      <c r="GN76" s="95"/>
      <c r="GO76" s="95"/>
      <c r="GP76" s="95"/>
      <c r="GQ76" s="95"/>
      <c r="GR76" s="95"/>
      <c r="GS76" s="95"/>
      <c r="GT76" s="95"/>
      <c r="GU76" s="95"/>
      <c r="GV76" s="95"/>
      <c r="GW76" s="95"/>
      <c r="GX76" s="95"/>
      <c r="GY76" s="95"/>
      <c r="GZ76" s="95"/>
      <c r="HA76" s="95"/>
      <c r="HB76" s="95"/>
      <c r="HC76" s="95"/>
      <c r="HD76" s="95"/>
      <c r="HE76" s="95"/>
      <c r="HF76" s="95"/>
      <c r="HG76" s="95"/>
      <c r="HH76" s="95"/>
      <c r="HI76" s="95"/>
      <c r="HJ76" s="95"/>
      <c r="HK76" s="95"/>
      <c r="HL76" s="95"/>
      <c r="HM76" s="95"/>
      <c r="HN76" s="95"/>
      <c r="HO76" s="95"/>
      <c r="HP76" s="95"/>
      <c r="HQ76" s="95"/>
      <c r="HR76" s="95"/>
      <c r="HS76" s="95"/>
      <c r="HT76" s="95"/>
      <c r="HU76" s="95"/>
      <c r="HV76" s="95"/>
      <c r="HW76" s="95"/>
      <c r="HX76" s="95"/>
      <c r="HY76" s="95"/>
      <c r="HZ76" s="95"/>
      <c r="IA76" s="95"/>
      <c r="IB76" s="95"/>
      <c r="IC76" s="95"/>
      <c r="ID76" s="95"/>
      <c r="IE76" s="95"/>
      <c r="IF76" s="95"/>
      <c r="IG76" s="95"/>
      <c r="IH76" s="95"/>
      <c r="II76" s="95"/>
      <c r="IJ76" s="95"/>
      <c r="IK76" s="95"/>
      <c r="IL76" s="95"/>
      <c r="IM76" s="95"/>
      <c r="IN76" s="95"/>
      <c r="IO76" s="95"/>
      <c r="IP76" s="95"/>
      <c r="IQ76" s="95"/>
      <c r="IR76" s="95"/>
      <c r="IS76" s="95"/>
      <c r="IT76" s="95"/>
      <c r="IU76" s="95"/>
      <c r="IV76" s="95"/>
      <c r="IW76" s="95"/>
      <c r="IX76" s="95"/>
      <c r="IY76" s="95"/>
      <c r="IZ76" s="95"/>
      <c r="JA76" s="95"/>
      <c r="JB76" s="95"/>
      <c r="JC76" s="95"/>
      <c r="JD76" s="95"/>
      <c r="JE76" s="95"/>
      <c r="JF76" s="95"/>
      <c r="JG76" s="95"/>
      <c r="JH76" s="95"/>
      <c r="JI76" s="95"/>
      <c r="JJ76" s="95"/>
      <c r="JK76" s="95"/>
      <c r="JL76" s="95"/>
      <c r="JM76" s="95"/>
      <c r="JN76" s="95"/>
      <c r="JO76" s="95"/>
      <c r="JP76" s="95"/>
      <c r="JQ76" s="95"/>
      <c r="JR76" s="95"/>
      <c r="JS76" s="95"/>
      <c r="JT76" s="95"/>
      <c r="JU76" s="95"/>
      <c r="JV76" s="95"/>
      <c r="JW76" s="95"/>
      <c r="JX76" s="95"/>
      <c r="JY76" s="95"/>
      <c r="JZ76" s="95"/>
    </row>
    <row r="77" spans="1:286" s="97" customFormat="1" ht="82.5" customHeight="1" x14ac:dyDescent="0.25">
      <c r="A77" s="297"/>
      <c r="B77" s="30" t="s">
        <v>45</v>
      </c>
      <c r="C77" s="31" t="s">
        <v>157</v>
      </c>
      <c r="D77" s="32" t="s">
        <v>89</v>
      </c>
      <c r="E77" s="32" t="s">
        <v>75</v>
      </c>
      <c r="F77" s="51" t="s">
        <v>61</v>
      </c>
      <c r="G77" s="83"/>
      <c r="H77" s="84">
        <f>SUBTOTAL(9,H76)</f>
        <v>5</v>
      </c>
      <c r="I77" s="84">
        <f t="shared" ref="I77" si="154">SUBTOTAL(9,I76)</f>
        <v>0</v>
      </c>
      <c r="J77" s="84">
        <f t="shared" ref="J77:O77" si="155">SUBTOTAL(9,J76)</f>
        <v>1</v>
      </c>
      <c r="K77" s="84">
        <f t="shared" si="155"/>
        <v>1</v>
      </c>
      <c r="L77" s="84">
        <f t="shared" si="155"/>
        <v>1</v>
      </c>
      <c r="M77" s="84">
        <f t="shared" si="155"/>
        <v>1</v>
      </c>
      <c r="N77" s="84">
        <f t="shared" si="146"/>
        <v>4</v>
      </c>
      <c r="O77" s="84">
        <f t="shared" si="155"/>
        <v>0</v>
      </c>
      <c r="P77" s="84"/>
      <c r="Q77" s="96"/>
      <c r="R77" s="85"/>
      <c r="S77" s="53"/>
      <c r="T77" s="51"/>
      <c r="U77" s="84">
        <f>SUBTOTAL(9,U76)</f>
        <v>5</v>
      </c>
      <c r="V77" s="84">
        <f t="shared" ref="V77" si="156">SUBTOTAL(9,V76)</f>
        <v>1</v>
      </c>
      <c r="W77" s="84">
        <f t="shared" ref="W77:AJ77" si="157">SUBTOTAL(9,W76)</f>
        <v>1</v>
      </c>
      <c r="X77" s="84">
        <f t="shared" si="157"/>
        <v>1</v>
      </c>
      <c r="Y77" s="84">
        <f t="shared" si="157"/>
        <v>1</v>
      </c>
      <c r="Z77" s="84">
        <f t="shared" si="157"/>
        <v>1</v>
      </c>
      <c r="AA77" s="84">
        <f t="shared" si="136"/>
        <v>5</v>
      </c>
      <c r="AB77" s="84">
        <f t="shared" si="157"/>
        <v>0</v>
      </c>
      <c r="AC77" s="84">
        <f t="shared" si="157"/>
        <v>1</v>
      </c>
      <c r="AD77" s="84">
        <f t="shared" si="157"/>
        <v>0</v>
      </c>
      <c r="AE77" s="84">
        <f t="shared" si="157"/>
        <v>0</v>
      </c>
      <c r="AF77" s="84">
        <f t="shared" si="157"/>
        <v>0</v>
      </c>
      <c r="AG77" s="84">
        <f t="shared" si="157"/>
        <v>0</v>
      </c>
      <c r="AH77" s="84">
        <f t="shared" si="157"/>
        <v>0</v>
      </c>
      <c r="AI77" s="84">
        <f t="shared" si="137"/>
        <v>0</v>
      </c>
      <c r="AJ77" s="84">
        <f t="shared" si="157"/>
        <v>0</v>
      </c>
      <c r="AK77" s="83"/>
      <c r="AL77" s="85"/>
      <c r="AM77" s="83"/>
      <c r="AN77" s="96"/>
      <c r="AO77" s="96"/>
      <c r="AP77" s="51"/>
      <c r="AQ77" s="83"/>
      <c r="AR77" s="83"/>
      <c r="AS77" s="83"/>
      <c r="AT77" s="83"/>
      <c r="AU77" s="87"/>
      <c r="AV77" s="83"/>
      <c r="AW77" s="51"/>
      <c r="AX77" s="51" t="s">
        <v>55</v>
      </c>
      <c r="AY77" s="95"/>
      <c r="AZ77" s="95"/>
      <c r="BA77" s="95"/>
      <c r="BB77" s="95"/>
      <c r="BC77" s="95"/>
      <c r="BD77" s="95"/>
      <c r="BE77" s="95"/>
      <c r="BF77" s="95"/>
      <c r="BG77" s="95"/>
      <c r="BH77" s="95"/>
      <c r="BI77" s="95"/>
      <c r="BJ77" s="95"/>
      <c r="BK77" s="95"/>
      <c r="BL77" s="95"/>
      <c r="BM77" s="95"/>
      <c r="BN77" s="95"/>
      <c r="BO77" s="95"/>
      <c r="BP77" s="95"/>
      <c r="BQ77" s="95"/>
      <c r="BR77" s="95"/>
      <c r="BS77" s="95"/>
      <c r="BT77" s="95"/>
      <c r="BU77" s="95"/>
      <c r="BV77" s="95"/>
      <c r="BW77" s="95"/>
      <c r="BX77" s="95"/>
      <c r="BY77" s="95"/>
      <c r="BZ77" s="95"/>
      <c r="CA77" s="95"/>
      <c r="CB77" s="95"/>
      <c r="CC77" s="95"/>
      <c r="CD77" s="95"/>
      <c r="CE77" s="95"/>
      <c r="CF77" s="95"/>
      <c r="CG77" s="95"/>
      <c r="CH77" s="95"/>
      <c r="CI77" s="95"/>
      <c r="CJ77" s="95"/>
      <c r="CK77" s="95"/>
      <c r="CL77" s="95"/>
      <c r="CM77" s="95"/>
      <c r="CN77" s="95"/>
      <c r="CO77" s="95"/>
      <c r="CP77" s="95"/>
      <c r="CQ77" s="95"/>
      <c r="CR77" s="95"/>
      <c r="CS77" s="95"/>
      <c r="CT77" s="95"/>
      <c r="CU77" s="95"/>
      <c r="CV77" s="95"/>
      <c r="CW77" s="95"/>
      <c r="CX77" s="95"/>
      <c r="CY77" s="95"/>
      <c r="CZ77" s="95"/>
      <c r="DA77" s="95"/>
      <c r="DB77" s="95"/>
      <c r="DC77" s="95"/>
      <c r="DD77" s="95"/>
      <c r="DE77" s="95"/>
      <c r="DF77" s="95"/>
      <c r="DG77" s="95"/>
      <c r="DH77" s="95"/>
      <c r="DI77" s="95"/>
      <c r="DJ77" s="95"/>
      <c r="DK77" s="95"/>
      <c r="DL77" s="95"/>
      <c r="DM77" s="95"/>
      <c r="DN77" s="95"/>
      <c r="DO77" s="95"/>
      <c r="DP77" s="95"/>
      <c r="DQ77" s="95"/>
      <c r="DR77" s="95"/>
      <c r="DS77" s="95"/>
      <c r="DT77" s="95"/>
      <c r="DU77" s="95"/>
      <c r="DV77" s="95"/>
      <c r="DW77" s="95"/>
      <c r="DX77" s="95"/>
      <c r="DY77" s="95"/>
      <c r="DZ77" s="95"/>
      <c r="EA77" s="95"/>
      <c r="EB77" s="95"/>
      <c r="EC77" s="95"/>
      <c r="ED77" s="95"/>
      <c r="EE77" s="95"/>
      <c r="EF77" s="95"/>
      <c r="EG77" s="95"/>
      <c r="EH77" s="95"/>
      <c r="EI77" s="95"/>
      <c r="EJ77" s="95"/>
      <c r="EK77" s="95"/>
      <c r="EL77" s="95"/>
      <c r="EM77" s="95"/>
      <c r="EN77" s="95"/>
      <c r="EO77" s="95"/>
      <c r="EP77" s="95"/>
      <c r="EQ77" s="95"/>
      <c r="ER77" s="95"/>
      <c r="ES77" s="95"/>
      <c r="ET77" s="95"/>
      <c r="EU77" s="95"/>
      <c r="EV77" s="95"/>
      <c r="EW77" s="95"/>
      <c r="EX77" s="95"/>
      <c r="EY77" s="95"/>
      <c r="EZ77" s="95"/>
      <c r="FA77" s="95"/>
      <c r="FB77" s="95"/>
      <c r="FC77" s="95"/>
      <c r="FD77" s="95"/>
      <c r="FE77" s="95"/>
      <c r="FF77" s="95"/>
      <c r="FG77" s="95"/>
      <c r="FH77" s="95"/>
      <c r="FI77" s="95"/>
      <c r="FJ77" s="95"/>
      <c r="FK77" s="95"/>
      <c r="FL77" s="95"/>
      <c r="FM77" s="95"/>
      <c r="FN77" s="95"/>
      <c r="FO77" s="95"/>
      <c r="FP77" s="95"/>
      <c r="FQ77" s="95"/>
      <c r="FR77" s="95"/>
      <c r="FS77" s="95"/>
      <c r="FT77" s="95"/>
      <c r="FU77" s="95"/>
      <c r="FV77" s="95"/>
      <c r="FW77" s="95"/>
      <c r="FX77" s="95"/>
      <c r="FY77" s="95"/>
      <c r="FZ77" s="95"/>
      <c r="GA77" s="95"/>
      <c r="GB77" s="95"/>
      <c r="GC77" s="95"/>
      <c r="GD77" s="95"/>
      <c r="GE77" s="95"/>
      <c r="GF77" s="95"/>
      <c r="GG77" s="95"/>
      <c r="GH77" s="95"/>
      <c r="GI77" s="95"/>
      <c r="GJ77" s="95"/>
      <c r="GK77" s="95"/>
      <c r="GL77" s="95"/>
      <c r="GM77" s="95"/>
      <c r="GN77" s="95"/>
      <c r="GO77" s="95"/>
      <c r="GP77" s="95"/>
      <c r="GQ77" s="95"/>
      <c r="GR77" s="95"/>
      <c r="GS77" s="95"/>
      <c r="GT77" s="95"/>
      <c r="GU77" s="95"/>
      <c r="GV77" s="95"/>
      <c r="GW77" s="95"/>
      <c r="GX77" s="95"/>
      <c r="GY77" s="95"/>
      <c r="GZ77" s="95"/>
      <c r="HA77" s="95"/>
      <c r="HB77" s="95"/>
      <c r="HC77" s="95"/>
      <c r="HD77" s="95"/>
      <c r="HE77" s="95"/>
      <c r="HF77" s="95"/>
      <c r="HG77" s="95"/>
      <c r="HH77" s="95"/>
      <c r="HI77" s="95"/>
      <c r="HJ77" s="95"/>
      <c r="HK77" s="95"/>
      <c r="HL77" s="95"/>
      <c r="HM77" s="95"/>
      <c r="HN77" s="95"/>
      <c r="HO77" s="95"/>
      <c r="HP77" s="95"/>
      <c r="HQ77" s="95"/>
      <c r="HR77" s="95"/>
      <c r="HS77" s="95"/>
      <c r="HT77" s="95"/>
      <c r="HU77" s="95"/>
      <c r="HV77" s="95"/>
      <c r="HW77" s="95"/>
      <c r="HX77" s="95"/>
      <c r="HY77" s="95"/>
      <c r="HZ77" s="95"/>
      <c r="IA77" s="95"/>
      <c r="IB77" s="95"/>
      <c r="IC77" s="95"/>
      <c r="ID77" s="95"/>
      <c r="IE77" s="95"/>
      <c r="IF77" s="95"/>
      <c r="IG77" s="95"/>
      <c r="IH77" s="95"/>
      <c r="II77" s="95"/>
      <c r="IJ77" s="95"/>
      <c r="IK77" s="95"/>
      <c r="IL77" s="95"/>
      <c r="IM77" s="95"/>
      <c r="IN77" s="95"/>
      <c r="IO77" s="95"/>
      <c r="IP77" s="95"/>
      <c r="IQ77" s="95"/>
      <c r="IR77" s="95"/>
      <c r="IS77" s="95"/>
      <c r="IT77" s="95"/>
      <c r="IU77" s="95"/>
      <c r="IV77" s="95"/>
      <c r="IW77" s="95"/>
      <c r="IX77" s="95"/>
      <c r="IY77" s="95"/>
      <c r="IZ77" s="95"/>
      <c r="JA77" s="95"/>
      <c r="JB77" s="95"/>
      <c r="JC77" s="95"/>
      <c r="JD77" s="95"/>
      <c r="JE77" s="95"/>
      <c r="JF77" s="95"/>
      <c r="JG77" s="95"/>
      <c r="JH77" s="95"/>
      <c r="JI77" s="95"/>
      <c r="JJ77" s="95"/>
      <c r="JK77" s="95"/>
      <c r="JL77" s="95"/>
      <c r="JM77" s="95"/>
      <c r="JN77" s="95"/>
      <c r="JO77" s="95"/>
      <c r="JP77" s="95"/>
      <c r="JQ77" s="95"/>
      <c r="JR77" s="95"/>
      <c r="JS77" s="95"/>
      <c r="JT77" s="95"/>
      <c r="JU77" s="95"/>
      <c r="JV77" s="95"/>
      <c r="JW77" s="95"/>
      <c r="JX77" s="95"/>
      <c r="JY77" s="95"/>
      <c r="JZ77" s="95"/>
    </row>
    <row r="78" spans="1:286" s="95" customFormat="1" ht="82.5" customHeight="1" x14ac:dyDescent="0.25">
      <c r="A78" s="297"/>
      <c r="B78" s="30" t="s">
        <v>45</v>
      </c>
      <c r="C78" s="31" t="s">
        <v>159</v>
      </c>
      <c r="D78" s="32" t="s">
        <v>106</v>
      </c>
      <c r="E78" s="32" t="s">
        <v>75</v>
      </c>
      <c r="F78" s="65"/>
      <c r="G78" s="33" t="s">
        <v>139</v>
      </c>
      <c r="H78" s="65">
        <v>10</v>
      </c>
      <c r="I78" s="89">
        <v>3</v>
      </c>
      <c r="J78" s="90">
        <v>0</v>
      </c>
      <c r="K78" s="91">
        <v>4</v>
      </c>
      <c r="L78" s="92">
        <v>1</v>
      </c>
      <c r="M78" s="81">
        <v>1</v>
      </c>
      <c r="N78" s="70">
        <f t="shared" si="146"/>
        <v>9</v>
      </c>
      <c r="O78" s="71">
        <v>0</v>
      </c>
      <c r="P78" s="71"/>
      <c r="Q78" s="65"/>
      <c r="R78" s="33" t="s">
        <v>51</v>
      </c>
      <c r="S78" s="36" t="s">
        <v>160</v>
      </c>
      <c r="T78" s="109" t="s">
        <v>77</v>
      </c>
      <c r="U78" s="65">
        <v>10</v>
      </c>
      <c r="V78" s="197">
        <v>3</v>
      </c>
      <c r="W78" s="90">
        <v>0</v>
      </c>
      <c r="X78" s="91">
        <v>4</v>
      </c>
      <c r="Y78" s="92">
        <v>2</v>
      </c>
      <c r="Z78" s="81">
        <v>1</v>
      </c>
      <c r="AA78" s="70">
        <f t="shared" si="136"/>
        <v>10</v>
      </c>
      <c r="AB78" s="35">
        <v>0</v>
      </c>
      <c r="AC78" s="65">
        <v>1</v>
      </c>
      <c r="AD78" s="199">
        <v>0</v>
      </c>
      <c r="AE78" s="103">
        <v>0</v>
      </c>
      <c r="AF78" s="104">
        <v>0</v>
      </c>
      <c r="AG78" s="105">
        <v>0</v>
      </c>
      <c r="AH78" s="106">
        <v>0</v>
      </c>
      <c r="AI78" s="70">
        <f t="shared" si="137"/>
        <v>0</v>
      </c>
      <c r="AJ78" s="71">
        <v>0</v>
      </c>
      <c r="AK78" s="65"/>
      <c r="AL78" s="65"/>
      <c r="AM78" s="72"/>
      <c r="AN78" s="65"/>
      <c r="AO78" s="72"/>
      <c r="AP78" s="33" t="s">
        <v>58</v>
      </c>
      <c r="AQ78" s="65">
        <v>1</v>
      </c>
      <c r="AR78" s="73">
        <v>0</v>
      </c>
      <c r="AS78" s="74">
        <v>10</v>
      </c>
      <c r="AT78" s="75"/>
      <c r="AU78" s="76"/>
      <c r="AV78" s="65"/>
      <c r="AW78" s="33"/>
      <c r="AX78" s="32" t="s">
        <v>108</v>
      </c>
    </row>
    <row r="79" spans="1:286" s="97" customFormat="1" ht="82.5" customHeight="1" x14ac:dyDescent="0.25">
      <c r="A79" s="297"/>
      <c r="B79" s="30" t="s">
        <v>45</v>
      </c>
      <c r="C79" s="31" t="s">
        <v>159</v>
      </c>
      <c r="D79" s="32" t="s">
        <v>106</v>
      </c>
      <c r="E79" s="32" t="s">
        <v>75</v>
      </c>
      <c r="F79" s="51" t="s">
        <v>61</v>
      </c>
      <c r="G79" s="83"/>
      <c r="H79" s="84">
        <f>SUM(H78)</f>
        <v>10</v>
      </c>
      <c r="I79" s="84">
        <f t="shared" ref="I79" si="158">SUM(I78)</f>
        <v>3</v>
      </c>
      <c r="J79" s="84">
        <f t="shared" ref="J79:M79" si="159">SUM(J78)</f>
        <v>0</v>
      </c>
      <c r="K79" s="84">
        <f t="shared" si="159"/>
        <v>4</v>
      </c>
      <c r="L79" s="84">
        <f t="shared" si="159"/>
        <v>1</v>
      </c>
      <c r="M79" s="84">
        <f t="shared" si="159"/>
        <v>1</v>
      </c>
      <c r="N79" s="84">
        <f t="shared" si="146"/>
        <v>9</v>
      </c>
      <c r="O79" s="84">
        <f t="shared" ref="O79" si="160">SUM(O78)</f>
        <v>0</v>
      </c>
      <c r="P79" s="84">
        <v>0</v>
      </c>
      <c r="Q79" s="96"/>
      <c r="R79" s="85"/>
      <c r="S79" s="53"/>
      <c r="T79" s="51"/>
      <c r="U79" s="84">
        <f t="shared" ref="U79:AJ79" si="161">SUM(U78)</f>
        <v>10</v>
      </c>
      <c r="V79" s="84">
        <f t="shared" si="161"/>
        <v>3</v>
      </c>
      <c r="W79" s="84">
        <f t="shared" si="161"/>
        <v>0</v>
      </c>
      <c r="X79" s="84">
        <f t="shared" si="161"/>
        <v>4</v>
      </c>
      <c r="Y79" s="84">
        <f t="shared" si="161"/>
        <v>2</v>
      </c>
      <c r="Z79" s="84">
        <f t="shared" si="161"/>
        <v>1</v>
      </c>
      <c r="AA79" s="84">
        <f t="shared" si="136"/>
        <v>10</v>
      </c>
      <c r="AB79" s="84">
        <f t="shared" si="161"/>
        <v>0</v>
      </c>
      <c r="AC79" s="84">
        <f t="shared" si="161"/>
        <v>1</v>
      </c>
      <c r="AD79" s="84">
        <f t="shared" si="161"/>
        <v>0</v>
      </c>
      <c r="AE79" s="84">
        <f t="shared" si="161"/>
        <v>0</v>
      </c>
      <c r="AF79" s="84">
        <f t="shared" si="161"/>
        <v>0</v>
      </c>
      <c r="AG79" s="84">
        <f t="shared" si="161"/>
        <v>0</v>
      </c>
      <c r="AH79" s="84">
        <f t="shared" si="161"/>
        <v>0</v>
      </c>
      <c r="AI79" s="84">
        <f t="shared" si="137"/>
        <v>0</v>
      </c>
      <c r="AJ79" s="84">
        <f t="shared" si="161"/>
        <v>0</v>
      </c>
      <c r="AK79" s="83"/>
      <c r="AL79" s="85"/>
      <c r="AM79" s="83"/>
      <c r="AN79" s="96"/>
      <c r="AO79" s="96"/>
      <c r="AP79" s="51"/>
      <c r="AQ79" s="83">
        <f>SUM(AQ78)</f>
        <v>1</v>
      </c>
      <c r="AR79" s="83">
        <f t="shared" ref="AR79:AT79" si="162">SUM(AR78)</f>
        <v>0</v>
      </c>
      <c r="AS79" s="83">
        <f t="shared" si="162"/>
        <v>10</v>
      </c>
      <c r="AT79" s="83">
        <f t="shared" si="162"/>
        <v>0</v>
      </c>
      <c r="AU79" s="87"/>
      <c r="AV79" s="83"/>
      <c r="AW79" s="51"/>
      <c r="AX79" s="51" t="s">
        <v>108</v>
      </c>
      <c r="AY79" s="95"/>
      <c r="AZ79" s="95"/>
      <c r="BA79" s="95"/>
      <c r="BB79" s="95"/>
      <c r="BC79" s="95"/>
      <c r="BD79" s="95"/>
      <c r="BE79" s="95"/>
      <c r="BF79" s="95"/>
      <c r="BG79" s="95"/>
      <c r="BH79" s="95"/>
      <c r="BI79" s="95"/>
      <c r="BJ79" s="95"/>
      <c r="BK79" s="95"/>
      <c r="BL79" s="95"/>
      <c r="BM79" s="95"/>
      <c r="BN79" s="95"/>
      <c r="BO79" s="95"/>
      <c r="BP79" s="95"/>
      <c r="BQ79" s="95"/>
      <c r="BR79" s="95"/>
      <c r="BS79" s="95"/>
      <c r="BT79" s="95"/>
      <c r="BU79" s="95"/>
      <c r="BV79" s="95"/>
      <c r="BW79" s="95"/>
      <c r="BX79" s="95"/>
      <c r="BY79" s="95"/>
      <c r="BZ79" s="95"/>
      <c r="CA79" s="95"/>
      <c r="CB79" s="95"/>
      <c r="CC79" s="95"/>
      <c r="CD79" s="95"/>
      <c r="CE79" s="95"/>
      <c r="CF79" s="95"/>
      <c r="CG79" s="95"/>
      <c r="CH79" s="95"/>
      <c r="CI79" s="95"/>
      <c r="CJ79" s="95"/>
      <c r="CK79" s="95"/>
      <c r="CL79" s="95"/>
      <c r="CM79" s="95"/>
      <c r="CN79" s="95"/>
      <c r="CO79" s="95"/>
      <c r="CP79" s="95"/>
      <c r="CQ79" s="95"/>
      <c r="CR79" s="95"/>
      <c r="CS79" s="95"/>
      <c r="CT79" s="95"/>
      <c r="CU79" s="95"/>
      <c r="CV79" s="95"/>
      <c r="CW79" s="95"/>
      <c r="CX79" s="95"/>
      <c r="CY79" s="95"/>
      <c r="CZ79" s="95"/>
      <c r="DA79" s="95"/>
      <c r="DB79" s="95"/>
      <c r="DC79" s="95"/>
      <c r="DD79" s="95"/>
      <c r="DE79" s="95"/>
      <c r="DF79" s="95"/>
      <c r="DG79" s="95"/>
      <c r="DH79" s="95"/>
      <c r="DI79" s="95"/>
      <c r="DJ79" s="95"/>
      <c r="DK79" s="95"/>
      <c r="DL79" s="95"/>
      <c r="DM79" s="95"/>
      <c r="DN79" s="95"/>
      <c r="DO79" s="95"/>
      <c r="DP79" s="95"/>
      <c r="DQ79" s="95"/>
      <c r="DR79" s="95"/>
      <c r="DS79" s="95"/>
      <c r="DT79" s="95"/>
      <c r="DU79" s="95"/>
      <c r="DV79" s="95"/>
      <c r="DW79" s="95"/>
      <c r="DX79" s="95"/>
      <c r="DY79" s="95"/>
      <c r="DZ79" s="95"/>
      <c r="EA79" s="95"/>
      <c r="EB79" s="95"/>
      <c r="EC79" s="95"/>
      <c r="ED79" s="95"/>
      <c r="EE79" s="95"/>
      <c r="EF79" s="95"/>
      <c r="EG79" s="95"/>
      <c r="EH79" s="95"/>
      <c r="EI79" s="95"/>
      <c r="EJ79" s="95"/>
      <c r="EK79" s="95"/>
      <c r="EL79" s="95"/>
      <c r="EM79" s="95"/>
      <c r="EN79" s="95"/>
      <c r="EO79" s="95"/>
      <c r="EP79" s="95"/>
      <c r="EQ79" s="95"/>
      <c r="ER79" s="95"/>
      <c r="ES79" s="95"/>
      <c r="ET79" s="95"/>
      <c r="EU79" s="95"/>
      <c r="EV79" s="95"/>
      <c r="EW79" s="95"/>
      <c r="EX79" s="95"/>
      <c r="EY79" s="95"/>
      <c r="EZ79" s="95"/>
      <c r="FA79" s="95"/>
      <c r="FB79" s="95"/>
      <c r="FC79" s="95"/>
      <c r="FD79" s="95"/>
      <c r="FE79" s="95"/>
      <c r="FF79" s="95"/>
      <c r="FG79" s="95"/>
      <c r="FH79" s="95"/>
      <c r="FI79" s="95"/>
      <c r="FJ79" s="95"/>
      <c r="FK79" s="95"/>
      <c r="FL79" s="95"/>
      <c r="FM79" s="95"/>
      <c r="FN79" s="95"/>
      <c r="FO79" s="95"/>
      <c r="FP79" s="95"/>
      <c r="FQ79" s="95"/>
      <c r="FR79" s="95"/>
      <c r="FS79" s="95"/>
      <c r="FT79" s="95"/>
      <c r="FU79" s="95"/>
      <c r="FV79" s="95"/>
      <c r="FW79" s="95"/>
      <c r="FX79" s="95"/>
      <c r="FY79" s="95"/>
      <c r="FZ79" s="95"/>
      <c r="GA79" s="95"/>
      <c r="GB79" s="95"/>
      <c r="GC79" s="95"/>
      <c r="GD79" s="95"/>
      <c r="GE79" s="95"/>
      <c r="GF79" s="95"/>
      <c r="GG79" s="95"/>
      <c r="GH79" s="95"/>
      <c r="GI79" s="95"/>
      <c r="GJ79" s="95"/>
      <c r="GK79" s="95"/>
      <c r="GL79" s="95"/>
      <c r="GM79" s="95"/>
      <c r="GN79" s="95"/>
      <c r="GO79" s="95"/>
      <c r="GP79" s="95"/>
      <c r="GQ79" s="95"/>
      <c r="GR79" s="95"/>
      <c r="GS79" s="95"/>
      <c r="GT79" s="95"/>
      <c r="GU79" s="95"/>
      <c r="GV79" s="95"/>
      <c r="GW79" s="95"/>
      <c r="GX79" s="95"/>
      <c r="GY79" s="95"/>
      <c r="GZ79" s="95"/>
      <c r="HA79" s="95"/>
      <c r="HB79" s="95"/>
      <c r="HC79" s="95"/>
      <c r="HD79" s="95"/>
      <c r="HE79" s="95"/>
      <c r="HF79" s="95"/>
      <c r="HG79" s="95"/>
      <c r="HH79" s="95"/>
      <c r="HI79" s="95"/>
      <c r="HJ79" s="95"/>
      <c r="HK79" s="95"/>
      <c r="HL79" s="95"/>
      <c r="HM79" s="95"/>
      <c r="HN79" s="95"/>
      <c r="HO79" s="95"/>
      <c r="HP79" s="95"/>
      <c r="HQ79" s="95"/>
      <c r="HR79" s="95"/>
      <c r="HS79" s="95"/>
      <c r="HT79" s="95"/>
      <c r="HU79" s="95"/>
      <c r="HV79" s="95"/>
      <c r="HW79" s="95"/>
      <c r="HX79" s="95"/>
      <c r="HY79" s="95"/>
      <c r="HZ79" s="95"/>
      <c r="IA79" s="95"/>
      <c r="IB79" s="95"/>
      <c r="IC79" s="95"/>
      <c r="ID79" s="95"/>
      <c r="IE79" s="95"/>
      <c r="IF79" s="95"/>
      <c r="IG79" s="95"/>
      <c r="IH79" s="95"/>
      <c r="II79" s="95"/>
      <c r="IJ79" s="95"/>
      <c r="IK79" s="95"/>
      <c r="IL79" s="95"/>
      <c r="IM79" s="95"/>
      <c r="IN79" s="95"/>
      <c r="IO79" s="95"/>
      <c r="IP79" s="95"/>
      <c r="IQ79" s="95"/>
      <c r="IR79" s="95"/>
      <c r="IS79" s="95"/>
      <c r="IT79" s="95"/>
      <c r="IU79" s="95"/>
      <c r="IV79" s="95"/>
      <c r="IW79" s="95"/>
      <c r="IX79" s="95"/>
      <c r="IY79" s="95"/>
      <c r="IZ79" s="95"/>
      <c r="JA79" s="95"/>
      <c r="JB79" s="95"/>
      <c r="JC79" s="95"/>
      <c r="JD79" s="95"/>
      <c r="JE79" s="95"/>
      <c r="JF79" s="95"/>
      <c r="JG79" s="95"/>
      <c r="JH79" s="95"/>
      <c r="JI79" s="95"/>
      <c r="JJ79" s="95"/>
      <c r="JK79" s="95"/>
      <c r="JL79" s="95"/>
      <c r="JM79" s="95"/>
      <c r="JN79" s="95"/>
      <c r="JO79" s="95"/>
      <c r="JP79" s="95"/>
      <c r="JQ79" s="95"/>
      <c r="JR79" s="95"/>
      <c r="JS79" s="95"/>
      <c r="JT79" s="95"/>
      <c r="JU79" s="95"/>
      <c r="JV79" s="95"/>
      <c r="JW79" s="95"/>
      <c r="JX79" s="95"/>
      <c r="JY79" s="95"/>
      <c r="JZ79" s="95"/>
    </row>
    <row r="80" spans="1:286" s="95" customFormat="1" ht="82.5" customHeight="1" x14ac:dyDescent="0.25">
      <c r="A80" s="297"/>
      <c r="B80" s="30" t="s">
        <v>45</v>
      </c>
      <c r="C80" s="31" t="s">
        <v>161</v>
      </c>
      <c r="D80" s="32" t="s">
        <v>106</v>
      </c>
      <c r="E80" s="32" t="s">
        <v>70</v>
      </c>
      <c r="F80" s="217" t="s">
        <v>49</v>
      </c>
      <c r="G80" s="33" t="s">
        <v>139</v>
      </c>
      <c r="H80" s="217">
        <v>5</v>
      </c>
      <c r="I80" s="240">
        <v>0</v>
      </c>
      <c r="J80" s="230">
        <v>0</v>
      </c>
      <c r="K80" s="224">
        <v>2</v>
      </c>
      <c r="L80" s="226">
        <v>1</v>
      </c>
      <c r="M80" s="232">
        <v>2</v>
      </c>
      <c r="N80" s="234">
        <f t="shared" si="146"/>
        <v>5</v>
      </c>
      <c r="O80" s="216">
        <v>0</v>
      </c>
      <c r="P80" s="71"/>
      <c r="Q80" s="217"/>
      <c r="R80" s="217" t="s">
        <v>51</v>
      </c>
      <c r="S80" s="235" t="s">
        <v>96</v>
      </c>
      <c r="T80" s="203" t="s">
        <v>77</v>
      </c>
      <c r="U80" s="217">
        <v>5</v>
      </c>
      <c r="V80" s="238">
        <v>0</v>
      </c>
      <c r="W80" s="230">
        <v>0</v>
      </c>
      <c r="X80" s="224">
        <v>2</v>
      </c>
      <c r="Y80" s="226">
        <v>1</v>
      </c>
      <c r="Z80" s="232">
        <v>2</v>
      </c>
      <c r="AA80" s="234">
        <f t="shared" si="136"/>
        <v>5</v>
      </c>
      <c r="AB80" s="216">
        <v>0</v>
      </c>
      <c r="AC80" s="217">
        <v>1</v>
      </c>
      <c r="AD80" s="238">
        <v>0</v>
      </c>
      <c r="AE80" s="230">
        <v>0</v>
      </c>
      <c r="AF80" s="224">
        <v>0</v>
      </c>
      <c r="AG80" s="226">
        <v>0</v>
      </c>
      <c r="AH80" s="232">
        <v>0</v>
      </c>
      <c r="AI80" s="234">
        <f t="shared" si="137"/>
        <v>0</v>
      </c>
      <c r="AJ80" s="71">
        <v>0</v>
      </c>
      <c r="AK80" s="217"/>
      <c r="AL80" s="217"/>
      <c r="AM80" s="243"/>
      <c r="AN80" s="217"/>
      <c r="AO80" s="72"/>
      <c r="AP80" s="33" t="s">
        <v>58</v>
      </c>
      <c r="AQ80" s="65">
        <v>1</v>
      </c>
      <c r="AR80" s="73">
        <v>0</v>
      </c>
      <c r="AS80" s="74">
        <v>0</v>
      </c>
      <c r="AT80" s="75">
        <v>1</v>
      </c>
      <c r="AU80" s="217"/>
      <c r="AV80" s="217"/>
      <c r="AW80" s="217"/>
      <c r="AX80" s="108" t="s">
        <v>126</v>
      </c>
    </row>
    <row r="81" spans="1:286" s="95" customFormat="1" ht="82.5" customHeight="1" x14ac:dyDescent="0.25">
      <c r="A81" s="297"/>
      <c r="B81" s="30" t="s">
        <v>45</v>
      </c>
      <c r="C81" s="31" t="s">
        <v>161</v>
      </c>
      <c r="D81" s="32" t="s">
        <v>106</v>
      </c>
      <c r="E81" s="32" t="s">
        <v>70</v>
      </c>
      <c r="F81" s="217"/>
      <c r="G81" s="33" t="s">
        <v>139</v>
      </c>
      <c r="H81" s="217"/>
      <c r="I81" s="241"/>
      <c r="J81" s="231"/>
      <c r="K81" s="225"/>
      <c r="L81" s="227"/>
      <c r="M81" s="233"/>
      <c r="N81" s="234">
        <f t="shared" si="146"/>
        <v>0</v>
      </c>
      <c r="O81" s="216"/>
      <c r="P81" s="71"/>
      <c r="Q81" s="217"/>
      <c r="R81" s="217"/>
      <c r="S81" s="235"/>
      <c r="T81" s="203"/>
      <c r="U81" s="217"/>
      <c r="V81" s="239"/>
      <c r="W81" s="231"/>
      <c r="X81" s="225"/>
      <c r="Y81" s="227"/>
      <c r="Z81" s="233"/>
      <c r="AA81" s="234">
        <f t="shared" si="136"/>
        <v>0</v>
      </c>
      <c r="AB81" s="216">
        <v>0</v>
      </c>
      <c r="AC81" s="217"/>
      <c r="AD81" s="239"/>
      <c r="AE81" s="231"/>
      <c r="AF81" s="225"/>
      <c r="AG81" s="227"/>
      <c r="AH81" s="233"/>
      <c r="AI81" s="234">
        <f t="shared" si="137"/>
        <v>0</v>
      </c>
      <c r="AJ81" s="71"/>
      <c r="AK81" s="217"/>
      <c r="AL81" s="217"/>
      <c r="AM81" s="243"/>
      <c r="AN81" s="217"/>
      <c r="AO81" s="72"/>
      <c r="AP81" s="33" t="s">
        <v>127</v>
      </c>
      <c r="AQ81" s="65">
        <v>1</v>
      </c>
      <c r="AR81" s="73">
        <v>0</v>
      </c>
      <c r="AS81" s="74">
        <v>0</v>
      </c>
      <c r="AT81" s="75">
        <v>1</v>
      </c>
      <c r="AU81" s="217"/>
      <c r="AV81" s="217"/>
      <c r="AW81" s="217"/>
      <c r="AX81" s="108" t="s">
        <v>126</v>
      </c>
    </row>
    <row r="82" spans="1:286" s="97" customFormat="1" ht="82.5" customHeight="1" x14ac:dyDescent="0.25">
      <c r="A82" s="297"/>
      <c r="B82" s="30" t="s">
        <v>45</v>
      </c>
      <c r="C82" s="31" t="s">
        <v>161</v>
      </c>
      <c r="D82" s="32" t="s">
        <v>106</v>
      </c>
      <c r="E82" s="32" t="s">
        <v>70</v>
      </c>
      <c r="F82" s="51" t="s">
        <v>61</v>
      </c>
      <c r="G82" s="83"/>
      <c r="H82" s="84">
        <f>SUM(H80)</f>
        <v>5</v>
      </c>
      <c r="I82" s="84">
        <f t="shared" ref="I82" si="163">SUM(I80)</f>
        <v>0</v>
      </c>
      <c r="J82" s="84">
        <f t="shared" ref="J82:M82" si="164">SUM(J80)</f>
        <v>0</v>
      </c>
      <c r="K82" s="84">
        <f t="shared" si="164"/>
        <v>2</v>
      </c>
      <c r="L82" s="84">
        <f t="shared" si="164"/>
        <v>1</v>
      </c>
      <c r="M82" s="84">
        <f t="shared" si="164"/>
        <v>2</v>
      </c>
      <c r="N82" s="84">
        <f t="shared" si="146"/>
        <v>5</v>
      </c>
      <c r="O82" s="84">
        <f t="shared" ref="O82:P82" si="165">SUM(O80)</f>
        <v>0</v>
      </c>
      <c r="P82" s="84">
        <f t="shared" si="165"/>
        <v>0</v>
      </c>
      <c r="Q82" s="96"/>
      <c r="R82" s="85"/>
      <c r="S82" s="53"/>
      <c r="T82" s="51"/>
      <c r="U82" s="84">
        <f t="shared" ref="U82:AJ82" si="166">SUM(U80)</f>
        <v>5</v>
      </c>
      <c r="V82" s="84">
        <f t="shared" si="166"/>
        <v>0</v>
      </c>
      <c r="W82" s="84">
        <f t="shared" si="166"/>
        <v>0</v>
      </c>
      <c r="X82" s="84">
        <f t="shared" si="166"/>
        <v>2</v>
      </c>
      <c r="Y82" s="84">
        <f t="shared" si="166"/>
        <v>1</v>
      </c>
      <c r="Z82" s="84">
        <f t="shared" si="166"/>
        <v>2</v>
      </c>
      <c r="AA82" s="84">
        <f t="shared" si="136"/>
        <v>5</v>
      </c>
      <c r="AB82" s="84">
        <f t="shared" si="166"/>
        <v>0</v>
      </c>
      <c r="AC82" s="84">
        <f t="shared" si="166"/>
        <v>1</v>
      </c>
      <c r="AD82" s="84">
        <f t="shared" si="166"/>
        <v>0</v>
      </c>
      <c r="AE82" s="84">
        <f t="shared" si="166"/>
        <v>0</v>
      </c>
      <c r="AF82" s="84">
        <f t="shared" si="166"/>
        <v>0</v>
      </c>
      <c r="AG82" s="84">
        <f t="shared" si="166"/>
        <v>0</v>
      </c>
      <c r="AH82" s="84">
        <f t="shared" si="166"/>
        <v>0</v>
      </c>
      <c r="AI82" s="84">
        <f t="shared" si="137"/>
        <v>0</v>
      </c>
      <c r="AJ82" s="84">
        <f t="shared" si="166"/>
        <v>0</v>
      </c>
      <c r="AK82" s="83"/>
      <c r="AL82" s="85"/>
      <c r="AM82" s="83"/>
      <c r="AN82" s="96"/>
      <c r="AO82" s="96"/>
      <c r="AP82" s="51"/>
      <c r="AQ82" s="83">
        <f>SUM(AQ80)</f>
        <v>1</v>
      </c>
      <c r="AR82" s="83">
        <f t="shared" ref="AR82:AT82" si="167">SUM(AR80)</f>
        <v>0</v>
      </c>
      <c r="AS82" s="83">
        <f t="shared" si="167"/>
        <v>0</v>
      </c>
      <c r="AT82" s="83">
        <f t="shared" si="167"/>
        <v>1</v>
      </c>
      <c r="AU82" s="87"/>
      <c r="AV82" s="83"/>
      <c r="AW82" s="51"/>
      <c r="AX82" s="51" t="s">
        <v>126</v>
      </c>
      <c r="AY82" s="95"/>
      <c r="AZ82" s="95"/>
      <c r="BA82" s="95"/>
      <c r="BB82" s="95"/>
      <c r="BC82" s="95"/>
      <c r="BD82" s="95"/>
      <c r="BE82" s="95"/>
      <c r="BF82" s="95"/>
      <c r="BG82" s="95"/>
      <c r="BH82" s="95"/>
      <c r="BI82" s="95"/>
      <c r="BJ82" s="95"/>
      <c r="BK82" s="95"/>
      <c r="BL82" s="95"/>
      <c r="BM82" s="95"/>
      <c r="BN82" s="95"/>
      <c r="BO82" s="95"/>
      <c r="BP82" s="95"/>
      <c r="BQ82" s="95"/>
      <c r="BR82" s="95"/>
      <c r="BS82" s="95"/>
      <c r="BT82" s="95"/>
      <c r="BU82" s="95"/>
      <c r="BV82" s="95"/>
      <c r="BW82" s="95"/>
      <c r="BX82" s="95"/>
      <c r="BY82" s="95"/>
      <c r="BZ82" s="95"/>
      <c r="CA82" s="95"/>
      <c r="CB82" s="95"/>
      <c r="CC82" s="95"/>
      <c r="CD82" s="95"/>
      <c r="CE82" s="95"/>
      <c r="CF82" s="95"/>
      <c r="CG82" s="95"/>
      <c r="CH82" s="95"/>
      <c r="CI82" s="95"/>
      <c r="CJ82" s="95"/>
      <c r="CK82" s="95"/>
      <c r="CL82" s="95"/>
      <c r="CM82" s="95"/>
      <c r="CN82" s="95"/>
      <c r="CO82" s="95"/>
      <c r="CP82" s="95"/>
      <c r="CQ82" s="95"/>
      <c r="CR82" s="95"/>
      <c r="CS82" s="95"/>
      <c r="CT82" s="95"/>
      <c r="CU82" s="95"/>
      <c r="CV82" s="95"/>
      <c r="CW82" s="95"/>
      <c r="CX82" s="95"/>
      <c r="CY82" s="95"/>
      <c r="CZ82" s="95"/>
      <c r="DA82" s="95"/>
      <c r="DB82" s="95"/>
      <c r="DC82" s="95"/>
      <c r="DD82" s="95"/>
      <c r="DE82" s="95"/>
      <c r="DF82" s="95"/>
      <c r="DG82" s="95"/>
      <c r="DH82" s="95"/>
      <c r="DI82" s="95"/>
      <c r="DJ82" s="95"/>
      <c r="DK82" s="95"/>
      <c r="DL82" s="95"/>
      <c r="DM82" s="95"/>
      <c r="DN82" s="95"/>
      <c r="DO82" s="95"/>
      <c r="DP82" s="95"/>
      <c r="DQ82" s="95"/>
      <c r="DR82" s="95"/>
      <c r="DS82" s="95"/>
      <c r="DT82" s="95"/>
      <c r="DU82" s="95"/>
      <c r="DV82" s="95"/>
      <c r="DW82" s="95"/>
      <c r="DX82" s="95"/>
      <c r="DY82" s="95"/>
      <c r="DZ82" s="95"/>
      <c r="EA82" s="95"/>
      <c r="EB82" s="95"/>
      <c r="EC82" s="95"/>
      <c r="ED82" s="95"/>
      <c r="EE82" s="95"/>
      <c r="EF82" s="95"/>
      <c r="EG82" s="95"/>
      <c r="EH82" s="95"/>
      <c r="EI82" s="95"/>
      <c r="EJ82" s="95"/>
      <c r="EK82" s="95"/>
      <c r="EL82" s="95"/>
      <c r="EM82" s="95"/>
      <c r="EN82" s="95"/>
      <c r="EO82" s="95"/>
      <c r="EP82" s="95"/>
      <c r="EQ82" s="95"/>
      <c r="ER82" s="95"/>
      <c r="ES82" s="95"/>
      <c r="ET82" s="95"/>
      <c r="EU82" s="95"/>
      <c r="EV82" s="95"/>
      <c r="EW82" s="95"/>
      <c r="EX82" s="95"/>
      <c r="EY82" s="95"/>
      <c r="EZ82" s="95"/>
      <c r="FA82" s="95"/>
      <c r="FB82" s="95"/>
      <c r="FC82" s="95"/>
      <c r="FD82" s="95"/>
      <c r="FE82" s="95"/>
      <c r="FF82" s="95"/>
      <c r="FG82" s="95"/>
      <c r="FH82" s="95"/>
      <c r="FI82" s="95"/>
      <c r="FJ82" s="95"/>
      <c r="FK82" s="95"/>
      <c r="FL82" s="95"/>
      <c r="FM82" s="95"/>
      <c r="FN82" s="95"/>
      <c r="FO82" s="95"/>
      <c r="FP82" s="95"/>
      <c r="FQ82" s="95"/>
      <c r="FR82" s="95"/>
      <c r="FS82" s="95"/>
      <c r="FT82" s="95"/>
      <c r="FU82" s="95"/>
      <c r="FV82" s="95"/>
      <c r="FW82" s="95"/>
      <c r="FX82" s="95"/>
      <c r="FY82" s="95"/>
      <c r="FZ82" s="95"/>
      <c r="GA82" s="95"/>
      <c r="GB82" s="95"/>
      <c r="GC82" s="95"/>
      <c r="GD82" s="95"/>
      <c r="GE82" s="95"/>
      <c r="GF82" s="95"/>
      <c r="GG82" s="95"/>
      <c r="GH82" s="95"/>
      <c r="GI82" s="95"/>
      <c r="GJ82" s="95"/>
      <c r="GK82" s="95"/>
      <c r="GL82" s="95"/>
      <c r="GM82" s="95"/>
      <c r="GN82" s="95"/>
      <c r="GO82" s="95"/>
      <c r="GP82" s="95"/>
      <c r="GQ82" s="95"/>
      <c r="GR82" s="95"/>
      <c r="GS82" s="95"/>
      <c r="GT82" s="95"/>
      <c r="GU82" s="95"/>
      <c r="GV82" s="95"/>
      <c r="GW82" s="95"/>
      <c r="GX82" s="95"/>
      <c r="GY82" s="95"/>
      <c r="GZ82" s="95"/>
      <c r="HA82" s="95"/>
      <c r="HB82" s="95"/>
      <c r="HC82" s="95"/>
      <c r="HD82" s="95"/>
      <c r="HE82" s="95"/>
      <c r="HF82" s="95"/>
      <c r="HG82" s="95"/>
      <c r="HH82" s="95"/>
      <c r="HI82" s="95"/>
      <c r="HJ82" s="95"/>
      <c r="HK82" s="95"/>
      <c r="HL82" s="95"/>
      <c r="HM82" s="95"/>
      <c r="HN82" s="95"/>
      <c r="HO82" s="95"/>
      <c r="HP82" s="95"/>
      <c r="HQ82" s="95"/>
      <c r="HR82" s="95"/>
      <c r="HS82" s="95"/>
      <c r="HT82" s="95"/>
      <c r="HU82" s="95"/>
      <c r="HV82" s="95"/>
      <c r="HW82" s="95"/>
      <c r="HX82" s="95"/>
      <c r="HY82" s="95"/>
      <c r="HZ82" s="95"/>
      <c r="IA82" s="95"/>
      <c r="IB82" s="95"/>
      <c r="IC82" s="95"/>
      <c r="ID82" s="95"/>
      <c r="IE82" s="95"/>
      <c r="IF82" s="95"/>
      <c r="IG82" s="95"/>
      <c r="IH82" s="95"/>
      <c r="II82" s="95"/>
      <c r="IJ82" s="95"/>
      <c r="IK82" s="95"/>
      <c r="IL82" s="95"/>
      <c r="IM82" s="95"/>
      <c r="IN82" s="95"/>
      <c r="IO82" s="95"/>
      <c r="IP82" s="95"/>
      <c r="IQ82" s="95"/>
      <c r="IR82" s="95"/>
      <c r="IS82" s="95"/>
      <c r="IT82" s="95"/>
      <c r="IU82" s="95"/>
      <c r="IV82" s="95"/>
      <c r="IW82" s="95"/>
      <c r="IX82" s="95"/>
      <c r="IY82" s="95"/>
      <c r="IZ82" s="95"/>
      <c r="JA82" s="95"/>
      <c r="JB82" s="95"/>
      <c r="JC82" s="95"/>
      <c r="JD82" s="95"/>
      <c r="JE82" s="95"/>
      <c r="JF82" s="95"/>
      <c r="JG82" s="95"/>
      <c r="JH82" s="95"/>
      <c r="JI82" s="95"/>
      <c r="JJ82" s="95"/>
      <c r="JK82" s="95"/>
      <c r="JL82" s="95"/>
      <c r="JM82" s="95"/>
      <c r="JN82" s="95"/>
      <c r="JO82" s="95"/>
      <c r="JP82" s="95"/>
      <c r="JQ82" s="95"/>
      <c r="JR82" s="95"/>
      <c r="JS82" s="95"/>
      <c r="JT82" s="95"/>
      <c r="JU82" s="95"/>
      <c r="JV82" s="95"/>
      <c r="JW82" s="95"/>
      <c r="JX82" s="95"/>
      <c r="JY82" s="95"/>
      <c r="JZ82" s="95"/>
    </row>
    <row r="83" spans="1:286" s="97" customFormat="1" ht="82.5" customHeight="1" x14ac:dyDescent="0.25">
      <c r="A83" s="297"/>
      <c r="B83" s="30" t="s">
        <v>45</v>
      </c>
      <c r="C83" s="31" t="s">
        <v>162</v>
      </c>
      <c r="D83" s="32" t="s">
        <v>89</v>
      </c>
      <c r="E83" s="32" t="s">
        <v>75</v>
      </c>
      <c r="F83" s="65"/>
      <c r="G83" s="33" t="s">
        <v>139</v>
      </c>
      <c r="H83" s="65">
        <v>5</v>
      </c>
      <c r="I83" s="107">
        <v>0</v>
      </c>
      <c r="J83" s="103">
        <v>0</v>
      </c>
      <c r="K83" s="104">
        <v>3</v>
      </c>
      <c r="L83" s="105">
        <v>1</v>
      </c>
      <c r="M83" s="106">
        <v>1</v>
      </c>
      <c r="N83" s="70">
        <f t="shared" si="146"/>
        <v>5</v>
      </c>
      <c r="O83" s="71"/>
      <c r="P83" s="71"/>
      <c r="Q83" s="93"/>
      <c r="R83" s="33" t="s">
        <v>51</v>
      </c>
      <c r="S83" s="36" t="s">
        <v>163</v>
      </c>
      <c r="T83" s="33" t="s">
        <v>137</v>
      </c>
      <c r="U83" s="65">
        <v>5</v>
      </c>
      <c r="V83" s="199">
        <v>0</v>
      </c>
      <c r="W83" s="103">
        <v>0</v>
      </c>
      <c r="X83" s="104">
        <v>3</v>
      </c>
      <c r="Y83" s="105">
        <v>1</v>
      </c>
      <c r="Z83" s="106">
        <v>1</v>
      </c>
      <c r="AA83" s="70">
        <f t="shared" si="136"/>
        <v>5</v>
      </c>
      <c r="AB83" s="35">
        <v>0</v>
      </c>
      <c r="AC83" s="65">
        <v>1</v>
      </c>
      <c r="AD83" s="199">
        <v>0</v>
      </c>
      <c r="AE83" s="103">
        <v>0</v>
      </c>
      <c r="AF83" s="104">
        <v>0</v>
      </c>
      <c r="AG83" s="105">
        <v>0</v>
      </c>
      <c r="AH83" s="106">
        <v>0</v>
      </c>
      <c r="AI83" s="70">
        <f t="shared" si="137"/>
        <v>0</v>
      </c>
      <c r="AJ83" s="71">
        <v>0</v>
      </c>
      <c r="AK83" s="65"/>
      <c r="AL83" s="33"/>
      <c r="AM83" s="72"/>
      <c r="AN83" s="65"/>
      <c r="AO83" s="72"/>
      <c r="AP83" s="33"/>
      <c r="AQ83" s="65"/>
      <c r="AR83" s="73"/>
      <c r="AS83" s="74"/>
      <c r="AT83" s="75"/>
      <c r="AU83" s="76"/>
      <c r="AV83" s="65"/>
      <c r="AW83" s="33"/>
      <c r="AX83" s="32" t="s">
        <v>87</v>
      </c>
      <c r="AY83" s="95"/>
      <c r="AZ83" s="95"/>
      <c r="BA83" s="95"/>
      <c r="BB83" s="95"/>
      <c r="BC83" s="95"/>
      <c r="BD83" s="95"/>
      <c r="BE83" s="95"/>
      <c r="BF83" s="95"/>
      <c r="BG83" s="95"/>
      <c r="BH83" s="95"/>
      <c r="BI83" s="95"/>
      <c r="BJ83" s="95"/>
      <c r="BK83" s="95"/>
      <c r="BL83" s="95"/>
      <c r="BM83" s="95"/>
      <c r="BN83" s="95"/>
      <c r="BO83" s="95"/>
      <c r="BP83" s="95"/>
      <c r="BQ83" s="95"/>
      <c r="BR83" s="95"/>
      <c r="BS83" s="95"/>
      <c r="BT83" s="95"/>
      <c r="BU83" s="95"/>
      <c r="BV83" s="95"/>
      <c r="BW83" s="95"/>
      <c r="BX83" s="95"/>
      <c r="BY83" s="95"/>
      <c r="BZ83" s="95"/>
      <c r="CA83" s="95"/>
      <c r="CB83" s="95"/>
      <c r="CC83" s="95"/>
      <c r="CD83" s="95"/>
      <c r="CE83" s="95"/>
      <c r="CF83" s="95"/>
      <c r="CG83" s="95"/>
      <c r="CH83" s="95"/>
      <c r="CI83" s="95"/>
      <c r="CJ83" s="95"/>
      <c r="CK83" s="95"/>
      <c r="CL83" s="95"/>
      <c r="CM83" s="95"/>
      <c r="CN83" s="95"/>
      <c r="CO83" s="95"/>
      <c r="CP83" s="95"/>
      <c r="CQ83" s="95"/>
      <c r="CR83" s="95"/>
      <c r="CS83" s="95"/>
      <c r="CT83" s="95"/>
      <c r="CU83" s="95"/>
      <c r="CV83" s="95"/>
      <c r="CW83" s="95"/>
      <c r="CX83" s="95"/>
      <c r="CY83" s="95"/>
      <c r="CZ83" s="95"/>
      <c r="DA83" s="95"/>
      <c r="DB83" s="95"/>
      <c r="DC83" s="95"/>
      <c r="DD83" s="95"/>
      <c r="DE83" s="95"/>
      <c r="DF83" s="95"/>
      <c r="DG83" s="95"/>
      <c r="DH83" s="95"/>
      <c r="DI83" s="95"/>
      <c r="DJ83" s="95"/>
      <c r="DK83" s="95"/>
      <c r="DL83" s="95"/>
      <c r="DM83" s="95"/>
      <c r="DN83" s="95"/>
      <c r="DO83" s="95"/>
      <c r="DP83" s="95"/>
      <c r="DQ83" s="95"/>
      <c r="DR83" s="95"/>
      <c r="DS83" s="95"/>
      <c r="DT83" s="95"/>
      <c r="DU83" s="95"/>
      <c r="DV83" s="95"/>
      <c r="DW83" s="95"/>
      <c r="DX83" s="95"/>
      <c r="DY83" s="95"/>
      <c r="DZ83" s="95"/>
      <c r="EA83" s="95"/>
      <c r="EB83" s="95"/>
      <c r="EC83" s="95"/>
      <c r="ED83" s="95"/>
      <c r="EE83" s="95"/>
      <c r="EF83" s="95"/>
      <c r="EG83" s="95"/>
      <c r="EH83" s="95"/>
      <c r="EI83" s="95"/>
      <c r="EJ83" s="95"/>
      <c r="EK83" s="95"/>
      <c r="EL83" s="95"/>
      <c r="EM83" s="95"/>
      <c r="EN83" s="95"/>
      <c r="EO83" s="95"/>
      <c r="EP83" s="95"/>
      <c r="EQ83" s="95"/>
      <c r="ER83" s="95"/>
      <c r="ES83" s="95"/>
      <c r="ET83" s="95"/>
      <c r="EU83" s="95"/>
      <c r="EV83" s="95"/>
      <c r="EW83" s="95"/>
      <c r="EX83" s="95"/>
      <c r="EY83" s="95"/>
      <c r="EZ83" s="95"/>
      <c r="FA83" s="95"/>
      <c r="FB83" s="95"/>
      <c r="FC83" s="95"/>
      <c r="FD83" s="95"/>
      <c r="FE83" s="95"/>
      <c r="FF83" s="95"/>
      <c r="FG83" s="95"/>
      <c r="FH83" s="95"/>
      <c r="FI83" s="95"/>
      <c r="FJ83" s="95"/>
      <c r="FK83" s="95"/>
      <c r="FL83" s="95"/>
      <c r="FM83" s="95"/>
      <c r="FN83" s="95"/>
      <c r="FO83" s="95"/>
      <c r="FP83" s="95"/>
      <c r="FQ83" s="95"/>
      <c r="FR83" s="95"/>
      <c r="FS83" s="95"/>
      <c r="FT83" s="95"/>
      <c r="FU83" s="95"/>
      <c r="FV83" s="95"/>
      <c r="FW83" s="95"/>
      <c r="FX83" s="95"/>
      <c r="FY83" s="95"/>
      <c r="FZ83" s="95"/>
      <c r="GA83" s="95"/>
      <c r="GB83" s="95"/>
      <c r="GC83" s="95"/>
      <c r="GD83" s="95"/>
      <c r="GE83" s="95"/>
      <c r="GF83" s="95"/>
      <c r="GG83" s="95"/>
      <c r="GH83" s="95"/>
      <c r="GI83" s="95"/>
      <c r="GJ83" s="95"/>
      <c r="GK83" s="95"/>
      <c r="GL83" s="95"/>
      <c r="GM83" s="95"/>
      <c r="GN83" s="95"/>
      <c r="GO83" s="95"/>
      <c r="GP83" s="95"/>
      <c r="GQ83" s="95"/>
      <c r="GR83" s="95"/>
      <c r="GS83" s="95"/>
      <c r="GT83" s="95"/>
      <c r="GU83" s="95"/>
      <c r="GV83" s="95"/>
      <c r="GW83" s="95"/>
      <c r="GX83" s="95"/>
      <c r="GY83" s="95"/>
      <c r="GZ83" s="95"/>
      <c r="HA83" s="95"/>
      <c r="HB83" s="95"/>
      <c r="HC83" s="95"/>
      <c r="HD83" s="95"/>
      <c r="HE83" s="95"/>
      <c r="HF83" s="95"/>
      <c r="HG83" s="95"/>
      <c r="HH83" s="95"/>
      <c r="HI83" s="95"/>
      <c r="HJ83" s="95"/>
      <c r="HK83" s="95"/>
      <c r="HL83" s="95"/>
      <c r="HM83" s="95"/>
      <c r="HN83" s="95"/>
      <c r="HO83" s="95"/>
      <c r="HP83" s="95"/>
      <c r="HQ83" s="95"/>
      <c r="HR83" s="95"/>
      <c r="HS83" s="95"/>
      <c r="HT83" s="95"/>
      <c r="HU83" s="95"/>
      <c r="HV83" s="95"/>
      <c r="HW83" s="95"/>
      <c r="HX83" s="95"/>
      <c r="HY83" s="95"/>
      <c r="HZ83" s="95"/>
      <c r="IA83" s="95"/>
      <c r="IB83" s="95"/>
      <c r="IC83" s="95"/>
      <c r="ID83" s="95"/>
      <c r="IE83" s="95"/>
      <c r="IF83" s="95"/>
      <c r="IG83" s="95"/>
      <c r="IH83" s="95"/>
      <c r="II83" s="95"/>
      <c r="IJ83" s="95"/>
      <c r="IK83" s="95"/>
      <c r="IL83" s="95"/>
      <c r="IM83" s="95"/>
      <c r="IN83" s="95"/>
      <c r="IO83" s="95"/>
      <c r="IP83" s="95"/>
      <c r="IQ83" s="95"/>
      <c r="IR83" s="95"/>
      <c r="IS83" s="95"/>
      <c r="IT83" s="95"/>
      <c r="IU83" s="95"/>
      <c r="IV83" s="95"/>
      <c r="IW83" s="95"/>
      <c r="IX83" s="95"/>
      <c r="IY83" s="95"/>
      <c r="IZ83" s="95"/>
      <c r="JA83" s="95"/>
      <c r="JB83" s="95"/>
      <c r="JC83" s="95"/>
      <c r="JD83" s="95"/>
      <c r="JE83" s="95"/>
      <c r="JF83" s="95"/>
      <c r="JG83" s="95"/>
      <c r="JH83" s="95"/>
      <c r="JI83" s="95"/>
      <c r="JJ83" s="95"/>
      <c r="JK83" s="95"/>
      <c r="JL83" s="95"/>
      <c r="JM83" s="95"/>
      <c r="JN83" s="95"/>
      <c r="JO83" s="95"/>
      <c r="JP83" s="95"/>
      <c r="JQ83" s="95"/>
      <c r="JR83" s="95"/>
      <c r="JS83" s="95"/>
      <c r="JT83" s="95"/>
      <c r="JU83" s="95"/>
      <c r="JV83" s="95"/>
      <c r="JW83" s="95"/>
      <c r="JX83" s="95"/>
      <c r="JY83" s="95"/>
      <c r="JZ83" s="95"/>
    </row>
    <row r="84" spans="1:286" s="97" customFormat="1" ht="82.5" customHeight="1" x14ac:dyDescent="0.25">
      <c r="A84" s="297"/>
      <c r="B84" s="30" t="s">
        <v>45</v>
      </c>
      <c r="C84" s="31" t="s">
        <v>162</v>
      </c>
      <c r="D84" s="32" t="s">
        <v>89</v>
      </c>
      <c r="E84" s="32" t="s">
        <v>75</v>
      </c>
      <c r="F84" s="51" t="s">
        <v>61</v>
      </c>
      <c r="G84" s="83"/>
      <c r="H84" s="84">
        <f>SUBTOTAL(9,H83)</f>
        <v>5</v>
      </c>
      <c r="I84" s="84">
        <f t="shared" ref="I84" si="168">SUBTOTAL(9,I83)</f>
        <v>0</v>
      </c>
      <c r="J84" s="84">
        <f t="shared" ref="J84:O84" si="169">SUBTOTAL(9,J83)</f>
        <v>0</v>
      </c>
      <c r="K84" s="84">
        <f t="shared" si="169"/>
        <v>3</v>
      </c>
      <c r="L84" s="84">
        <f t="shared" si="169"/>
        <v>1</v>
      </c>
      <c r="M84" s="84">
        <f t="shared" si="169"/>
        <v>1</v>
      </c>
      <c r="N84" s="84">
        <f t="shared" si="146"/>
        <v>5</v>
      </c>
      <c r="O84" s="84">
        <f t="shared" si="169"/>
        <v>0</v>
      </c>
      <c r="P84" s="84"/>
      <c r="Q84" s="96"/>
      <c r="R84" s="85"/>
      <c r="S84" s="53"/>
      <c r="T84" s="51"/>
      <c r="U84" s="84">
        <f>SUBTOTAL(9,U83)</f>
        <v>5</v>
      </c>
      <c r="V84" s="84">
        <f t="shared" ref="V84" si="170">SUBTOTAL(9,V83)</f>
        <v>0</v>
      </c>
      <c r="W84" s="84">
        <f t="shared" ref="W84:AJ84" si="171">SUBTOTAL(9,W83)</f>
        <v>0</v>
      </c>
      <c r="X84" s="84">
        <f t="shared" si="171"/>
        <v>3</v>
      </c>
      <c r="Y84" s="84">
        <f t="shared" si="171"/>
        <v>1</v>
      </c>
      <c r="Z84" s="84">
        <f t="shared" si="171"/>
        <v>1</v>
      </c>
      <c r="AA84" s="84">
        <f t="shared" si="136"/>
        <v>5</v>
      </c>
      <c r="AB84" s="84">
        <f t="shared" si="171"/>
        <v>0</v>
      </c>
      <c r="AC84" s="84">
        <f t="shared" si="171"/>
        <v>1</v>
      </c>
      <c r="AD84" s="84">
        <f t="shared" si="171"/>
        <v>0</v>
      </c>
      <c r="AE84" s="84">
        <f t="shared" si="171"/>
        <v>0</v>
      </c>
      <c r="AF84" s="84">
        <f t="shared" si="171"/>
        <v>0</v>
      </c>
      <c r="AG84" s="84">
        <f t="shared" si="171"/>
        <v>0</v>
      </c>
      <c r="AH84" s="84">
        <f t="shared" si="171"/>
        <v>0</v>
      </c>
      <c r="AI84" s="84">
        <f t="shared" si="137"/>
        <v>0</v>
      </c>
      <c r="AJ84" s="84">
        <f t="shared" si="171"/>
        <v>0</v>
      </c>
      <c r="AK84" s="83"/>
      <c r="AL84" s="85"/>
      <c r="AM84" s="83"/>
      <c r="AN84" s="96"/>
      <c r="AO84" s="96"/>
      <c r="AP84" s="51"/>
      <c r="AQ84" s="83"/>
      <c r="AR84" s="83"/>
      <c r="AS84" s="83"/>
      <c r="AT84" s="83"/>
      <c r="AU84" s="87"/>
      <c r="AV84" s="83"/>
      <c r="AW84" s="51"/>
      <c r="AX84" s="51" t="s">
        <v>87</v>
      </c>
      <c r="AY84" s="95"/>
      <c r="AZ84" s="95"/>
      <c r="BA84" s="95"/>
      <c r="BB84" s="95"/>
      <c r="BC84" s="95"/>
      <c r="BD84" s="95"/>
      <c r="BE84" s="95"/>
      <c r="BF84" s="95"/>
      <c r="BG84" s="95"/>
      <c r="BH84" s="95"/>
      <c r="BI84" s="95"/>
      <c r="BJ84" s="95"/>
      <c r="BK84" s="95"/>
      <c r="BL84" s="95"/>
      <c r="BM84" s="95"/>
      <c r="BN84" s="95"/>
      <c r="BO84" s="95"/>
      <c r="BP84" s="95"/>
      <c r="BQ84" s="95"/>
      <c r="BR84" s="95"/>
      <c r="BS84" s="95"/>
      <c r="BT84" s="95"/>
      <c r="BU84" s="95"/>
      <c r="BV84" s="95"/>
      <c r="BW84" s="95"/>
      <c r="BX84" s="95"/>
      <c r="BY84" s="95"/>
      <c r="BZ84" s="95"/>
      <c r="CA84" s="95"/>
      <c r="CB84" s="95"/>
      <c r="CC84" s="95"/>
      <c r="CD84" s="95"/>
      <c r="CE84" s="95"/>
      <c r="CF84" s="95"/>
      <c r="CG84" s="95"/>
      <c r="CH84" s="95"/>
      <c r="CI84" s="95"/>
      <c r="CJ84" s="95"/>
      <c r="CK84" s="95"/>
      <c r="CL84" s="95"/>
      <c r="CM84" s="95"/>
      <c r="CN84" s="95"/>
      <c r="CO84" s="95"/>
      <c r="CP84" s="95"/>
      <c r="CQ84" s="95"/>
      <c r="CR84" s="95"/>
      <c r="CS84" s="95"/>
      <c r="CT84" s="95"/>
      <c r="CU84" s="95"/>
      <c r="CV84" s="95"/>
      <c r="CW84" s="95"/>
      <c r="CX84" s="95"/>
      <c r="CY84" s="95"/>
      <c r="CZ84" s="95"/>
      <c r="DA84" s="95"/>
      <c r="DB84" s="95"/>
      <c r="DC84" s="95"/>
      <c r="DD84" s="95"/>
      <c r="DE84" s="95"/>
      <c r="DF84" s="95"/>
      <c r="DG84" s="95"/>
      <c r="DH84" s="95"/>
      <c r="DI84" s="95"/>
      <c r="DJ84" s="95"/>
      <c r="DK84" s="95"/>
      <c r="DL84" s="95"/>
      <c r="DM84" s="95"/>
      <c r="DN84" s="95"/>
      <c r="DO84" s="95"/>
      <c r="DP84" s="95"/>
      <c r="DQ84" s="95"/>
      <c r="DR84" s="95"/>
      <c r="DS84" s="95"/>
      <c r="DT84" s="95"/>
      <c r="DU84" s="95"/>
      <c r="DV84" s="95"/>
      <c r="DW84" s="95"/>
      <c r="DX84" s="95"/>
      <c r="DY84" s="95"/>
      <c r="DZ84" s="95"/>
      <c r="EA84" s="95"/>
      <c r="EB84" s="95"/>
      <c r="EC84" s="95"/>
      <c r="ED84" s="95"/>
      <c r="EE84" s="95"/>
      <c r="EF84" s="95"/>
      <c r="EG84" s="95"/>
      <c r="EH84" s="95"/>
      <c r="EI84" s="95"/>
      <c r="EJ84" s="95"/>
      <c r="EK84" s="95"/>
      <c r="EL84" s="95"/>
      <c r="EM84" s="95"/>
      <c r="EN84" s="95"/>
      <c r="EO84" s="95"/>
      <c r="EP84" s="95"/>
      <c r="EQ84" s="95"/>
      <c r="ER84" s="95"/>
      <c r="ES84" s="95"/>
      <c r="ET84" s="95"/>
      <c r="EU84" s="95"/>
      <c r="EV84" s="95"/>
      <c r="EW84" s="95"/>
      <c r="EX84" s="95"/>
      <c r="EY84" s="95"/>
      <c r="EZ84" s="95"/>
      <c r="FA84" s="95"/>
      <c r="FB84" s="95"/>
      <c r="FC84" s="95"/>
      <c r="FD84" s="95"/>
      <c r="FE84" s="95"/>
      <c r="FF84" s="95"/>
      <c r="FG84" s="95"/>
      <c r="FH84" s="95"/>
      <c r="FI84" s="95"/>
      <c r="FJ84" s="95"/>
      <c r="FK84" s="95"/>
      <c r="FL84" s="95"/>
      <c r="FM84" s="95"/>
      <c r="FN84" s="95"/>
      <c r="FO84" s="95"/>
      <c r="FP84" s="95"/>
      <c r="FQ84" s="95"/>
      <c r="FR84" s="95"/>
      <c r="FS84" s="95"/>
      <c r="FT84" s="95"/>
      <c r="FU84" s="95"/>
      <c r="FV84" s="95"/>
      <c r="FW84" s="95"/>
      <c r="FX84" s="95"/>
      <c r="FY84" s="95"/>
      <c r="FZ84" s="95"/>
      <c r="GA84" s="95"/>
      <c r="GB84" s="95"/>
      <c r="GC84" s="95"/>
      <c r="GD84" s="95"/>
      <c r="GE84" s="95"/>
      <c r="GF84" s="95"/>
      <c r="GG84" s="95"/>
      <c r="GH84" s="95"/>
      <c r="GI84" s="95"/>
      <c r="GJ84" s="95"/>
      <c r="GK84" s="95"/>
      <c r="GL84" s="95"/>
      <c r="GM84" s="95"/>
      <c r="GN84" s="95"/>
      <c r="GO84" s="95"/>
      <c r="GP84" s="95"/>
      <c r="GQ84" s="95"/>
      <c r="GR84" s="95"/>
      <c r="GS84" s="95"/>
      <c r="GT84" s="95"/>
      <c r="GU84" s="95"/>
      <c r="GV84" s="95"/>
      <c r="GW84" s="95"/>
      <c r="GX84" s="95"/>
      <c r="GY84" s="95"/>
      <c r="GZ84" s="95"/>
      <c r="HA84" s="95"/>
      <c r="HB84" s="95"/>
      <c r="HC84" s="95"/>
      <c r="HD84" s="95"/>
      <c r="HE84" s="95"/>
      <c r="HF84" s="95"/>
      <c r="HG84" s="95"/>
      <c r="HH84" s="95"/>
      <c r="HI84" s="95"/>
      <c r="HJ84" s="95"/>
      <c r="HK84" s="95"/>
      <c r="HL84" s="95"/>
      <c r="HM84" s="95"/>
      <c r="HN84" s="95"/>
      <c r="HO84" s="95"/>
      <c r="HP84" s="95"/>
      <c r="HQ84" s="95"/>
      <c r="HR84" s="95"/>
      <c r="HS84" s="95"/>
      <c r="HT84" s="95"/>
      <c r="HU84" s="95"/>
      <c r="HV84" s="95"/>
      <c r="HW84" s="95"/>
      <c r="HX84" s="95"/>
      <c r="HY84" s="95"/>
      <c r="HZ84" s="95"/>
      <c r="IA84" s="95"/>
      <c r="IB84" s="95"/>
      <c r="IC84" s="95"/>
      <c r="ID84" s="95"/>
      <c r="IE84" s="95"/>
      <c r="IF84" s="95"/>
      <c r="IG84" s="95"/>
      <c r="IH84" s="95"/>
      <c r="II84" s="95"/>
      <c r="IJ84" s="95"/>
      <c r="IK84" s="95"/>
      <c r="IL84" s="95"/>
      <c r="IM84" s="95"/>
      <c r="IN84" s="95"/>
      <c r="IO84" s="95"/>
      <c r="IP84" s="95"/>
      <c r="IQ84" s="95"/>
      <c r="IR84" s="95"/>
      <c r="IS84" s="95"/>
      <c r="IT84" s="95"/>
      <c r="IU84" s="95"/>
      <c r="IV84" s="95"/>
      <c r="IW84" s="95"/>
      <c r="IX84" s="95"/>
      <c r="IY84" s="95"/>
      <c r="IZ84" s="95"/>
      <c r="JA84" s="95"/>
      <c r="JB84" s="95"/>
      <c r="JC84" s="95"/>
      <c r="JD84" s="95"/>
      <c r="JE84" s="95"/>
      <c r="JF84" s="95"/>
      <c r="JG84" s="95"/>
      <c r="JH84" s="95"/>
      <c r="JI84" s="95"/>
      <c r="JJ84" s="95"/>
      <c r="JK84" s="95"/>
      <c r="JL84" s="95"/>
      <c r="JM84" s="95"/>
      <c r="JN84" s="95"/>
      <c r="JO84" s="95"/>
      <c r="JP84" s="95"/>
      <c r="JQ84" s="95"/>
      <c r="JR84" s="95"/>
      <c r="JS84" s="95"/>
      <c r="JT84" s="95"/>
      <c r="JU84" s="95"/>
      <c r="JV84" s="95"/>
      <c r="JW84" s="95"/>
      <c r="JX84" s="95"/>
      <c r="JY84" s="95"/>
      <c r="JZ84" s="95"/>
    </row>
    <row r="85" spans="1:286" s="95" customFormat="1" ht="82.5" customHeight="1" x14ac:dyDescent="0.25">
      <c r="A85" s="297"/>
      <c r="B85" s="30" t="s">
        <v>45</v>
      </c>
      <c r="C85" s="31" t="s">
        <v>164</v>
      </c>
      <c r="D85" s="32" t="s">
        <v>106</v>
      </c>
      <c r="E85" s="32" t="s">
        <v>48</v>
      </c>
      <c r="F85" s="65" t="s">
        <v>49</v>
      </c>
      <c r="G85" s="33" t="s">
        <v>139</v>
      </c>
      <c r="H85" s="65">
        <v>20</v>
      </c>
      <c r="I85" s="89">
        <v>3</v>
      </c>
      <c r="J85" s="90">
        <v>3</v>
      </c>
      <c r="K85" s="91">
        <v>5</v>
      </c>
      <c r="L85" s="92">
        <v>2</v>
      </c>
      <c r="M85" s="81">
        <v>5</v>
      </c>
      <c r="N85" s="70">
        <f t="shared" si="146"/>
        <v>18</v>
      </c>
      <c r="O85" s="71">
        <v>0</v>
      </c>
      <c r="P85" s="71"/>
      <c r="Q85" s="93"/>
      <c r="R85" s="33" t="s">
        <v>51</v>
      </c>
      <c r="S85" s="36" t="s">
        <v>165</v>
      </c>
      <c r="T85" s="33" t="s">
        <v>73</v>
      </c>
      <c r="U85" s="65">
        <v>20</v>
      </c>
      <c r="V85" s="197">
        <v>3</v>
      </c>
      <c r="W85" s="90">
        <v>3</v>
      </c>
      <c r="X85" s="91">
        <v>5</v>
      </c>
      <c r="Y85" s="92">
        <v>4</v>
      </c>
      <c r="Z85" s="81">
        <v>5</v>
      </c>
      <c r="AA85" s="70">
        <f t="shared" si="136"/>
        <v>20</v>
      </c>
      <c r="AB85" s="35">
        <v>0</v>
      </c>
      <c r="AC85" s="65">
        <v>1</v>
      </c>
      <c r="AD85" s="197">
        <v>0</v>
      </c>
      <c r="AE85" s="90">
        <v>0</v>
      </c>
      <c r="AF85" s="91">
        <v>0</v>
      </c>
      <c r="AG85" s="92">
        <v>0</v>
      </c>
      <c r="AH85" s="81">
        <v>0</v>
      </c>
      <c r="AI85" s="70">
        <f t="shared" si="137"/>
        <v>0</v>
      </c>
      <c r="AJ85" s="71">
        <v>0</v>
      </c>
      <c r="AK85" s="65"/>
      <c r="AL85" s="33"/>
      <c r="AM85" s="72"/>
      <c r="AN85" s="65"/>
      <c r="AO85" s="72"/>
      <c r="AP85" s="33" t="s">
        <v>58</v>
      </c>
      <c r="AQ85" s="65">
        <v>1</v>
      </c>
      <c r="AR85" s="73">
        <v>0</v>
      </c>
      <c r="AS85" s="74">
        <v>0</v>
      </c>
      <c r="AT85" s="75">
        <v>1</v>
      </c>
      <c r="AU85" s="76"/>
      <c r="AV85" s="65"/>
      <c r="AW85" s="33"/>
      <c r="AX85" s="32" t="s">
        <v>134</v>
      </c>
    </row>
    <row r="86" spans="1:286" s="97" customFormat="1" ht="82.5" customHeight="1" x14ac:dyDescent="0.25">
      <c r="A86" s="297"/>
      <c r="B86" s="30" t="s">
        <v>45</v>
      </c>
      <c r="C86" s="31" t="s">
        <v>164</v>
      </c>
      <c r="D86" s="32" t="s">
        <v>106</v>
      </c>
      <c r="E86" s="32" t="s">
        <v>48</v>
      </c>
      <c r="F86" s="51" t="s">
        <v>61</v>
      </c>
      <c r="G86" s="83"/>
      <c r="H86" s="84">
        <f>SUM(H85)</f>
        <v>20</v>
      </c>
      <c r="I86" s="84">
        <f t="shared" ref="I86" si="172">SUM(I85)</f>
        <v>3</v>
      </c>
      <c r="J86" s="84">
        <f t="shared" ref="J86:M86" si="173">SUM(J85)</f>
        <v>3</v>
      </c>
      <c r="K86" s="84">
        <f t="shared" si="173"/>
        <v>5</v>
      </c>
      <c r="L86" s="84">
        <f t="shared" si="173"/>
        <v>2</v>
      </c>
      <c r="M86" s="84">
        <f t="shared" si="173"/>
        <v>5</v>
      </c>
      <c r="N86" s="84">
        <f t="shared" si="146"/>
        <v>18</v>
      </c>
      <c r="O86" s="84">
        <f t="shared" ref="O86:P86" si="174">SUM(O85)</f>
        <v>0</v>
      </c>
      <c r="P86" s="84">
        <f t="shared" si="174"/>
        <v>0</v>
      </c>
      <c r="Q86" s="96"/>
      <c r="R86" s="85"/>
      <c r="S86" s="53"/>
      <c r="T86" s="51"/>
      <c r="U86" s="84">
        <f t="shared" ref="U86:AJ86" si="175">SUM(U85)</f>
        <v>20</v>
      </c>
      <c r="V86" s="84">
        <f t="shared" si="175"/>
        <v>3</v>
      </c>
      <c r="W86" s="84">
        <f t="shared" si="175"/>
        <v>3</v>
      </c>
      <c r="X86" s="84">
        <f t="shared" si="175"/>
        <v>5</v>
      </c>
      <c r="Y86" s="84">
        <f t="shared" si="175"/>
        <v>4</v>
      </c>
      <c r="Z86" s="84">
        <f t="shared" si="175"/>
        <v>5</v>
      </c>
      <c r="AA86" s="84">
        <f t="shared" si="136"/>
        <v>20</v>
      </c>
      <c r="AB86" s="84">
        <f t="shared" si="175"/>
        <v>0</v>
      </c>
      <c r="AC86" s="84">
        <f t="shared" si="175"/>
        <v>1</v>
      </c>
      <c r="AD86" s="84">
        <f t="shared" si="175"/>
        <v>0</v>
      </c>
      <c r="AE86" s="84">
        <f t="shared" si="175"/>
        <v>0</v>
      </c>
      <c r="AF86" s="84">
        <f t="shared" si="175"/>
        <v>0</v>
      </c>
      <c r="AG86" s="84">
        <f t="shared" si="175"/>
        <v>0</v>
      </c>
      <c r="AH86" s="84">
        <f t="shared" si="175"/>
        <v>0</v>
      </c>
      <c r="AI86" s="84">
        <f t="shared" si="137"/>
        <v>0</v>
      </c>
      <c r="AJ86" s="84">
        <f t="shared" si="175"/>
        <v>0</v>
      </c>
      <c r="AK86" s="83"/>
      <c r="AL86" s="85"/>
      <c r="AM86" s="83"/>
      <c r="AN86" s="96"/>
      <c r="AO86" s="96"/>
      <c r="AP86" s="51"/>
      <c r="AQ86" s="83">
        <f>SUM(AQ85)</f>
        <v>1</v>
      </c>
      <c r="AR86" s="83">
        <f t="shared" ref="AR86:AT86" si="176">SUM(AR85)</f>
        <v>0</v>
      </c>
      <c r="AS86" s="83">
        <f t="shared" si="176"/>
        <v>0</v>
      </c>
      <c r="AT86" s="83">
        <f t="shared" si="176"/>
        <v>1</v>
      </c>
      <c r="AU86" s="87"/>
      <c r="AV86" s="83"/>
      <c r="AW86" s="51"/>
      <c r="AX86" s="51" t="s">
        <v>134</v>
      </c>
      <c r="AY86" s="95"/>
      <c r="AZ86" s="95"/>
      <c r="BA86" s="95"/>
      <c r="BB86" s="95"/>
      <c r="BC86" s="95"/>
      <c r="BD86" s="95"/>
      <c r="BE86" s="95"/>
      <c r="BF86" s="95"/>
      <c r="BG86" s="95"/>
      <c r="BH86" s="95"/>
      <c r="BI86" s="95"/>
      <c r="BJ86" s="95"/>
      <c r="BK86" s="95"/>
      <c r="BL86" s="95"/>
      <c r="BM86" s="95"/>
      <c r="BN86" s="95"/>
      <c r="BO86" s="95"/>
      <c r="BP86" s="95"/>
      <c r="BQ86" s="95"/>
      <c r="BR86" s="95"/>
      <c r="BS86" s="95"/>
      <c r="BT86" s="95"/>
      <c r="BU86" s="95"/>
      <c r="BV86" s="95"/>
      <c r="BW86" s="95"/>
      <c r="BX86" s="95"/>
      <c r="BY86" s="95"/>
      <c r="BZ86" s="95"/>
      <c r="CA86" s="95"/>
      <c r="CB86" s="95"/>
      <c r="CC86" s="95"/>
      <c r="CD86" s="95"/>
      <c r="CE86" s="95"/>
      <c r="CF86" s="95"/>
      <c r="CG86" s="95"/>
      <c r="CH86" s="95"/>
      <c r="CI86" s="95"/>
      <c r="CJ86" s="95"/>
      <c r="CK86" s="95"/>
      <c r="CL86" s="95"/>
      <c r="CM86" s="95"/>
      <c r="CN86" s="95"/>
      <c r="CO86" s="95"/>
      <c r="CP86" s="95"/>
      <c r="CQ86" s="95"/>
      <c r="CR86" s="95"/>
      <c r="CS86" s="95"/>
      <c r="CT86" s="95"/>
      <c r="CU86" s="95"/>
      <c r="CV86" s="95"/>
      <c r="CW86" s="95"/>
      <c r="CX86" s="95"/>
      <c r="CY86" s="95"/>
      <c r="CZ86" s="95"/>
      <c r="DA86" s="95"/>
      <c r="DB86" s="95"/>
      <c r="DC86" s="95"/>
      <c r="DD86" s="95"/>
      <c r="DE86" s="95"/>
      <c r="DF86" s="95"/>
      <c r="DG86" s="95"/>
      <c r="DH86" s="95"/>
      <c r="DI86" s="95"/>
      <c r="DJ86" s="95"/>
      <c r="DK86" s="95"/>
      <c r="DL86" s="95"/>
      <c r="DM86" s="95"/>
      <c r="DN86" s="95"/>
      <c r="DO86" s="95"/>
      <c r="DP86" s="95"/>
      <c r="DQ86" s="95"/>
      <c r="DR86" s="95"/>
      <c r="DS86" s="95"/>
      <c r="DT86" s="95"/>
      <c r="DU86" s="95"/>
      <c r="DV86" s="95"/>
      <c r="DW86" s="95"/>
      <c r="DX86" s="95"/>
      <c r="DY86" s="95"/>
      <c r="DZ86" s="95"/>
      <c r="EA86" s="95"/>
      <c r="EB86" s="95"/>
      <c r="EC86" s="95"/>
      <c r="ED86" s="95"/>
      <c r="EE86" s="95"/>
      <c r="EF86" s="95"/>
      <c r="EG86" s="95"/>
      <c r="EH86" s="95"/>
      <c r="EI86" s="95"/>
      <c r="EJ86" s="95"/>
      <c r="EK86" s="95"/>
      <c r="EL86" s="95"/>
      <c r="EM86" s="95"/>
      <c r="EN86" s="95"/>
      <c r="EO86" s="95"/>
      <c r="EP86" s="95"/>
      <c r="EQ86" s="95"/>
      <c r="ER86" s="95"/>
      <c r="ES86" s="95"/>
      <c r="ET86" s="95"/>
      <c r="EU86" s="95"/>
      <c r="EV86" s="95"/>
      <c r="EW86" s="95"/>
      <c r="EX86" s="95"/>
      <c r="EY86" s="95"/>
      <c r="EZ86" s="95"/>
      <c r="FA86" s="95"/>
      <c r="FB86" s="95"/>
      <c r="FC86" s="95"/>
      <c r="FD86" s="95"/>
      <c r="FE86" s="95"/>
      <c r="FF86" s="95"/>
      <c r="FG86" s="95"/>
      <c r="FH86" s="95"/>
      <c r="FI86" s="95"/>
      <c r="FJ86" s="95"/>
      <c r="FK86" s="95"/>
      <c r="FL86" s="95"/>
      <c r="FM86" s="95"/>
      <c r="FN86" s="95"/>
      <c r="FO86" s="95"/>
      <c r="FP86" s="95"/>
      <c r="FQ86" s="95"/>
      <c r="FR86" s="95"/>
      <c r="FS86" s="95"/>
      <c r="FT86" s="95"/>
      <c r="FU86" s="95"/>
      <c r="FV86" s="95"/>
      <c r="FW86" s="95"/>
      <c r="FX86" s="95"/>
      <c r="FY86" s="95"/>
      <c r="FZ86" s="95"/>
      <c r="GA86" s="95"/>
      <c r="GB86" s="95"/>
      <c r="GC86" s="95"/>
      <c r="GD86" s="95"/>
      <c r="GE86" s="95"/>
      <c r="GF86" s="95"/>
      <c r="GG86" s="95"/>
      <c r="GH86" s="95"/>
      <c r="GI86" s="95"/>
      <c r="GJ86" s="95"/>
      <c r="GK86" s="95"/>
      <c r="GL86" s="95"/>
      <c r="GM86" s="95"/>
      <c r="GN86" s="95"/>
      <c r="GO86" s="95"/>
      <c r="GP86" s="95"/>
      <c r="GQ86" s="95"/>
      <c r="GR86" s="95"/>
      <c r="GS86" s="95"/>
      <c r="GT86" s="95"/>
      <c r="GU86" s="95"/>
      <c r="GV86" s="95"/>
      <c r="GW86" s="95"/>
      <c r="GX86" s="95"/>
      <c r="GY86" s="95"/>
      <c r="GZ86" s="95"/>
      <c r="HA86" s="95"/>
      <c r="HB86" s="95"/>
      <c r="HC86" s="95"/>
      <c r="HD86" s="95"/>
      <c r="HE86" s="95"/>
      <c r="HF86" s="95"/>
      <c r="HG86" s="95"/>
      <c r="HH86" s="95"/>
      <c r="HI86" s="95"/>
      <c r="HJ86" s="95"/>
      <c r="HK86" s="95"/>
      <c r="HL86" s="95"/>
      <c r="HM86" s="95"/>
      <c r="HN86" s="95"/>
      <c r="HO86" s="95"/>
      <c r="HP86" s="95"/>
      <c r="HQ86" s="95"/>
      <c r="HR86" s="95"/>
      <c r="HS86" s="95"/>
      <c r="HT86" s="95"/>
      <c r="HU86" s="95"/>
      <c r="HV86" s="95"/>
      <c r="HW86" s="95"/>
      <c r="HX86" s="95"/>
      <c r="HY86" s="95"/>
      <c r="HZ86" s="95"/>
      <c r="IA86" s="95"/>
      <c r="IB86" s="95"/>
      <c r="IC86" s="95"/>
      <c r="ID86" s="95"/>
      <c r="IE86" s="95"/>
      <c r="IF86" s="95"/>
      <c r="IG86" s="95"/>
      <c r="IH86" s="95"/>
      <c r="II86" s="95"/>
      <c r="IJ86" s="95"/>
      <c r="IK86" s="95"/>
      <c r="IL86" s="95"/>
      <c r="IM86" s="95"/>
      <c r="IN86" s="95"/>
      <c r="IO86" s="95"/>
      <c r="IP86" s="95"/>
      <c r="IQ86" s="95"/>
      <c r="IR86" s="95"/>
      <c r="IS86" s="95"/>
      <c r="IT86" s="95"/>
      <c r="IU86" s="95"/>
      <c r="IV86" s="95"/>
      <c r="IW86" s="95"/>
      <c r="IX86" s="95"/>
      <c r="IY86" s="95"/>
      <c r="IZ86" s="95"/>
      <c r="JA86" s="95"/>
      <c r="JB86" s="95"/>
      <c r="JC86" s="95"/>
      <c r="JD86" s="95"/>
      <c r="JE86" s="95"/>
      <c r="JF86" s="95"/>
      <c r="JG86" s="95"/>
      <c r="JH86" s="95"/>
      <c r="JI86" s="95"/>
      <c r="JJ86" s="95"/>
      <c r="JK86" s="95"/>
      <c r="JL86" s="95"/>
      <c r="JM86" s="95"/>
      <c r="JN86" s="95"/>
      <c r="JO86" s="95"/>
      <c r="JP86" s="95"/>
      <c r="JQ86" s="95"/>
      <c r="JR86" s="95"/>
      <c r="JS86" s="95"/>
      <c r="JT86" s="95"/>
      <c r="JU86" s="95"/>
      <c r="JV86" s="95"/>
      <c r="JW86" s="95"/>
      <c r="JX86" s="95"/>
      <c r="JY86" s="95"/>
      <c r="JZ86" s="95"/>
    </row>
    <row r="87" spans="1:286" s="95" customFormat="1" ht="82.5" customHeight="1" x14ac:dyDescent="0.25">
      <c r="A87" s="297"/>
      <c r="B87" s="30" t="s">
        <v>45</v>
      </c>
      <c r="C87" s="31" t="s">
        <v>166</v>
      </c>
      <c r="D87" s="32" t="s">
        <v>106</v>
      </c>
      <c r="E87" s="32" t="s">
        <v>75</v>
      </c>
      <c r="F87" s="217"/>
      <c r="G87" s="65" t="s">
        <v>50</v>
      </c>
      <c r="H87" s="65">
        <v>35</v>
      </c>
      <c r="I87" s="89">
        <v>0</v>
      </c>
      <c r="J87" s="90">
        <v>4</v>
      </c>
      <c r="K87" s="91">
        <v>12</v>
      </c>
      <c r="L87" s="92">
        <v>3</v>
      </c>
      <c r="M87" s="81">
        <v>8</v>
      </c>
      <c r="N87" s="70">
        <f t="shared" si="146"/>
        <v>27</v>
      </c>
      <c r="O87" s="71">
        <v>0</v>
      </c>
      <c r="P87" s="71"/>
      <c r="Q87" s="93"/>
      <c r="R87" s="33" t="s">
        <v>51</v>
      </c>
      <c r="S87" s="36" t="s">
        <v>167</v>
      </c>
      <c r="T87" s="109" t="s">
        <v>77</v>
      </c>
      <c r="U87" s="65">
        <v>50</v>
      </c>
      <c r="V87" s="197">
        <v>0</v>
      </c>
      <c r="W87" s="90">
        <v>4</v>
      </c>
      <c r="X87" s="91">
        <v>12</v>
      </c>
      <c r="Y87" s="92">
        <v>10</v>
      </c>
      <c r="Z87" s="81">
        <v>8</v>
      </c>
      <c r="AA87" s="70">
        <f t="shared" si="136"/>
        <v>34</v>
      </c>
      <c r="AB87" s="35">
        <v>0</v>
      </c>
      <c r="AC87" s="65">
        <v>25</v>
      </c>
      <c r="AD87" s="197">
        <v>0</v>
      </c>
      <c r="AE87" s="90">
        <v>4</v>
      </c>
      <c r="AF87" s="91">
        <v>12</v>
      </c>
      <c r="AG87" s="92">
        <v>0</v>
      </c>
      <c r="AH87" s="81">
        <v>0</v>
      </c>
      <c r="AI87" s="70">
        <f t="shared" si="137"/>
        <v>16</v>
      </c>
      <c r="AJ87" s="71">
        <v>0</v>
      </c>
      <c r="AK87" s="65"/>
      <c r="AL87" s="33"/>
      <c r="AM87" s="72"/>
      <c r="AN87" s="93"/>
      <c r="AO87" s="94"/>
      <c r="AP87" s="33" t="s">
        <v>58</v>
      </c>
      <c r="AQ87" s="65">
        <v>25</v>
      </c>
      <c r="AR87" s="73">
        <v>0</v>
      </c>
      <c r="AS87" s="48">
        <v>0</v>
      </c>
      <c r="AT87" s="75">
        <v>25</v>
      </c>
      <c r="AU87" s="76"/>
      <c r="AV87" s="65"/>
      <c r="AW87" s="33"/>
      <c r="AX87" s="32" t="s">
        <v>147</v>
      </c>
    </row>
    <row r="88" spans="1:286" s="95" customFormat="1" ht="82.5" customHeight="1" x14ac:dyDescent="0.25">
      <c r="A88" s="297"/>
      <c r="B88" s="30" t="s">
        <v>45</v>
      </c>
      <c r="C88" s="31" t="s">
        <v>166</v>
      </c>
      <c r="D88" s="32" t="s">
        <v>106</v>
      </c>
      <c r="E88" s="32" t="s">
        <v>75</v>
      </c>
      <c r="F88" s="217"/>
      <c r="G88" s="65" t="s">
        <v>71</v>
      </c>
      <c r="H88" s="65">
        <v>20</v>
      </c>
      <c r="I88" s="89">
        <v>0</v>
      </c>
      <c r="J88" s="90">
        <v>0</v>
      </c>
      <c r="K88" s="91">
        <v>9</v>
      </c>
      <c r="L88" s="92">
        <v>2</v>
      </c>
      <c r="M88" s="81">
        <v>6</v>
      </c>
      <c r="N88" s="70">
        <f t="shared" si="146"/>
        <v>17</v>
      </c>
      <c r="O88" s="71">
        <v>0</v>
      </c>
      <c r="P88" s="71"/>
      <c r="Q88" s="93"/>
      <c r="R88" s="33" t="s">
        <v>51</v>
      </c>
      <c r="S88" s="36" t="s">
        <v>167</v>
      </c>
      <c r="T88" s="109" t="s">
        <v>77</v>
      </c>
      <c r="U88" s="65">
        <v>20</v>
      </c>
      <c r="V88" s="197">
        <v>0</v>
      </c>
      <c r="W88" s="90">
        <v>0</v>
      </c>
      <c r="X88" s="91">
        <v>9</v>
      </c>
      <c r="Y88" s="92">
        <v>5</v>
      </c>
      <c r="Z88" s="81">
        <v>6</v>
      </c>
      <c r="AA88" s="70">
        <f t="shared" si="136"/>
        <v>20</v>
      </c>
      <c r="AB88" s="35">
        <v>0</v>
      </c>
      <c r="AC88" s="65">
        <v>10</v>
      </c>
      <c r="AD88" s="197">
        <v>0</v>
      </c>
      <c r="AE88" s="90">
        <v>0</v>
      </c>
      <c r="AF88" s="91">
        <v>8</v>
      </c>
      <c r="AG88" s="92">
        <v>0</v>
      </c>
      <c r="AH88" s="81">
        <v>0</v>
      </c>
      <c r="AI88" s="70">
        <f t="shared" si="137"/>
        <v>8</v>
      </c>
      <c r="AJ88" s="71">
        <v>0</v>
      </c>
      <c r="AK88" s="65"/>
      <c r="AL88" s="33"/>
      <c r="AM88" s="72"/>
      <c r="AN88" s="93"/>
      <c r="AO88" s="94"/>
      <c r="AP88" s="33" t="s">
        <v>58</v>
      </c>
      <c r="AQ88" s="65">
        <v>10</v>
      </c>
      <c r="AR88" s="73">
        <v>0</v>
      </c>
      <c r="AS88" s="48">
        <v>0</v>
      </c>
      <c r="AT88" s="75">
        <v>10</v>
      </c>
      <c r="AU88" s="76"/>
      <c r="AV88" s="65"/>
      <c r="AW88" s="33"/>
      <c r="AX88" s="32" t="s">
        <v>147</v>
      </c>
    </row>
    <row r="89" spans="1:286" s="97" customFormat="1" ht="82.5" customHeight="1" x14ac:dyDescent="0.25">
      <c r="A89" s="297"/>
      <c r="B89" s="30" t="s">
        <v>45</v>
      </c>
      <c r="C89" s="31" t="s">
        <v>166</v>
      </c>
      <c r="D89" s="32" t="s">
        <v>106</v>
      </c>
      <c r="E89" s="32" t="s">
        <v>75</v>
      </c>
      <c r="F89" s="51" t="s">
        <v>61</v>
      </c>
      <c r="G89" s="83"/>
      <c r="H89" s="84">
        <f>SUM(H87:H88)</f>
        <v>55</v>
      </c>
      <c r="I89" s="84">
        <f t="shared" ref="I89" si="177">SUM(I87:I88)</f>
        <v>0</v>
      </c>
      <c r="J89" s="84">
        <f t="shared" ref="J89:M89" si="178">SUM(J87:J88)</f>
        <v>4</v>
      </c>
      <c r="K89" s="84">
        <f t="shared" si="178"/>
        <v>21</v>
      </c>
      <c r="L89" s="84">
        <f t="shared" si="178"/>
        <v>5</v>
      </c>
      <c r="M89" s="84">
        <f t="shared" si="178"/>
        <v>14</v>
      </c>
      <c r="N89" s="84">
        <f t="shared" si="146"/>
        <v>44</v>
      </c>
      <c r="O89" s="84">
        <f t="shared" ref="O89" si="179">SUM(O87:O88)</f>
        <v>0</v>
      </c>
      <c r="P89" s="84">
        <v>0</v>
      </c>
      <c r="Q89" s="96"/>
      <c r="R89" s="85"/>
      <c r="S89" s="53"/>
      <c r="T89" s="51"/>
      <c r="U89" s="84">
        <f t="shared" ref="U89:AJ89" si="180">SUM(U87:U88)</f>
        <v>70</v>
      </c>
      <c r="V89" s="84">
        <f t="shared" si="180"/>
        <v>0</v>
      </c>
      <c r="W89" s="84">
        <f t="shared" si="180"/>
        <v>4</v>
      </c>
      <c r="X89" s="84">
        <f t="shared" si="180"/>
        <v>21</v>
      </c>
      <c r="Y89" s="84">
        <f t="shared" si="180"/>
        <v>15</v>
      </c>
      <c r="Z89" s="84">
        <f t="shared" si="180"/>
        <v>14</v>
      </c>
      <c r="AA89" s="84">
        <f t="shared" si="136"/>
        <v>54</v>
      </c>
      <c r="AB89" s="84">
        <f t="shared" si="180"/>
        <v>0</v>
      </c>
      <c r="AC89" s="84">
        <f t="shared" si="180"/>
        <v>35</v>
      </c>
      <c r="AD89" s="84">
        <f t="shared" si="180"/>
        <v>0</v>
      </c>
      <c r="AE89" s="84">
        <f t="shared" si="180"/>
        <v>4</v>
      </c>
      <c r="AF89" s="84">
        <f t="shared" si="180"/>
        <v>20</v>
      </c>
      <c r="AG89" s="84">
        <f t="shared" si="180"/>
        <v>0</v>
      </c>
      <c r="AH89" s="84">
        <f t="shared" si="180"/>
        <v>0</v>
      </c>
      <c r="AI89" s="84">
        <f t="shared" si="137"/>
        <v>24</v>
      </c>
      <c r="AJ89" s="84">
        <f t="shared" si="180"/>
        <v>0</v>
      </c>
      <c r="AK89" s="83"/>
      <c r="AL89" s="85"/>
      <c r="AM89" s="83"/>
      <c r="AN89" s="96"/>
      <c r="AO89" s="96"/>
      <c r="AP89" s="51"/>
      <c r="AQ89" s="83">
        <f>SUM(AQ87:AQ88)</f>
        <v>35</v>
      </c>
      <c r="AR89" s="83">
        <f t="shared" ref="AR89:AT89" si="181">SUM(AR87:AR88)</f>
        <v>0</v>
      </c>
      <c r="AS89" s="83">
        <f t="shared" si="181"/>
        <v>0</v>
      </c>
      <c r="AT89" s="83">
        <f t="shared" si="181"/>
        <v>35</v>
      </c>
      <c r="AU89" s="87"/>
      <c r="AV89" s="83"/>
      <c r="AW89" s="51"/>
      <c r="AX89" s="51" t="s">
        <v>147</v>
      </c>
      <c r="AY89" s="95"/>
      <c r="AZ89" s="95"/>
      <c r="BA89" s="95"/>
      <c r="BB89" s="95"/>
      <c r="BC89" s="95"/>
      <c r="BD89" s="95"/>
      <c r="BE89" s="95"/>
      <c r="BF89" s="95"/>
      <c r="BG89" s="95"/>
      <c r="BH89" s="95"/>
      <c r="BI89" s="95"/>
      <c r="BJ89" s="95"/>
      <c r="BK89" s="95"/>
      <c r="BL89" s="95"/>
      <c r="BM89" s="95"/>
      <c r="BN89" s="95"/>
      <c r="BO89" s="95"/>
      <c r="BP89" s="95"/>
      <c r="BQ89" s="95"/>
      <c r="BR89" s="95"/>
      <c r="BS89" s="95"/>
      <c r="BT89" s="95"/>
      <c r="BU89" s="95"/>
      <c r="BV89" s="95"/>
      <c r="BW89" s="95"/>
      <c r="BX89" s="95"/>
      <c r="BY89" s="95"/>
      <c r="BZ89" s="95"/>
      <c r="CA89" s="95"/>
      <c r="CB89" s="95"/>
      <c r="CC89" s="95"/>
      <c r="CD89" s="95"/>
      <c r="CE89" s="95"/>
      <c r="CF89" s="95"/>
      <c r="CG89" s="95"/>
      <c r="CH89" s="95"/>
      <c r="CI89" s="95"/>
      <c r="CJ89" s="95"/>
      <c r="CK89" s="95"/>
      <c r="CL89" s="95"/>
      <c r="CM89" s="95"/>
      <c r="CN89" s="95"/>
      <c r="CO89" s="95"/>
      <c r="CP89" s="95"/>
      <c r="CQ89" s="95"/>
      <c r="CR89" s="95"/>
      <c r="CS89" s="95"/>
      <c r="CT89" s="95"/>
      <c r="CU89" s="95"/>
      <c r="CV89" s="95"/>
      <c r="CW89" s="95"/>
      <c r="CX89" s="95"/>
      <c r="CY89" s="95"/>
      <c r="CZ89" s="95"/>
      <c r="DA89" s="95"/>
      <c r="DB89" s="95"/>
      <c r="DC89" s="95"/>
      <c r="DD89" s="95"/>
      <c r="DE89" s="95"/>
      <c r="DF89" s="95"/>
      <c r="DG89" s="95"/>
      <c r="DH89" s="95"/>
      <c r="DI89" s="95"/>
      <c r="DJ89" s="95"/>
      <c r="DK89" s="95"/>
      <c r="DL89" s="95"/>
      <c r="DM89" s="95"/>
      <c r="DN89" s="95"/>
      <c r="DO89" s="95"/>
      <c r="DP89" s="95"/>
      <c r="DQ89" s="95"/>
      <c r="DR89" s="95"/>
      <c r="DS89" s="95"/>
      <c r="DT89" s="95"/>
      <c r="DU89" s="95"/>
      <c r="DV89" s="95"/>
      <c r="DW89" s="95"/>
      <c r="DX89" s="95"/>
      <c r="DY89" s="95"/>
      <c r="DZ89" s="95"/>
      <c r="EA89" s="95"/>
      <c r="EB89" s="95"/>
      <c r="EC89" s="95"/>
      <c r="ED89" s="95"/>
      <c r="EE89" s="95"/>
      <c r="EF89" s="95"/>
      <c r="EG89" s="95"/>
      <c r="EH89" s="95"/>
      <c r="EI89" s="95"/>
      <c r="EJ89" s="95"/>
      <c r="EK89" s="95"/>
      <c r="EL89" s="95"/>
      <c r="EM89" s="95"/>
      <c r="EN89" s="95"/>
      <c r="EO89" s="95"/>
      <c r="EP89" s="95"/>
      <c r="EQ89" s="95"/>
      <c r="ER89" s="95"/>
      <c r="ES89" s="95"/>
      <c r="ET89" s="95"/>
      <c r="EU89" s="95"/>
      <c r="EV89" s="95"/>
      <c r="EW89" s="95"/>
      <c r="EX89" s="95"/>
      <c r="EY89" s="95"/>
      <c r="EZ89" s="95"/>
      <c r="FA89" s="95"/>
      <c r="FB89" s="95"/>
      <c r="FC89" s="95"/>
      <c r="FD89" s="95"/>
      <c r="FE89" s="95"/>
      <c r="FF89" s="95"/>
      <c r="FG89" s="95"/>
      <c r="FH89" s="95"/>
      <c r="FI89" s="95"/>
      <c r="FJ89" s="95"/>
      <c r="FK89" s="95"/>
      <c r="FL89" s="95"/>
      <c r="FM89" s="95"/>
      <c r="FN89" s="95"/>
      <c r="FO89" s="95"/>
      <c r="FP89" s="95"/>
      <c r="FQ89" s="95"/>
      <c r="FR89" s="95"/>
      <c r="FS89" s="95"/>
      <c r="FT89" s="95"/>
      <c r="FU89" s="95"/>
      <c r="FV89" s="95"/>
      <c r="FW89" s="95"/>
      <c r="FX89" s="95"/>
      <c r="FY89" s="95"/>
      <c r="FZ89" s="95"/>
      <c r="GA89" s="95"/>
      <c r="GB89" s="95"/>
      <c r="GC89" s="95"/>
      <c r="GD89" s="95"/>
      <c r="GE89" s="95"/>
      <c r="GF89" s="95"/>
      <c r="GG89" s="95"/>
      <c r="GH89" s="95"/>
      <c r="GI89" s="95"/>
      <c r="GJ89" s="95"/>
      <c r="GK89" s="95"/>
      <c r="GL89" s="95"/>
      <c r="GM89" s="95"/>
      <c r="GN89" s="95"/>
      <c r="GO89" s="95"/>
      <c r="GP89" s="95"/>
      <c r="GQ89" s="95"/>
      <c r="GR89" s="95"/>
      <c r="GS89" s="95"/>
      <c r="GT89" s="95"/>
      <c r="GU89" s="95"/>
      <c r="GV89" s="95"/>
      <c r="GW89" s="95"/>
      <c r="GX89" s="95"/>
      <c r="GY89" s="95"/>
      <c r="GZ89" s="95"/>
      <c r="HA89" s="95"/>
      <c r="HB89" s="95"/>
      <c r="HC89" s="95"/>
      <c r="HD89" s="95"/>
      <c r="HE89" s="95"/>
      <c r="HF89" s="95"/>
      <c r="HG89" s="95"/>
      <c r="HH89" s="95"/>
      <c r="HI89" s="95"/>
      <c r="HJ89" s="95"/>
      <c r="HK89" s="95"/>
      <c r="HL89" s="95"/>
      <c r="HM89" s="95"/>
      <c r="HN89" s="95"/>
      <c r="HO89" s="95"/>
      <c r="HP89" s="95"/>
      <c r="HQ89" s="95"/>
      <c r="HR89" s="95"/>
      <c r="HS89" s="95"/>
      <c r="HT89" s="95"/>
      <c r="HU89" s="95"/>
      <c r="HV89" s="95"/>
      <c r="HW89" s="95"/>
      <c r="HX89" s="95"/>
      <c r="HY89" s="95"/>
      <c r="HZ89" s="95"/>
      <c r="IA89" s="95"/>
      <c r="IB89" s="95"/>
      <c r="IC89" s="95"/>
      <c r="ID89" s="95"/>
      <c r="IE89" s="95"/>
      <c r="IF89" s="95"/>
      <c r="IG89" s="95"/>
      <c r="IH89" s="95"/>
      <c r="II89" s="95"/>
      <c r="IJ89" s="95"/>
      <c r="IK89" s="95"/>
      <c r="IL89" s="95"/>
      <c r="IM89" s="95"/>
      <c r="IN89" s="95"/>
      <c r="IO89" s="95"/>
      <c r="IP89" s="95"/>
      <c r="IQ89" s="95"/>
      <c r="IR89" s="95"/>
      <c r="IS89" s="95"/>
      <c r="IT89" s="95"/>
      <c r="IU89" s="95"/>
      <c r="IV89" s="95"/>
      <c r="IW89" s="95"/>
      <c r="IX89" s="95"/>
      <c r="IY89" s="95"/>
      <c r="IZ89" s="95"/>
      <c r="JA89" s="95"/>
      <c r="JB89" s="95"/>
      <c r="JC89" s="95"/>
      <c r="JD89" s="95"/>
      <c r="JE89" s="95"/>
      <c r="JF89" s="95"/>
      <c r="JG89" s="95"/>
      <c r="JH89" s="95"/>
      <c r="JI89" s="95"/>
      <c r="JJ89" s="95"/>
      <c r="JK89" s="95"/>
      <c r="JL89" s="95"/>
      <c r="JM89" s="95"/>
      <c r="JN89" s="95"/>
      <c r="JO89" s="95"/>
      <c r="JP89" s="95"/>
      <c r="JQ89" s="95"/>
      <c r="JR89" s="95"/>
      <c r="JS89" s="95"/>
      <c r="JT89" s="95"/>
      <c r="JU89" s="95"/>
      <c r="JV89" s="95"/>
      <c r="JW89" s="95"/>
      <c r="JX89" s="95"/>
      <c r="JY89" s="95"/>
      <c r="JZ89" s="95"/>
    </row>
    <row r="90" spans="1:286" s="97" customFormat="1" ht="82.5" customHeight="1" x14ac:dyDescent="0.25">
      <c r="A90" s="297"/>
      <c r="B90" s="30" t="s">
        <v>45</v>
      </c>
      <c r="C90" s="31" t="s">
        <v>168</v>
      </c>
      <c r="D90" s="32" t="s">
        <v>106</v>
      </c>
      <c r="E90" s="32" t="s">
        <v>48</v>
      </c>
      <c r="F90" s="217" t="s">
        <v>49</v>
      </c>
      <c r="G90" s="65" t="s">
        <v>50</v>
      </c>
      <c r="H90" s="65">
        <v>5</v>
      </c>
      <c r="I90" s="89">
        <v>2</v>
      </c>
      <c r="J90" s="90">
        <v>0</v>
      </c>
      <c r="K90" s="91">
        <v>2</v>
      </c>
      <c r="L90" s="92">
        <v>1</v>
      </c>
      <c r="M90" s="81">
        <v>0</v>
      </c>
      <c r="N90" s="70">
        <f t="shared" si="146"/>
        <v>5</v>
      </c>
      <c r="O90" s="71">
        <v>0</v>
      </c>
      <c r="P90" s="71"/>
      <c r="Q90" s="93"/>
      <c r="R90" s="33" t="s">
        <v>51</v>
      </c>
      <c r="S90" s="36" t="s">
        <v>169</v>
      </c>
      <c r="T90" s="109" t="s">
        <v>77</v>
      </c>
      <c r="U90" s="65">
        <v>5</v>
      </c>
      <c r="V90" s="197">
        <v>2</v>
      </c>
      <c r="W90" s="90">
        <v>0</v>
      </c>
      <c r="X90" s="91">
        <v>2</v>
      </c>
      <c r="Y90" s="92">
        <v>1</v>
      </c>
      <c r="Z90" s="81">
        <v>0</v>
      </c>
      <c r="AA90" s="70">
        <f t="shared" si="136"/>
        <v>5</v>
      </c>
      <c r="AB90" s="35">
        <v>0</v>
      </c>
      <c r="AC90" s="65">
        <v>0</v>
      </c>
      <c r="AD90" s="197">
        <v>0</v>
      </c>
      <c r="AE90" s="90">
        <v>0</v>
      </c>
      <c r="AF90" s="91">
        <v>0</v>
      </c>
      <c r="AG90" s="92">
        <v>0</v>
      </c>
      <c r="AH90" s="81">
        <v>0</v>
      </c>
      <c r="AI90" s="70">
        <f t="shared" si="137"/>
        <v>0</v>
      </c>
      <c r="AJ90" s="71">
        <v>0</v>
      </c>
      <c r="AK90" s="65"/>
      <c r="AL90" s="33"/>
      <c r="AM90" s="72"/>
      <c r="AN90" s="93"/>
      <c r="AO90" s="94"/>
      <c r="AP90" s="33"/>
      <c r="AQ90" s="65"/>
      <c r="AR90" s="73"/>
      <c r="AS90" s="74"/>
      <c r="AT90" s="75"/>
      <c r="AU90" s="76"/>
      <c r="AV90" s="65"/>
      <c r="AW90" s="33"/>
      <c r="AX90" s="32" t="s">
        <v>59</v>
      </c>
      <c r="AY90" s="95"/>
      <c r="AZ90" s="95"/>
      <c r="BA90" s="95"/>
      <c r="BB90" s="95"/>
      <c r="BC90" s="95"/>
      <c r="BD90" s="95"/>
      <c r="BE90" s="95"/>
      <c r="BF90" s="95"/>
      <c r="BG90" s="95"/>
      <c r="BH90" s="95"/>
      <c r="BI90" s="95"/>
      <c r="BJ90" s="95"/>
      <c r="BK90" s="95"/>
      <c r="BL90" s="95"/>
      <c r="BM90" s="95"/>
      <c r="BN90" s="95"/>
      <c r="BO90" s="95"/>
      <c r="BP90" s="95"/>
      <c r="BQ90" s="95"/>
      <c r="BR90" s="95"/>
      <c r="BS90" s="95"/>
      <c r="BT90" s="95"/>
      <c r="BU90" s="95"/>
      <c r="BV90" s="95"/>
      <c r="BW90" s="95"/>
      <c r="BX90" s="95"/>
      <c r="BY90" s="95"/>
      <c r="BZ90" s="95"/>
      <c r="CA90" s="95"/>
      <c r="CB90" s="95"/>
      <c r="CC90" s="95"/>
      <c r="CD90" s="95"/>
      <c r="CE90" s="95"/>
      <c r="CF90" s="95"/>
      <c r="CG90" s="95"/>
      <c r="CH90" s="95"/>
      <c r="CI90" s="95"/>
      <c r="CJ90" s="95"/>
      <c r="CK90" s="95"/>
      <c r="CL90" s="95"/>
      <c r="CM90" s="95"/>
      <c r="CN90" s="95"/>
      <c r="CO90" s="95"/>
      <c r="CP90" s="95"/>
      <c r="CQ90" s="95"/>
      <c r="CR90" s="95"/>
      <c r="CS90" s="95"/>
      <c r="CT90" s="95"/>
      <c r="CU90" s="95"/>
      <c r="CV90" s="95"/>
      <c r="CW90" s="95"/>
      <c r="CX90" s="95"/>
      <c r="CY90" s="95"/>
      <c r="CZ90" s="95"/>
      <c r="DA90" s="95"/>
      <c r="DB90" s="95"/>
      <c r="DC90" s="95"/>
      <c r="DD90" s="95"/>
      <c r="DE90" s="95"/>
      <c r="DF90" s="95"/>
      <c r="DG90" s="95"/>
      <c r="DH90" s="95"/>
      <c r="DI90" s="95"/>
      <c r="DJ90" s="95"/>
      <c r="DK90" s="95"/>
      <c r="DL90" s="95"/>
      <c r="DM90" s="95"/>
      <c r="DN90" s="95"/>
      <c r="DO90" s="95"/>
      <c r="DP90" s="95"/>
      <c r="DQ90" s="95"/>
      <c r="DR90" s="95"/>
      <c r="DS90" s="95"/>
      <c r="DT90" s="95"/>
      <c r="DU90" s="95"/>
      <c r="DV90" s="95"/>
      <c r="DW90" s="95"/>
      <c r="DX90" s="95"/>
      <c r="DY90" s="95"/>
      <c r="DZ90" s="95"/>
      <c r="EA90" s="95"/>
      <c r="EB90" s="95"/>
      <c r="EC90" s="95"/>
      <c r="ED90" s="95"/>
      <c r="EE90" s="95"/>
      <c r="EF90" s="95"/>
      <c r="EG90" s="95"/>
      <c r="EH90" s="95"/>
      <c r="EI90" s="95"/>
      <c r="EJ90" s="95"/>
      <c r="EK90" s="95"/>
      <c r="EL90" s="95"/>
      <c r="EM90" s="95"/>
      <c r="EN90" s="95"/>
      <c r="EO90" s="95"/>
      <c r="EP90" s="95"/>
      <c r="EQ90" s="95"/>
      <c r="ER90" s="95"/>
      <c r="ES90" s="95"/>
      <c r="ET90" s="95"/>
      <c r="EU90" s="95"/>
      <c r="EV90" s="95"/>
      <c r="EW90" s="95"/>
      <c r="EX90" s="95"/>
      <c r="EY90" s="95"/>
      <c r="EZ90" s="95"/>
      <c r="FA90" s="95"/>
      <c r="FB90" s="95"/>
      <c r="FC90" s="95"/>
      <c r="FD90" s="95"/>
      <c r="FE90" s="95"/>
      <c r="FF90" s="95"/>
      <c r="FG90" s="95"/>
      <c r="FH90" s="95"/>
      <c r="FI90" s="95"/>
      <c r="FJ90" s="95"/>
      <c r="FK90" s="95"/>
      <c r="FL90" s="95"/>
      <c r="FM90" s="95"/>
      <c r="FN90" s="95"/>
      <c r="FO90" s="95"/>
      <c r="FP90" s="95"/>
      <c r="FQ90" s="95"/>
      <c r="FR90" s="95"/>
      <c r="FS90" s="95"/>
      <c r="FT90" s="95"/>
      <c r="FU90" s="95"/>
      <c r="FV90" s="95"/>
      <c r="FW90" s="95"/>
      <c r="FX90" s="95"/>
      <c r="FY90" s="95"/>
      <c r="FZ90" s="95"/>
      <c r="GA90" s="95"/>
      <c r="GB90" s="95"/>
      <c r="GC90" s="95"/>
      <c r="GD90" s="95"/>
      <c r="GE90" s="95"/>
      <c r="GF90" s="95"/>
      <c r="GG90" s="95"/>
      <c r="GH90" s="95"/>
      <c r="GI90" s="95"/>
      <c r="GJ90" s="95"/>
      <c r="GK90" s="95"/>
      <c r="GL90" s="95"/>
      <c r="GM90" s="95"/>
      <c r="GN90" s="95"/>
      <c r="GO90" s="95"/>
      <c r="GP90" s="95"/>
      <c r="GQ90" s="95"/>
      <c r="GR90" s="95"/>
      <c r="GS90" s="95"/>
      <c r="GT90" s="95"/>
      <c r="GU90" s="95"/>
      <c r="GV90" s="95"/>
      <c r="GW90" s="95"/>
      <c r="GX90" s="95"/>
      <c r="GY90" s="95"/>
      <c r="GZ90" s="95"/>
      <c r="HA90" s="95"/>
      <c r="HB90" s="95"/>
      <c r="HC90" s="95"/>
      <c r="HD90" s="95"/>
      <c r="HE90" s="95"/>
      <c r="HF90" s="95"/>
      <c r="HG90" s="95"/>
      <c r="HH90" s="95"/>
      <c r="HI90" s="95"/>
      <c r="HJ90" s="95"/>
      <c r="HK90" s="95"/>
      <c r="HL90" s="95"/>
      <c r="HM90" s="95"/>
      <c r="HN90" s="95"/>
      <c r="HO90" s="95"/>
      <c r="HP90" s="95"/>
      <c r="HQ90" s="95"/>
      <c r="HR90" s="95"/>
      <c r="HS90" s="95"/>
      <c r="HT90" s="95"/>
      <c r="HU90" s="95"/>
      <c r="HV90" s="95"/>
      <c r="HW90" s="95"/>
      <c r="HX90" s="95"/>
      <c r="HY90" s="95"/>
      <c r="HZ90" s="95"/>
      <c r="IA90" s="95"/>
      <c r="IB90" s="95"/>
      <c r="IC90" s="95"/>
      <c r="ID90" s="95"/>
      <c r="IE90" s="95"/>
      <c r="IF90" s="95"/>
      <c r="IG90" s="95"/>
      <c r="IH90" s="95"/>
      <c r="II90" s="95"/>
      <c r="IJ90" s="95"/>
      <c r="IK90" s="95"/>
      <c r="IL90" s="95"/>
      <c r="IM90" s="95"/>
      <c r="IN90" s="95"/>
      <c r="IO90" s="95"/>
      <c r="IP90" s="95"/>
      <c r="IQ90" s="95"/>
      <c r="IR90" s="95"/>
      <c r="IS90" s="95"/>
      <c r="IT90" s="95"/>
      <c r="IU90" s="95"/>
      <c r="IV90" s="95"/>
      <c r="IW90" s="95"/>
      <c r="IX90" s="95"/>
      <c r="IY90" s="95"/>
      <c r="IZ90" s="95"/>
      <c r="JA90" s="95"/>
      <c r="JB90" s="95"/>
      <c r="JC90" s="95"/>
      <c r="JD90" s="95"/>
      <c r="JE90" s="95"/>
      <c r="JF90" s="95"/>
      <c r="JG90" s="95"/>
      <c r="JH90" s="95"/>
      <c r="JI90" s="95"/>
      <c r="JJ90" s="95"/>
      <c r="JK90" s="95"/>
      <c r="JL90" s="95"/>
      <c r="JM90" s="95"/>
      <c r="JN90" s="95"/>
      <c r="JO90" s="95"/>
      <c r="JP90" s="95"/>
      <c r="JQ90" s="95"/>
      <c r="JR90" s="95"/>
      <c r="JS90" s="95"/>
      <c r="JT90" s="95"/>
      <c r="JU90" s="95"/>
      <c r="JV90" s="95"/>
      <c r="JW90" s="95"/>
      <c r="JX90" s="95"/>
      <c r="JY90" s="95"/>
      <c r="JZ90" s="95"/>
    </row>
    <row r="91" spans="1:286" s="95" customFormat="1" ht="82.5" customHeight="1" x14ac:dyDescent="0.25">
      <c r="A91" s="297"/>
      <c r="B91" s="30" t="s">
        <v>45</v>
      </c>
      <c r="C91" s="31" t="s">
        <v>168</v>
      </c>
      <c r="D91" s="32" t="s">
        <v>106</v>
      </c>
      <c r="E91" s="32" t="s">
        <v>48</v>
      </c>
      <c r="F91" s="217"/>
      <c r="G91" s="65" t="s">
        <v>71</v>
      </c>
      <c r="H91" s="65">
        <v>50</v>
      </c>
      <c r="I91" s="89">
        <v>2</v>
      </c>
      <c r="J91" s="90">
        <v>6</v>
      </c>
      <c r="K91" s="91">
        <v>19</v>
      </c>
      <c r="L91" s="92">
        <v>5</v>
      </c>
      <c r="M91" s="81">
        <v>13</v>
      </c>
      <c r="N91" s="70">
        <f t="shared" si="146"/>
        <v>45</v>
      </c>
      <c r="O91" s="71">
        <v>0</v>
      </c>
      <c r="P91" s="71"/>
      <c r="Q91" s="93"/>
      <c r="R91" s="33" t="s">
        <v>51</v>
      </c>
      <c r="S91" s="36" t="s">
        <v>170</v>
      </c>
      <c r="T91" s="33" t="s">
        <v>73</v>
      </c>
      <c r="U91" s="65">
        <v>50</v>
      </c>
      <c r="V91" s="197">
        <v>2</v>
      </c>
      <c r="W91" s="90">
        <v>6</v>
      </c>
      <c r="X91" s="91">
        <v>19</v>
      </c>
      <c r="Y91" s="92">
        <v>10</v>
      </c>
      <c r="Z91" s="81">
        <v>13</v>
      </c>
      <c r="AA91" s="70">
        <f t="shared" si="136"/>
        <v>50</v>
      </c>
      <c r="AB91" s="35">
        <v>0</v>
      </c>
      <c r="AC91" s="65">
        <v>1</v>
      </c>
      <c r="AD91" s="197">
        <v>0</v>
      </c>
      <c r="AE91" s="90">
        <v>1</v>
      </c>
      <c r="AF91" s="91">
        <v>0</v>
      </c>
      <c r="AG91" s="92">
        <v>0</v>
      </c>
      <c r="AH91" s="81">
        <v>0</v>
      </c>
      <c r="AI91" s="70">
        <f t="shared" si="137"/>
        <v>1</v>
      </c>
      <c r="AJ91" s="71">
        <v>0</v>
      </c>
      <c r="AK91" s="65"/>
      <c r="AL91" s="33"/>
      <c r="AM91" s="72"/>
      <c r="AN91" s="93"/>
      <c r="AO91" s="94"/>
      <c r="AP91" s="33" t="s">
        <v>58</v>
      </c>
      <c r="AQ91" s="65">
        <v>1</v>
      </c>
      <c r="AR91" s="73">
        <v>0</v>
      </c>
      <c r="AS91" s="74">
        <v>1</v>
      </c>
      <c r="AT91" s="75">
        <v>0</v>
      </c>
      <c r="AU91" s="76"/>
      <c r="AV91" s="65"/>
      <c r="AW91" s="33"/>
      <c r="AX91" s="32" t="s">
        <v>59</v>
      </c>
    </row>
    <row r="92" spans="1:286" s="97" customFormat="1" ht="82.5" customHeight="1" x14ac:dyDescent="0.25">
      <c r="A92" s="297"/>
      <c r="B92" s="30" t="s">
        <v>45</v>
      </c>
      <c r="C92" s="31" t="s">
        <v>168</v>
      </c>
      <c r="D92" s="32" t="s">
        <v>106</v>
      </c>
      <c r="E92" s="32" t="s">
        <v>48</v>
      </c>
      <c r="F92" s="51" t="s">
        <v>61</v>
      </c>
      <c r="G92" s="83"/>
      <c r="H92" s="84">
        <f>SUM(H90:H91)</f>
        <v>55</v>
      </c>
      <c r="I92" s="84">
        <f t="shared" ref="I92" si="182">SUM(I90:I91)</f>
        <v>4</v>
      </c>
      <c r="J92" s="84">
        <f t="shared" ref="J92:M92" si="183">SUM(J90:J91)</f>
        <v>6</v>
      </c>
      <c r="K92" s="84">
        <f t="shared" si="183"/>
        <v>21</v>
      </c>
      <c r="L92" s="84">
        <f t="shared" si="183"/>
        <v>6</v>
      </c>
      <c r="M92" s="84">
        <f t="shared" si="183"/>
        <v>13</v>
      </c>
      <c r="N92" s="84">
        <f t="shared" si="146"/>
        <v>50</v>
      </c>
      <c r="O92" s="84">
        <f t="shared" ref="O92:P92" si="184">SUM(O90:O91)</f>
        <v>0</v>
      </c>
      <c r="P92" s="84">
        <f t="shared" si="184"/>
        <v>0</v>
      </c>
      <c r="Q92" s="96"/>
      <c r="R92" s="85"/>
      <c r="S92" s="53"/>
      <c r="T92" s="51"/>
      <c r="U92" s="84">
        <f t="shared" ref="U92:AJ92" si="185">SUM(U90:U91)</f>
        <v>55</v>
      </c>
      <c r="V92" s="84">
        <f t="shared" si="185"/>
        <v>4</v>
      </c>
      <c r="W92" s="84">
        <f t="shared" si="185"/>
        <v>6</v>
      </c>
      <c r="X92" s="84">
        <f t="shared" si="185"/>
        <v>21</v>
      </c>
      <c r="Y92" s="84">
        <f t="shared" si="185"/>
        <v>11</v>
      </c>
      <c r="Z92" s="84">
        <f t="shared" si="185"/>
        <v>13</v>
      </c>
      <c r="AA92" s="84">
        <f t="shared" si="136"/>
        <v>55</v>
      </c>
      <c r="AB92" s="84">
        <f t="shared" si="185"/>
        <v>0</v>
      </c>
      <c r="AC92" s="84">
        <f t="shared" si="185"/>
        <v>1</v>
      </c>
      <c r="AD92" s="84">
        <f t="shared" si="185"/>
        <v>0</v>
      </c>
      <c r="AE92" s="84">
        <f t="shared" si="185"/>
        <v>1</v>
      </c>
      <c r="AF92" s="84">
        <f t="shared" si="185"/>
        <v>0</v>
      </c>
      <c r="AG92" s="84">
        <f t="shared" si="185"/>
        <v>0</v>
      </c>
      <c r="AH92" s="84">
        <f t="shared" si="185"/>
        <v>0</v>
      </c>
      <c r="AI92" s="84">
        <f t="shared" si="137"/>
        <v>1</v>
      </c>
      <c r="AJ92" s="84">
        <f t="shared" si="185"/>
        <v>0</v>
      </c>
      <c r="AK92" s="83"/>
      <c r="AL92" s="85"/>
      <c r="AM92" s="83"/>
      <c r="AN92" s="96"/>
      <c r="AO92" s="96"/>
      <c r="AP92" s="51"/>
      <c r="AQ92" s="83">
        <f>SUM(AQ90:AQ91)</f>
        <v>1</v>
      </c>
      <c r="AR92" s="83">
        <f t="shared" ref="AR92:AT92" si="186">SUM(AR90:AR91)</f>
        <v>0</v>
      </c>
      <c r="AS92" s="83">
        <f t="shared" si="186"/>
        <v>1</v>
      </c>
      <c r="AT92" s="83">
        <f t="shared" si="186"/>
        <v>0</v>
      </c>
      <c r="AU92" s="87"/>
      <c r="AV92" s="83"/>
      <c r="AW92" s="51"/>
      <c r="AX92" s="51" t="s">
        <v>59</v>
      </c>
      <c r="AY92" s="95"/>
      <c r="AZ92" s="95"/>
      <c r="BA92" s="95"/>
      <c r="BB92" s="95"/>
      <c r="BC92" s="95"/>
      <c r="BD92" s="95"/>
      <c r="BE92" s="95"/>
      <c r="BF92" s="95"/>
      <c r="BG92" s="95"/>
      <c r="BH92" s="95"/>
      <c r="BI92" s="95"/>
      <c r="BJ92" s="95"/>
      <c r="BK92" s="95"/>
      <c r="BL92" s="95"/>
      <c r="BM92" s="95"/>
      <c r="BN92" s="95"/>
      <c r="BO92" s="95"/>
      <c r="BP92" s="95"/>
      <c r="BQ92" s="95"/>
      <c r="BR92" s="95"/>
      <c r="BS92" s="95"/>
      <c r="BT92" s="95"/>
      <c r="BU92" s="95"/>
      <c r="BV92" s="95"/>
      <c r="BW92" s="95"/>
      <c r="BX92" s="95"/>
      <c r="BY92" s="95"/>
      <c r="BZ92" s="95"/>
      <c r="CA92" s="95"/>
      <c r="CB92" s="95"/>
      <c r="CC92" s="95"/>
      <c r="CD92" s="95"/>
      <c r="CE92" s="95"/>
      <c r="CF92" s="95"/>
      <c r="CG92" s="95"/>
      <c r="CH92" s="95"/>
      <c r="CI92" s="95"/>
      <c r="CJ92" s="95"/>
      <c r="CK92" s="95"/>
      <c r="CL92" s="95"/>
      <c r="CM92" s="95"/>
      <c r="CN92" s="95"/>
      <c r="CO92" s="95"/>
      <c r="CP92" s="95"/>
      <c r="CQ92" s="95"/>
      <c r="CR92" s="95"/>
      <c r="CS92" s="95"/>
      <c r="CT92" s="95"/>
      <c r="CU92" s="95"/>
      <c r="CV92" s="95"/>
      <c r="CW92" s="95"/>
      <c r="CX92" s="95"/>
      <c r="CY92" s="95"/>
      <c r="CZ92" s="95"/>
      <c r="DA92" s="95"/>
      <c r="DB92" s="95"/>
      <c r="DC92" s="95"/>
      <c r="DD92" s="95"/>
      <c r="DE92" s="95"/>
      <c r="DF92" s="95"/>
      <c r="DG92" s="95"/>
      <c r="DH92" s="95"/>
      <c r="DI92" s="95"/>
      <c r="DJ92" s="95"/>
      <c r="DK92" s="95"/>
      <c r="DL92" s="95"/>
      <c r="DM92" s="95"/>
      <c r="DN92" s="95"/>
      <c r="DO92" s="95"/>
      <c r="DP92" s="95"/>
      <c r="DQ92" s="95"/>
      <c r="DR92" s="95"/>
      <c r="DS92" s="95"/>
      <c r="DT92" s="95"/>
      <c r="DU92" s="95"/>
      <c r="DV92" s="95"/>
      <c r="DW92" s="95"/>
      <c r="DX92" s="95"/>
      <c r="DY92" s="95"/>
      <c r="DZ92" s="95"/>
      <c r="EA92" s="95"/>
      <c r="EB92" s="95"/>
      <c r="EC92" s="95"/>
      <c r="ED92" s="95"/>
      <c r="EE92" s="95"/>
      <c r="EF92" s="95"/>
      <c r="EG92" s="95"/>
      <c r="EH92" s="95"/>
      <c r="EI92" s="95"/>
      <c r="EJ92" s="95"/>
      <c r="EK92" s="95"/>
      <c r="EL92" s="95"/>
      <c r="EM92" s="95"/>
      <c r="EN92" s="95"/>
      <c r="EO92" s="95"/>
      <c r="EP92" s="95"/>
      <c r="EQ92" s="95"/>
      <c r="ER92" s="95"/>
      <c r="ES92" s="95"/>
      <c r="ET92" s="95"/>
      <c r="EU92" s="95"/>
      <c r="EV92" s="95"/>
      <c r="EW92" s="95"/>
      <c r="EX92" s="95"/>
      <c r="EY92" s="95"/>
      <c r="EZ92" s="95"/>
      <c r="FA92" s="95"/>
      <c r="FB92" s="95"/>
      <c r="FC92" s="95"/>
      <c r="FD92" s="95"/>
      <c r="FE92" s="95"/>
      <c r="FF92" s="95"/>
      <c r="FG92" s="95"/>
      <c r="FH92" s="95"/>
      <c r="FI92" s="95"/>
      <c r="FJ92" s="95"/>
      <c r="FK92" s="95"/>
      <c r="FL92" s="95"/>
      <c r="FM92" s="95"/>
      <c r="FN92" s="95"/>
      <c r="FO92" s="95"/>
      <c r="FP92" s="95"/>
      <c r="FQ92" s="95"/>
      <c r="FR92" s="95"/>
      <c r="FS92" s="95"/>
      <c r="FT92" s="95"/>
      <c r="FU92" s="95"/>
      <c r="FV92" s="95"/>
      <c r="FW92" s="95"/>
      <c r="FX92" s="95"/>
      <c r="FY92" s="95"/>
      <c r="FZ92" s="95"/>
      <c r="GA92" s="95"/>
      <c r="GB92" s="95"/>
      <c r="GC92" s="95"/>
      <c r="GD92" s="95"/>
      <c r="GE92" s="95"/>
      <c r="GF92" s="95"/>
      <c r="GG92" s="95"/>
      <c r="GH92" s="95"/>
      <c r="GI92" s="95"/>
      <c r="GJ92" s="95"/>
      <c r="GK92" s="95"/>
      <c r="GL92" s="95"/>
      <c r="GM92" s="95"/>
      <c r="GN92" s="95"/>
      <c r="GO92" s="95"/>
      <c r="GP92" s="95"/>
      <c r="GQ92" s="95"/>
      <c r="GR92" s="95"/>
      <c r="GS92" s="95"/>
      <c r="GT92" s="95"/>
      <c r="GU92" s="95"/>
      <c r="GV92" s="95"/>
      <c r="GW92" s="95"/>
      <c r="GX92" s="95"/>
      <c r="GY92" s="95"/>
      <c r="GZ92" s="95"/>
      <c r="HA92" s="95"/>
      <c r="HB92" s="95"/>
      <c r="HC92" s="95"/>
      <c r="HD92" s="95"/>
      <c r="HE92" s="95"/>
      <c r="HF92" s="95"/>
      <c r="HG92" s="95"/>
      <c r="HH92" s="95"/>
      <c r="HI92" s="95"/>
      <c r="HJ92" s="95"/>
      <c r="HK92" s="95"/>
      <c r="HL92" s="95"/>
      <c r="HM92" s="95"/>
      <c r="HN92" s="95"/>
      <c r="HO92" s="95"/>
      <c r="HP92" s="95"/>
      <c r="HQ92" s="95"/>
      <c r="HR92" s="95"/>
      <c r="HS92" s="95"/>
      <c r="HT92" s="95"/>
      <c r="HU92" s="95"/>
      <c r="HV92" s="95"/>
      <c r="HW92" s="95"/>
      <c r="HX92" s="95"/>
      <c r="HY92" s="95"/>
      <c r="HZ92" s="95"/>
      <c r="IA92" s="95"/>
      <c r="IB92" s="95"/>
      <c r="IC92" s="95"/>
      <c r="ID92" s="95"/>
      <c r="IE92" s="95"/>
      <c r="IF92" s="95"/>
      <c r="IG92" s="95"/>
      <c r="IH92" s="95"/>
      <c r="II92" s="95"/>
      <c r="IJ92" s="95"/>
      <c r="IK92" s="95"/>
      <c r="IL92" s="95"/>
      <c r="IM92" s="95"/>
      <c r="IN92" s="95"/>
      <c r="IO92" s="95"/>
      <c r="IP92" s="95"/>
      <c r="IQ92" s="95"/>
      <c r="IR92" s="95"/>
      <c r="IS92" s="95"/>
      <c r="IT92" s="95"/>
      <c r="IU92" s="95"/>
      <c r="IV92" s="95"/>
      <c r="IW92" s="95"/>
      <c r="IX92" s="95"/>
      <c r="IY92" s="95"/>
      <c r="IZ92" s="95"/>
      <c r="JA92" s="95"/>
      <c r="JB92" s="95"/>
      <c r="JC92" s="95"/>
      <c r="JD92" s="95"/>
      <c r="JE92" s="95"/>
      <c r="JF92" s="95"/>
      <c r="JG92" s="95"/>
      <c r="JH92" s="95"/>
      <c r="JI92" s="95"/>
      <c r="JJ92" s="95"/>
      <c r="JK92" s="95"/>
      <c r="JL92" s="95"/>
      <c r="JM92" s="95"/>
      <c r="JN92" s="95"/>
      <c r="JO92" s="95"/>
      <c r="JP92" s="95"/>
      <c r="JQ92" s="95"/>
      <c r="JR92" s="95"/>
      <c r="JS92" s="95"/>
      <c r="JT92" s="95"/>
      <c r="JU92" s="95"/>
      <c r="JV92" s="95"/>
      <c r="JW92" s="95"/>
      <c r="JX92" s="95"/>
      <c r="JY92" s="95"/>
      <c r="JZ92" s="95"/>
    </row>
    <row r="93" spans="1:286" s="97" customFormat="1" ht="82.5" customHeight="1" x14ac:dyDescent="0.25">
      <c r="A93" s="297"/>
      <c r="B93" s="30" t="s">
        <v>45</v>
      </c>
      <c r="C93" s="31" t="s">
        <v>171</v>
      </c>
      <c r="D93" s="32" t="s">
        <v>89</v>
      </c>
      <c r="E93" s="32" t="s">
        <v>70</v>
      </c>
      <c r="F93" s="65" t="s">
        <v>49</v>
      </c>
      <c r="G93" s="33" t="s">
        <v>172</v>
      </c>
      <c r="H93" s="65">
        <v>10</v>
      </c>
      <c r="I93" s="89">
        <v>0</v>
      </c>
      <c r="J93" s="90">
        <v>1</v>
      </c>
      <c r="K93" s="91">
        <v>7</v>
      </c>
      <c r="L93" s="92">
        <v>0</v>
      </c>
      <c r="M93" s="81">
        <v>0</v>
      </c>
      <c r="N93" s="70">
        <f t="shared" si="146"/>
        <v>8</v>
      </c>
      <c r="O93" s="71">
        <v>0</v>
      </c>
      <c r="P93" s="71"/>
      <c r="Q93" s="93"/>
      <c r="R93" s="33" t="s">
        <v>173</v>
      </c>
      <c r="S93" s="36" t="s">
        <v>174</v>
      </c>
      <c r="T93" s="33" t="s">
        <v>175</v>
      </c>
      <c r="U93" s="65">
        <v>25</v>
      </c>
      <c r="V93" s="197">
        <v>0</v>
      </c>
      <c r="W93" s="90">
        <v>5</v>
      </c>
      <c r="X93" s="91">
        <v>15</v>
      </c>
      <c r="Y93" s="92">
        <v>5</v>
      </c>
      <c r="Z93" s="81">
        <v>0</v>
      </c>
      <c r="AA93" s="70">
        <f t="shared" si="136"/>
        <v>25</v>
      </c>
      <c r="AB93" s="35"/>
      <c r="AC93" s="65">
        <v>10</v>
      </c>
      <c r="AD93" s="197">
        <v>0</v>
      </c>
      <c r="AE93" s="90">
        <v>10</v>
      </c>
      <c r="AF93" s="91">
        <v>4</v>
      </c>
      <c r="AG93" s="92">
        <v>0</v>
      </c>
      <c r="AH93" s="81">
        <v>0</v>
      </c>
      <c r="AI93" s="70">
        <f t="shared" si="137"/>
        <v>14</v>
      </c>
      <c r="AJ93" s="71">
        <v>0</v>
      </c>
      <c r="AK93" s="65"/>
      <c r="AL93" s="33"/>
      <c r="AM93" s="72"/>
      <c r="AN93" s="93"/>
      <c r="AO93" s="94"/>
      <c r="AP93" s="33" t="s">
        <v>176</v>
      </c>
      <c r="AQ93" s="65">
        <v>10</v>
      </c>
      <c r="AR93" s="73"/>
      <c r="AS93" s="48"/>
      <c r="AT93" s="75"/>
      <c r="AU93" s="76"/>
      <c r="AV93" s="65"/>
      <c r="AW93" s="33"/>
      <c r="AX93" s="32" t="s">
        <v>68</v>
      </c>
      <c r="AY93" s="95"/>
      <c r="AZ93" s="95"/>
      <c r="BA93" s="95"/>
      <c r="BB93" s="95"/>
      <c r="BC93" s="95"/>
      <c r="BD93" s="95"/>
      <c r="BE93" s="95"/>
      <c r="BF93" s="95"/>
      <c r="BG93" s="95"/>
      <c r="BH93" s="95"/>
      <c r="BI93" s="95"/>
      <c r="BJ93" s="95"/>
      <c r="BK93" s="95"/>
      <c r="BL93" s="95"/>
      <c r="BM93" s="95"/>
      <c r="BN93" s="95"/>
      <c r="BO93" s="95"/>
      <c r="BP93" s="95"/>
      <c r="BQ93" s="95"/>
      <c r="BR93" s="95"/>
      <c r="BS93" s="95"/>
      <c r="BT93" s="95"/>
      <c r="BU93" s="95"/>
      <c r="BV93" s="95"/>
      <c r="BW93" s="95"/>
      <c r="BX93" s="95"/>
      <c r="BY93" s="95"/>
      <c r="BZ93" s="95"/>
      <c r="CA93" s="95"/>
      <c r="CB93" s="95"/>
      <c r="CC93" s="95"/>
      <c r="CD93" s="95"/>
      <c r="CE93" s="95"/>
      <c r="CF93" s="95"/>
      <c r="CG93" s="95"/>
      <c r="CH93" s="95"/>
      <c r="CI93" s="95"/>
      <c r="CJ93" s="95"/>
      <c r="CK93" s="95"/>
      <c r="CL93" s="95"/>
      <c r="CM93" s="95"/>
      <c r="CN93" s="95"/>
      <c r="CO93" s="95"/>
      <c r="CP93" s="95"/>
      <c r="CQ93" s="95"/>
      <c r="CR93" s="95"/>
      <c r="CS93" s="95"/>
      <c r="CT93" s="95"/>
      <c r="CU93" s="95"/>
      <c r="CV93" s="95"/>
      <c r="CW93" s="95"/>
      <c r="CX93" s="95"/>
      <c r="CY93" s="95"/>
      <c r="CZ93" s="95"/>
      <c r="DA93" s="95"/>
      <c r="DB93" s="95"/>
      <c r="DC93" s="95"/>
      <c r="DD93" s="95"/>
      <c r="DE93" s="95"/>
      <c r="DF93" s="95"/>
      <c r="DG93" s="95"/>
      <c r="DH93" s="95"/>
      <c r="DI93" s="95"/>
      <c r="DJ93" s="95"/>
      <c r="DK93" s="95"/>
      <c r="DL93" s="95"/>
      <c r="DM93" s="95"/>
      <c r="DN93" s="95"/>
      <c r="DO93" s="95"/>
      <c r="DP93" s="95"/>
      <c r="DQ93" s="95"/>
      <c r="DR93" s="95"/>
      <c r="DS93" s="95"/>
      <c r="DT93" s="95"/>
      <c r="DU93" s="95"/>
      <c r="DV93" s="95"/>
      <c r="DW93" s="95"/>
      <c r="DX93" s="95"/>
      <c r="DY93" s="95"/>
      <c r="DZ93" s="95"/>
      <c r="EA93" s="95"/>
      <c r="EB93" s="95"/>
      <c r="EC93" s="95"/>
      <c r="ED93" s="95"/>
      <c r="EE93" s="95"/>
      <c r="EF93" s="95"/>
      <c r="EG93" s="95"/>
      <c r="EH93" s="95"/>
      <c r="EI93" s="95"/>
      <c r="EJ93" s="95"/>
      <c r="EK93" s="95"/>
      <c r="EL93" s="95"/>
      <c r="EM93" s="95"/>
      <c r="EN93" s="95"/>
      <c r="EO93" s="95"/>
      <c r="EP93" s="95"/>
      <c r="EQ93" s="95"/>
      <c r="ER93" s="95"/>
      <c r="ES93" s="95"/>
      <c r="ET93" s="95"/>
      <c r="EU93" s="95"/>
      <c r="EV93" s="95"/>
      <c r="EW93" s="95"/>
      <c r="EX93" s="95"/>
      <c r="EY93" s="95"/>
      <c r="EZ93" s="95"/>
      <c r="FA93" s="95"/>
      <c r="FB93" s="95"/>
      <c r="FC93" s="95"/>
      <c r="FD93" s="95"/>
      <c r="FE93" s="95"/>
      <c r="FF93" s="95"/>
      <c r="FG93" s="95"/>
      <c r="FH93" s="95"/>
      <c r="FI93" s="95"/>
      <c r="FJ93" s="95"/>
      <c r="FK93" s="95"/>
      <c r="FL93" s="95"/>
      <c r="FM93" s="95"/>
      <c r="FN93" s="95"/>
      <c r="FO93" s="95"/>
      <c r="FP93" s="95"/>
      <c r="FQ93" s="95"/>
      <c r="FR93" s="95"/>
      <c r="FS93" s="95"/>
      <c r="FT93" s="95"/>
      <c r="FU93" s="95"/>
      <c r="FV93" s="95"/>
      <c r="FW93" s="95"/>
      <c r="FX93" s="95"/>
      <c r="FY93" s="95"/>
      <c r="FZ93" s="95"/>
      <c r="GA93" s="95"/>
      <c r="GB93" s="95"/>
      <c r="GC93" s="95"/>
      <c r="GD93" s="95"/>
      <c r="GE93" s="95"/>
      <c r="GF93" s="95"/>
      <c r="GG93" s="95"/>
      <c r="GH93" s="95"/>
      <c r="GI93" s="95"/>
      <c r="GJ93" s="95"/>
      <c r="GK93" s="95"/>
      <c r="GL93" s="95"/>
      <c r="GM93" s="95"/>
      <c r="GN93" s="95"/>
      <c r="GO93" s="95"/>
      <c r="GP93" s="95"/>
      <c r="GQ93" s="95"/>
      <c r="GR93" s="95"/>
      <c r="GS93" s="95"/>
      <c r="GT93" s="95"/>
      <c r="GU93" s="95"/>
      <c r="GV93" s="95"/>
      <c r="GW93" s="95"/>
      <c r="GX93" s="95"/>
      <c r="GY93" s="95"/>
      <c r="GZ93" s="95"/>
      <c r="HA93" s="95"/>
      <c r="HB93" s="95"/>
      <c r="HC93" s="95"/>
      <c r="HD93" s="95"/>
      <c r="HE93" s="95"/>
      <c r="HF93" s="95"/>
      <c r="HG93" s="95"/>
      <c r="HH93" s="95"/>
      <c r="HI93" s="95"/>
      <c r="HJ93" s="95"/>
      <c r="HK93" s="95"/>
      <c r="HL93" s="95"/>
      <c r="HM93" s="95"/>
      <c r="HN93" s="95"/>
      <c r="HO93" s="95"/>
      <c r="HP93" s="95"/>
      <c r="HQ93" s="95"/>
      <c r="HR93" s="95"/>
      <c r="HS93" s="95"/>
      <c r="HT93" s="95"/>
      <c r="HU93" s="95"/>
      <c r="HV93" s="95"/>
      <c r="HW93" s="95"/>
      <c r="HX93" s="95"/>
      <c r="HY93" s="95"/>
      <c r="HZ93" s="95"/>
      <c r="IA93" s="95"/>
      <c r="IB93" s="95"/>
      <c r="IC93" s="95"/>
      <c r="ID93" s="95"/>
      <c r="IE93" s="95"/>
      <c r="IF93" s="95"/>
      <c r="IG93" s="95"/>
      <c r="IH93" s="95"/>
      <c r="II93" s="95"/>
      <c r="IJ93" s="95"/>
      <c r="IK93" s="95"/>
      <c r="IL93" s="95"/>
      <c r="IM93" s="95"/>
      <c r="IN93" s="95"/>
      <c r="IO93" s="95"/>
      <c r="IP93" s="95"/>
      <c r="IQ93" s="95"/>
      <c r="IR93" s="95"/>
      <c r="IS93" s="95"/>
      <c r="IT93" s="95"/>
      <c r="IU93" s="95"/>
      <c r="IV93" s="95"/>
      <c r="IW93" s="95"/>
      <c r="IX93" s="95"/>
      <c r="IY93" s="95"/>
      <c r="IZ93" s="95"/>
      <c r="JA93" s="95"/>
      <c r="JB93" s="95"/>
      <c r="JC93" s="95"/>
      <c r="JD93" s="95"/>
      <c r="JE93" s="95"/>
      <c r="JF93" s="95"/>
      <c r="JG93" s="95"/>
      <c r="JH93" s="95"/>
      <c r="JI93" s="95"/>
      <c r="JJ93" s="95"/>
      <c r="JK93" s="95"/>
      <c r="JL93" s="95"/>
      <c r="JM93" s="95"/>
      <c r="JN93" s="95"/>
      <c r="JO93" s="95"/>
      <c r="JP93" s="95"/>
      <c r="JQ93" s="95"/>
      <c r="JR93" s="95"/>
      <c r="JS93" s="95"/>
      <c r="JT93" s="95"/>
      <c r="JU93" s="95"/>
      <c r="JV93" s="95"/>
      <c r="JW93" s="95"/>
      <c r="JX93" s="95"/>
      <c r="JY93" s="95"/>
      <c r="JZ93" s="95"/>
    </row>
    <row r="94" spans="1:286" s="97" customFormat="1" ht="82.5" customHeight="1" x14ac:dyDescent="0.25">
      <c r="A94" s="297"/>
      <c r="B94" s="30" t="s">
        <v>45</v>
      </c>
      <c r="C94" s="31" t="s">
        <v>171</v>
      </c>
      <c r="D94" s="32" t="s">
        <v>89</v>
      </c>
      <c r="E94" s="32" t="s">
        <v>70</v>
      </c>
      <c r="F94" s="51" t="s">
        <v>61</v>
      </c>
      <c r="G94" s="83"/>
      <c r="H94" s="84">
        <f>SUBTOTAL(9,H93)</f>
        <v>10</v>
      </c>
      <c r="I94" s="84">
        <f t="shared" ref="I94" si="187">SUBTOTAL(9,I93)</f>
        <v>0</v>
      </c>
      <c r="J94" s="84">
        <f t="shared" ref="J94:P94" si="188">SUBTOTAL(9,J93)</f>
        <v>1</v>
      </c>
      <c r="K94" s="84">
        <f t="shared" si="188"/>
        <v>7</v>
      </c>
      <c r="L94" s="84">
        <f t="shared" si="188"/>
        <v>0</v>
      </c>
      <c r="M94" s="84">
        <f t="shared" si="188"/>
        <v>0</v>
      </c>
      <c r="N94" s="84">
        <f t="shared" si="146"/>
        <v>8</v>
      </c>
      <c r="O94" s="84">
        <f t="shared" si="188"/>
        <v>0</v>
      </c>
      <c r="P94" s="84">
        <f t="shared" si="188"/>
        <v>0</v>
      </c>
      <c r="Q94" s="96"/>
      <c r="R94" s="85"/>
      <c r="S94" s="53"/>
      <c r="T94" s="51"/>
      <c r="U94" s="84">
        <f>SUBTOTAL(9,U93)</f>
        <v>25</v>
      </c>
      <c r="V94" s="84">
        <f t="shared" ref="V94" si="189">SUBTOTAL(9,V93)</f>
        <v>0</v>
      </c>
      <c r="W94" s="84">
        <f t="shared" ref="W94:AJ94" si="190">SUBTOTAL(9,W93)</f>
        <v>5</v>
      </c>
      <c r="X94" s="84">
        <f t="shared" si="190"/>
        <v>15</v>
      </c>
      <c r="Y94" s="84">
        <f t="shared" si="190"/>
        <v>5</v>
      </c>
      <c r="Z94" s="84">
        <f t="shared" si="190"/>
        <v>0</v>
      </c>
      <c r="AA94" s="84">
        <f t="shared" si="136"/>
        <v>25</v>
      </c>
      <c r="AB94" s="84">
        <f t="shared" si="190"/>
        <v>0</v>
      </c>
      <c r="AC94" s="84">
        <f t="shared" si="190"/>
        <v>10</v>
      </c>
      <c r="AD94" s="84">
        <f t="shared" si="190"/>
        <v>0</v>
      </c>
      <c r="AE94" s="84">
        <f t="shared" si="190"/>
        <v>10</v>
      </c>
      <c r="AF94" s="84">
        <f t="shared" si="190"/>
        <v>4</v>
      </c>
      <c r="AG94" s="84">
        <f t="shared" si="190"/>
        <v>0</v>
      </c>
      <c r="AH94" s="84">
        <f t="shared" si="190"/>
        <v>0</v>
      </c>
      <c r="AI94" s="84">
        <f t="shared" si="137"/>
        <v>14</v>
      </c>
      <c r="AJ94" s="84">
        <f t="shared" si="190"/>
        <v>0</v>
      </c>
      <c r="AK94" s="83"/>
      <c r="AL94" s="85"/>
      <c r="AM94" s="83"/>
      <c r="AN94" s="96"/>
      <c r="AO94" s="96"/>
      <c r="AP94" s="51"/>
      <c r="AQ94" s="83">
        <f>SUBTOTAL(9,AQ93)</f>
        <v>10</v>
      </c>
      <c r="AR94" s="83">
        <f t="shared" ref="AR94:AT94" si="191">SUBTOTAL(9,AR93)</f>
        <v>0</v>
      </c>
      <c r="AS94" s="83">
        <f t="shared" si="191"/>
        <v>0</v>
      </c>
      <c r="AT94" s="83">
        <f t="shared" si="191"/>
        <v>0</v>
      </c>
      <c r="AU94" s="87"/>
      <c r="AV94" s="83"/>
      <c r="AW94" s="51"/>
      <c r="AX94" s="51" t="s">
        <v>68</v>
      </c>
      <c r="AY94" s="95"/>
      <c r="AZ94" s="95"/>
      <c r="BA94" s="95"/>
      <c r="BB94" s="95"/>
      <c r="BC94" s="95"/>
      <c r="BD94" s="95"/>
      <c r="BE94" s="95"/>
      <c r="BF94" s="95"/>
      <c r="BG94" s="95"/>
      <c r="BH94" s="95"/>
      <c r="BI94" s="95"/>
      <c r="BJ94" s="95"/>
      <c r="BK94" s="95"/>
      <c r="BL94" s="95"/>
      <c r="BM94" s="95"/>
      <c r="BN94" s="95"/>
      <c r="BO94" s="95"/>
      <c r="BP94" s="95"/>
      <c r="BQ94" s="95"/>
      <c r="BR94" s="95"/>
      <c r="BS94" s="95"/>
      <c r="BT94" s="95"/>
      <c r="BU94" s="95"/>
      <c r="BV94" s="95"/>
      <c r="BW94" s="95"/>
      <c r="BX94" s="95"/>
      <c r="BY94" s="95"/>
      <c r="BZ94" s="95"/>
      <c r="CA94" s="95"/>
      <c r="CB94" s="95"/>
      <c r="CC94" s="95"/>
      <c r="CD94" s="95"/>
      <c r="CE94" s="95"/>
      <c r="CF94" s="95"/>
      <c r="CG94" s="95"/>
      <c r="CH94" s="95"/>
      <c r="CI94" s="95"/>
      <c r="CJ94" s="95"/>
      <c r="CK94" s="95"/>
      <c r="CL94" s="95"/>
      <c r="CM94" s="95"/>
      <c r="CN94" s="95"/>
      <c r="CO94" s="95"/>
      <c r="CP94" s="95"/>
      <c r="CQ94" s="95"/>
      <c r="CR94" s="95"/>
      <c r="CS94" s="95"/>
      <c r="CT94" s="95"/>
      <c r="CU94" s="95"/>
      <c r="CV94" s="95"/>
      <c r="CW94" s="95"/>
      <c r="CX94" s="95"/>
      <c r="CY94" s="95"/>
      <c r="CZ94" s="95"/>
      <c r="DA94" s="95"/>
      <c r="DB94" s="95"/>
      <c r="DC94" s="95"/>
      <c r="DD94" s="95"/>
      <c r="DE94" s="95"/>
      <c r="DF94" s="95"/>
      <c r="DG94" s="95"/>
      <c r="DH94" s="95"/>
      <c r="DI94" s="95"/>
      <c r="DJ94" s="95"/>
      <c r="DK94" s="95"/>
      <c r="DL94" s="95"/>
      <c r="DM94" s="95"/>
      <c r="DN94" s="95"/>
      <c r="DO94" s="95"/>
      <c r="DP94" s="95"/>
      <c r="DQ94" s="95"/>
      <c r="DR94" s="95"/>
      <c r="DS94" s="95"/>
      <c r="DT94" s="95"/>
      <c r="DU94" s="95"/>
      <c r="DV94" s="95"/>
      <c r="DW94" s="95"/>
      <c r="DX94" s="95"/>
      <c r="DY94" s="95"/>
      <c r="DZ94" s="95"/>
      <c r="EA94" s="95"/>
      <c r="EB94" s="95"/>
      <c r="EC94" s="95"/>
      <c r="ED94" s="95"/>
      <c r="EE94" s="95"/>
      <c r="EF94" s="95"/>
      <c r="EG94" s="95"/>
      <c r="EH94" s="95"/>
      <c r="EI94" s="95"/>
      <c r="EJ94" s="95"/>
      <c r="EK94" s="95"/>
      <c r="EL94" s="95"/>
      <c r="EM94" s="95"/>
      <c r="EN94" s="95"/>
      <c r="EO94" s="95"/>
      <c r="EP94" s="95"/>
      <c r="EQ94" s="95"/>
      <c r="ER94" s="95"/>
      <c r="ES94" s="95"/>
      <c r="ET94" s="95"/>
      <c r="EU94" s="95"/>
      <c r="EV94" s="95"/>
      <c r="EW94" s="95"/>
      <c r="EX94" s="95"/>
      <c r="EY94" s="95"/>
      <c r="EZ94" s="95"/>
      <c r="FA94" s="95"/>
      <c r="FB94" s="95"/>
      <c r="FC94" s="95"/>
      <c r="FD94" s="95"/>
      <c r="FE94" s="95"/>
      <c r="FF94" s="95"/>
      <c r="FG94" s="95"/>
      <c r="FH94" s="95"/>
      <c r="FI94" s="95"/>
      <c r="FJ94" s="95"/>
      <c r="FK94" s="95"/>
      <c r="FL94" s="95"/>
      <c r="FM94" s="95"/>
      <c r="FN94" s="95"/>
      <c r="FO94" s="95"/>
      <c r="FP94" s="95"/>
      <c r="FQ94" s="95"/>
      <c r="FR94" s="95"/>
      <c r="FS94" s="95"/>
      <c r="FT94" s="95"/>
      <c r="FU94" s="95"/>
      <c r="FV94" s="95"/>
      <c r="FW94" s="95"/>
      <c r="FX94" s="95"/>
      <c r="FY94" s="95"/>
      <c r="FZ94" s="95"/>
      <c r="GA94" s="95"/>
      <c r="GB94" s="95"/>
      <c r="GC94" s="95"/>
      <c r="GD94" s="95"/>
      <c r="GE94" s="95"/>
      <c r="GF94" s="95"/>
      <c r="GG94" s="95"/>
      <c r="GH94" s="95"/>
      <c r="GI94" s="95"/>
      <c r="GJ94" s="95"/>
      <c r="GK94" s="95"/>
      <c r="GL94" s="95"/>
      <c r="GM94" s="95"/>
      <c r="GN94" s="95"/>
      <c r="GO94" s="95"/>
      <c r="GP94" s="95"/>
      <c r="GQ94" s="95"/>
      <c r="GR94" s="95"/>
      <c r="GS94" s="95"/>
      <c r="GT94" s="95"/>
      <c r="GU94" s="95"/>
      <c r="GV94" s="95"/>
      <c r="GW94" s="95"/>
      <c r="GX94" s="95"/>
      <c r="GY94" s="95"/>
      <c r="GZ94" s="95"/>
      <c r="HA94" s="95"/>
      <c r="HB94" s="95"/>
      <c r="HC94" s="95"/>
      <c r="HD94" s="95"/>
      <c r="HE94" s="95"/>
      <c r="HF94" s="95"/>
      <c r="HG94" s="95"/>
      <c r="HH94" s="95"/>
      <c r="HI94" s="95"/>
      <c r="HJ94" s="95"/>
      <c r="HK94" s="95"/>
      <c r="HL94" s="95"/>
      <c r="HM94" s="95"/>
      <c r="HN94" s="95"/>
      <c r="HO94" s="95"/>
      <c r="HP94" s="95"/>
      <c r="HQ94" s="95"/>
      <c r="HR94" s="95"/>
      <c r="HS94" s="95"/>
      <c r="HT94" s="95"/>
      <c r="HU94" s="95"/>
      <c r="HV94" s="95"/>
      <c r="HW94" s="95"/>
      <c r="HX94" s="95"/>
      <c r="HY94" s="95"/>
      <c r="HZ94" s="95"/>
      <c r="IA94" s="95"/>
      <c r="IB94" s="95"/>
      <c r="IC94" s="95"/>
      <c r="ID94" s="95"/>
      <c r="IE94" s="95"/>
      <c r="IF94" s="95"/>
      <c r="IG94" s="95"/>
      <c r="IH94" s="95"/>
      <c r="II94" s="95"/>
      <c r="IJ94" s="95"/>
      <c r="IK94" s="95"/>
      <c r="IL94" s="95"/>
      <c r="IM94" s="95"/>
      <c r="IN94" s="95"/>
      <c r="IO94" s="95"/>
      <c r="IP94" s="95"/>
      <c r="IQ94" s="95"/>
      <c r="IR94" s="95"/>
      <c r="IS94" s="95"/>
      <c r="IT94" s="95"/>
      <c r="IU94" s="95"/>
      <c r="IV94" s="95"/>
      <c r="IW94" s="95"/>
      <c r="IX94" s="95"/>
      <c r="IY94" s="95"/>
      <c r="IZ94" s="95"/>
      <c r="JA94" s="95"/>
      <c r="JB94" s="95"/>
      <c r="JC94" s="95"/>
      <c r="JD94" s="95"/>
      <c r="JE94" s="95"/>
      <c r="JF94" s="95"/>
      <c r="JG94" s="95"/>
      <c r="JH94" s="95"/>
      <c r="JI94" s="95"/>
      <c r="JJ94" s="95"/>
      <c r="JK94" s="95"/>
      <c r="JL94" s="95"/>
      <c r="JM94" s="95"/>
      <c r="JN94" s="95"/>
      <c r="JO94" s="95"/>
      <c r="JP94" s="95"/>
      <c r="JQ94" s="95"/>
      <c r="JR94" s="95"/>
      <c r="JS94" s="95"/>
      <c r="JT94" s="95"/>
      <c r="JU94" s="95"/>
      <c r="JV94" s="95"/>
      <c r="JW94" s="95"/>
      <c r="JX94" s="95"/>
      <c r="JY94" s="95"/>
      <c r="JZ94" s="95"/>
    </row>
    <row r="95" spans="1:286" s="77" customFormat="1" ht="82.5" customHeight="1" x14ac:dyDescent="0.25">
      <c r="A95" s="297"/>
      <c r="B95" s="30" t="s">
        <v>45</v>
      </c>
      <c r="C95" s="31" t="s">
        <v>177</v>
      </c>
      <c r="D95" s="32" t="s">
        <v>106</v>
      </c>
      <c r="E95" s="32" t="s">
        <v>75</v>
      </c>
      <c r="F95" s="65"/>
      <c r="G95" s="65" t="s">
        <v>178</v>
      </c>
      <c r="H95" s="65">
        <v>10</v>
      </c>
      <c r="I95" s="89">
        <v>0</v>
      </c>
      <c r="J95" s="90">
        <v>0</v>
      </c>
      <c r="K95" s="91">
        <v>0</v>
      </c>
      <c r="L95" s="92">
        <v>5</v>
      </c>
      <c r="M95" s="81">
        <v>5</v>
      </c>
      <c r="N95" s="70">
        <f t="shared" si="146"/>
        <v>10</v>
      </c>
      <c r="O95" s="71">
        <v>0</v>
      </c>
      <c r="P95" s="71"/>
      <c r="Q95" s="93"/>
      <c r="R95" s="33" t="s">
        <v>179</v>
      </c>
      <c r="S95" s="36" t="s">
        <v>100</v>
      </c>
      <c r="T95" s="33" t="s">
        <v>77</v>
      </c>
      <c r="U95" s="65">
        <v>10</v>
      </c>
      <c r="V95" s="197">
        <v>0</v>
      </c>
      <c r="W95" s="90">
        <v>0</v>
      </c>
      <c r="X95" s="91">
        <v>0</v>
      </c>
      <c r="Y95" s="92">
        <v>5</v>
      </c>
      <c r="Z95" s="81">
        <v>5</v>
      </c>
      <c r="AA95" s="70">
        <f t="shared" si="136"/>
        <v>10</v>
      </c>
      <c r="AB95" s="35">
        <v>0</v>
      </c>
      <c r="AC95" s="65">
        <v>1</v>
      </c>
      <c r="AD95" s="197">
        <v>0</v>
      </c>
      <c r="AE95" s="90">
        <v>0</v>
      </c>
      <c r="AF95" s="91">
        <v>0</v>
      </c>
      <c r="AG95" s="92">
        <v>1</v>
      </c>
      <c r="AH95" s="81">
        <v>0</v>
      </c>
      <c r="AI95" s="70">
        <f t="shared" si="137"/>
        <v>1</v>
      </c>
      <c r="AJ95" s="71">
        <v>0</v>
      </c>
      <c r="AK95" s="65"/>
      <c r="AL95" s="33"/>
      <c r="AM95" s="72"/>
      <c r="AN95" s="93"/>
      <c r="AO95" s="94"/>
      <c r="AP95" s="33" t="s">
        <v>58</v>
      </c>
      <c r="AQ95" s="65">
        <v>1</v>
      </c>
      <c r="AR95" s="73">
        <v>0</v>
      </c>
      <c r="AS95" s="48">
        <v>0</v>
      </c>
      <c r="AT95" s="75">
        <v>1</v>
      </c>
      <c r="AU95" s="76"/>
      <c r="AV95" s="65"/>
      <c r="AW95" s="33"/>
      <c r="AX95" s="32" t="s">
        <v>147</v>
      </c>
    </row>
    <row r="96" spans="1:286" s="79" customFormat="1" ht="82.5" customHeight="1" x14ac:dyDescent="0.25">
      <c r="A96" s="297"/>
      <c r="B96" s="30" t="s">
        <v>45</v>
      </c>
      <c r="C96" s="31" t="s">
        <v>177</v>
      </c>
      <c r="D96" s="32" t="s">
        <v>106</v>
      </c>
      <c r="E96" s="32" t="s">
        <v>75</v>
      </c>
      <c r="F96" s="51" t="s">
        <v>61</v>
      </c>
      <c r="G96" s="83"/>
      <c r="H96" s="84">
        <f>SUM(H95)</f>
        <v>10</v>
      </c>
      <c r="I96" s="84">
        <f t="shared" ref="I96" si="192">SUM(I95)</f>
        <v>0</v>
      </c>
      <c r="J96" s="84">
        <f t="shared" ref="J96:M96" si="193">SUM(J95)</f>
        <v>0</v>
      </c>
      <c r="K96" s="84">
        <f t="shared" si="193"/>
        <v>0</v>
      </c>
      <c r="L96" s="84">
        <f t="shared" si="193"/>
        <v>5</v>
      </c>
      <c r="M96" s="84">
        <f t="shared" si="193"/>
        <v>5</v>
      </c>
      <c r="N96" s="84">
        <f t="shared" si="146"/>
        <v>10</v>
      </c>
      <c r="O96" s="84">
        <f t="shared" ref="O96" si="194">SUM(O95)</f>
        <v>0</v>
      </c>
      <c r="P96" s="84">
        <v>0</v>
      </c>
      <c r="Q96" s="96"/>
      <c r="R96" s="85"/>
      <c r="S96" s="53"/>
      <c r="T96" s="51"/>
      <c r="U96" s="84">
        <f t="shared" ref="U96:AJ96" si="195">SUM(U95)</f>
        <v>10</v>
      </c>
      <c r="V96" s="84">
        <f t="shared" si="195"/>
        <v>0</v>
      </c>
      <c r="W96" s="84">
        <f t="shared" si="195"/>
        <v>0</v>
      </c>
      <c r="X96" s="84">
        <f t="shared" si="195"/>
        <v>0</v>
      </c>
      <c r="Y96" s="84">
        <f t="shared" si="195"/>
        <v>5</v>
      </c>
      <c r="Z96" s="84">
        <f t="shared" si="195"/>
        <v>5</v>
      </c>
      <c r="AA96" s="84">
        <f t="shared" si="136"/>
        <v>10</v>
      </c>
      <c r="AB96" s="84">
        <f t="shared" si="195"/>
        <v>0</v>
      </c>
      <c r="AC96" s="84">
        <f t="shared" si="195"/>
        <v>1</v>
      </c>
      <c r="AD96" s="84">
        <f t="shared" si="195"/>
        <v>0</v>
      </c>
      <c r="AE96" s="84">
        <f t="shared" si="195"/>
        <v>0</v>
      </c>
      <c r="AF96" s="84">
        <f t="shared" si="195"/>
        <v>0</v>
      </c>
      <c r="AG96" s="84">
        <f t="shared" si="195"/>
        <v>1</v>
      </c>
      <c r="AH96" s="84">
        <f t="shared" si="195"/>
        <v>0</v>
      </c>
      <c r="AI96" s="84">
        <f t="shared" si="137"/>
        <v>1</v>
      </c>
      <c r="AJ96" s="84">
        <f t="shared" si="195"/>
        <v>0</v>
      </c>
      <c r="AK96" s="83"/>
      <c r="AL96" s="85"/>
      <c r="AM96" s="83"/>
      <c r="AN96" s="96"/>
      <c r="AO96" s="96"/>
      <c r="AP96" s="51"/>
      <c r="AQ96" s="83">
        <f>SUM(AQ95)</f>
        <v>1</v>
      </c>
      <c r="AR96" s="83">
        <f t="shared" ref="AR96:AT96" si="196">SUM(AR95)</f>
        <v>0</v>
      </c>
      <c r="AS96" s="83">
        <f t="shared" si="196"/>
        <v>0</v>
      </c>
      <c r="AT96" s="83">
        <f t="shared" si="196"/>
        <v>1</v>
      </c>
      <c r="AU96" s="87"/>
      <c r="AV96" s="83"/>
      <c r="AW96" s="51"/>
      <c r="AX96" s="51" t="s">
        <v>147</v>
      </c>
      <c r="AY96" s="77"/>
      <c r="AZ96" s="77"/>
      <c r="BA96" s="77"/>
      <c r="BB96" s="77"/>
      <c r="BC96" s="77"/>
      <c r="BD96" s="77"/>
      <c r="BE96" s="77"/>
      <c r="BF96" s="77"/>
      <c r="BG96" s="77"/>
      <c r="BH96" s="77"/>
      <c r="BI96" s="77"/>
      <c r="BJ96" s="77"/>
      <c r="BK96" s="77"/>
      <c r="BL96" s="77"/>
      <c r="BM96" s="77"/>
      <c r="BN96" s="77"/>
      <c r="BO96" s="77"/>
      <c r="BP96" s="77"/>
      <c r="BQ96" s="77"/>
      <c r="BR96" s="77"/>
      <c r="BS96" s="77"/>
      <c r="BT96" s="77"/>
      <c r="BU96" s="77"/>
      <c r="BV96" s="77"/>
      <c r="BW96" s="77"/>
      <c r="BX96" s="77"/>
      <c r="BY96" s="77"/>
      <c r="BZ96" s="77"/>
      <c r="CA96" s="77"/>
      <c r="CB96" s="77"/>
      <c r="CC96" s="77"/>
      <c r="CD96" s="77"/>
      <c r="CE96" s="77"/>
      <c r="CF96" s="77"/>
      <c r="CG96" s="77"/>
      <c r="CH96" s="77"/>
      <c r="CI96" s="77"/>
      <c r="CJ96" s="77"/>
      <c r="CK96" s="77"/>
      <c r="CL96" s="77"/>
      <c r="CM96" s="77"/>
      <c r="CN96" s="77"/>
      <c r="CO96" s="77"/>
      <c r="CP96" s="77"/>
      <c r="CQ96" s="77"/>
      <c r="CR96" s="77"/>
      <c r="CS96" s="77"/>
      <c r="CT96" s="77"/>
      <c r="CU96" s="77"/>
      <c r="CV96" s="77"/>
      <c r="CW96" s="77"/>
      <c r="CX96" s="77"/>
      <c r="CY96" s="77"/>
      <c r="CZ96" s="77"/>
      <c r="DA96" s="77"/>
      <c r="DB96" s="77"/>
      <c r="DC96" s="77"/>
      <c r="DD96" s="77"/>
      <c r="DE96" s="77"/>
      <c r="DF96" s="77"/>
      <c r="DG96" s="77"/>
      <c r="DH96" s="77"/>
      <c r="DI96" s="77"/>
      <c r="DJ96" s="77"/>
      <c r="DK96" s="77"/>
      <c r="DL96" s="77"/>
      <c r="DM96" s="77"/>
      <c r="DN96" s="77"/>
      <c r="DO96" s="77"/>
      <c r="DP96" s="77"/>
      <c r="DQ96" s="77"/>
      <c r="DR96" s="77"/>
      <c r="DS96" s="77"/>
      <c r="DT96" s="77"/>
      <c r="DU96" s="77"/>
      <c r="DV96" s="77"/>
      <c r="DW96" s="77"/>
      <c r="DX96" s="77"/>
      <c r="DY96" s="77"/>
      <c r="DZ96" s="77"/>
      <c r="EA96" s="77"/>
      <c r="EB96" s="77"/>
      <c r="EC96" s="77"/>
      <c r="ED96" s="77"/>
      <c r="EE96" s="77"/>
      <c r="EF96" s="77"/>
      <c r="EG96" s="77"/>
      <c r="EH96" s="77"/>
      <c r="EI96" s="77"/>
      <c r="EJ96" s="77"/>
      <c r="EK96" s="77"/>
      <c r="EL96" s="77"/>
      <c r="EM96" s="77"/>
      <c r="EN96" s="77"/>
      <c r="EO96" s="77"/>
      <c r="EP96" s="77"/>
      <c r="EQ96" s="77"/>
      <c r="ER96" s="77"/>
      <c r="ES96" s="77"/>
      <c r="ET96" s="77"/>
      <c r="EU96" s="77"/>
      <c r="EV96" s="77"/>
      <c r="EW96" s="77"/>
      <c r="EX96" s="77"/>
      <c r="EY96" s="77"/>
      <c r="EZ96" s="77"/>
      <c r="FA96" s="77"/>
      <c r="FB96" s="77"/>
      <c r="FC96" s="77"/>
      <c r="FD96" s="77"/>
      <c r="FE96" s="77"/>
      <c r="FF96" s="77"/>
      <c r="FG96" s="77"/>
      <c r="FH96" s="77"/>
      <c r="FI96" s="77"/>
      <c r="FJ96" s="77"/>
      <c r="FK96" s="77"/>
      <c r="FL96" s="77"/>
      <c r="FM96" s="77"/>
      <c r="FN96" s="77"/>
      <c r="FO96" s="77"/>
      <c r="FP96" s="77"/>
      <c r="FQ96" s="77"/>
      <c r="FR96" s="77"/>
      <c r="FS96" s="77"/>
      <c r="FT96" s="77"/>
      <c r="FU96" s="77"/>
      <c r="FV96" s="77"/>
      <c r="FW96" s="77"/>
      <c r="FX96" s="77"/>
      <c r="FY96" s="77"/>
      <c r="FZ96" s="77"/>
      <c r="GA96" s="77"/>
      <c r="GB96" s="77"/>
      <c r="GC96" s="77"/>
      <c r="GD96" s="77"/>
      <c r="GE96" s="77"/>
      <c r="GF96" s="77"/>
      <c r="GG96" s="77"/>
      <c r="GH96" s="77"/>
      <c r="GI96" s="77"/>
      <c r="GJ96" s="77"/>
      <c r="GK96" s="77"/>
      <c r="GL96" s="77"/>
      <c r="GM96" s="77"/>
      <c r="GN96" s="77"/>
      <c r="GO96" s="77"/>
      <c r="GP96" s="77"/>
      <c r="GQ96" s="77"/>
      <c r="GR96" s="77"/>
      <c r="GS96" s="77"/>
      <c r="GT96" s="77"/>
      <c r="GU96" s="77"/>
      <c r="GV96" s="77"/>
      <c r="GW96" s="77"/>
      <c r="GX96" s="77"/>
      <c r="GY96" s="77"/>
      <c r="GZ96" s="77"/>
      <c r="HA96" s="77"/>
      <c r="HB96" s="77"/>
      <c r="HC96" s="77"/>
      <c r="HD96" s="77"/>
      <c r="HE96" s="77"/>
      <c r="HF96" s="77"/>
      <c r="HG96" s="77"/>
      <c r="HH96" s="77"/>
      <c r="HI96" s="77"/>
      <c r="HJ96" s="77"/>
      <c r="HK96" s="77"/>
      <c r="HL96" s="77"/>
      <c r="HM96" s="77"/>
      <c r="HN96" s="77"/>
      <c r="HO96" s="77"/>
      <c r="HP96" s="77"/>
      <c r="HQ96" s="77"/>
      <c r="HR96" s="77"/>
      <c r="HS96" s="77"/>
      <c r="HT96" s="77"/>
      <c r="HU96" s="77"/>
      <c r="HV96" s="77"/>
      <c r="HW96" s="77"/>
      <c r="HX96" s="77"/>
      <c r="HY96" s="77"/>
      <c r="HZ96" s="77"/>
      <c r="IA96" s="77"/>
      <c r="IB96" s="77"/>
      <c r="IC96" s="77"/>
      <c r="ID96" s="77"/>
      <c r="IE96" s="77"/>
      <c r="IF96" s="77"/>
      <c r="IG96" s="77"/>
      <c r="IH96" s="77"/>
      <c r="II96" s="77"/>
      <c r="IJ96" s="77"/>
      <c r="IK96" s="77"/>
      <c r="IL96" s="77"/>
      <c r="IM96" s="77"/>
      <c r="IN96" s="77"/>
      <c r="IO96" s="77"/>
      <c r="IP96" s="77"/>
      <c r="IQ96" s="77"/>
      <c r="IR96" s="77"/>
      <c r="IS96" s="77"/>
      <c r="IT96" s="77"/>
      <c r="IU96" s="77"/>
      <c r="IV96" s="77"/>
      <c r="IW96" s="77"/>
      <c r="IX96" s="77"/>
      <c r="IY96" s="77"/>
      <c r="IZ96" s="77"/>
      <c r="JA96" s="77"/>
      <c r="JB96" s="77"/>
      <c r="JC96" s="77"/>
      <c r="JD96" s="77"/>
      <c r="JE96" s="77"/>
      <c r="JF96" s="77"/>
      <c r="JG96" s="77"/>
      <c r="JH96" s="77"/>
      <c r="JI96" s="77"/>
      <c r="JJ96" s="77"/>
      <c r="JK96" s="77"/>
      <c r="JL96" s="77"/>
      <c r="JM96" s="77"/>
      <c r="JN96" s="77"/>
      <c r="JO96" s="77"/>
      <c r="JP96" s="77"/>
      <c r="JQ96" s="77"/>
      <c r="JR96" s="77"/>
      <c r="JS96" s="77"/>
      <c r="JT96" s="77"/>
      <c r="JU96" s="77"/>
      <c r="JV96" s="77"/>
      <c r="JW96" s="77"/>
      <c r="JX96" s="77"/>
      <c r="JY96" s="77"/>
      <c r="JZ96" s="77"/>
    </row>
    <row r="97" spans="1:286" s="77" customFormat="1" ht="82.5" customHeight="1" x14ac:dyDescent="0.25">
      <c r="A97" s="297"/>
      <c r="B97" s="30" t="s">
        <v>45</v>
      </c>
      <c r="C97" s="31" t="s">
        <v>180</v>
      </c>
      <c r="D97" s="32" t="s">
        <v>106</v>
      </c>
      <c r="E97" s="32" t="s">
        <v>48</v>
      </c>
      <c r="F97" s="217" t="s">
        <v>49</v>
      </c>
      <c r="G97" s="65" t="s">
        <v>178</v>
      </c>
      <c r="H97" s="65">
        <v>10</v>
      </c>
      <c r="I97" s="89">
        <v>0</v>
      </c>
      <c r="J97" s="90">
        <v>0</v>
      </c>
      <c r="K97" s="91">
        <v>0</v>
      </c>
      <c r="L97" s="92">
        <v>5</v>
      </c>
      <c r="M97" s="81">
        <v>5</v>
      </c>
      <c r="N97" s="70">
        <f t="shared" si="146"/>
        <v>10</v>
      </c>
      <c r="O97" s="71">
        <v>0</v>
      </c>
      <c r="P97" s="71"/>
      <c r="Q97" s="93"/>
      <c r="R97" s="33" t="s">
        <v>179</v>
      </c>
      <c r="S97" s="36" t="s">
        <v>100</v>
      </c>
      <c r="T97" s="33" t="s">
        <v>77</v>
      </c>
      <c r="U97" s="65">
        <v>10</v>
      </c>
      <c r="V97" s="197">
        <v>0</v>
      </c>
      <c r="W97" s="90">
        <v>0</v>
      </c>
      <c r="X97" s="91">
        <v>0</v>
      </c>
      <c r="Y97" s="92">
        <v>5</v>
      </c>
      <c r="Z97" s="81">
        <v>5</v>
      </c>
      <c r="AA97" s="70">
        <f t="shared" si="136"/>
        <v>10</v>
      </c>
      <c r="AB97" s="35">
        <v>0</v>
      </c>
      <c r="AC97" s="65">
        <v>1</v>
      </c>
      <c r="AD97" s="197">
        <v>0</v>
      </c>
      <c r="AE97" s="90">
        <v>0</v>
      </c>
      <c r="AF97" s="91">
        <v>0</v>
      </c>
      <c r="AG97" s="92">
        <v>0</v>
      </c>
      <c r="AH97" s="81">
        <v>0</v>
      </c>
      <c r="AI97" s="70">
        <f t="shared" si="137"/>
        <v>0</v>
      </c>
      <c r="AJ97" s="71">
        <v>0</v>
      </c>
      <c r="AK97" s="65"/>
      <c r="AL97" s="33"/>
      <c r="AM97" s="72"/>
      <c r="AN97" s="93"/>
      <c r="AO97" s="94"/>
      <c r="AP97" s="33" t="s">
        <v>58</v>
      </c>
      <c r="AQ97" s="65">
        <v>1</v>
      </c>
      <c r="AR97" s="73">
        <v>0</v>
      </c>
      <c r="AS97" s="48">
        <v>0</v>
      </c>
      <c r="AT97" s="75">
        <v>1</v>
      </c>
      <c r="AU97" s="76"/>
      <c r="AV97" s="65"/>
      <c r="AW97" s="33"/>
      <c r="AX97" s="32" t="s">
        <v>147</v>
      </c>
    </row>
    <row r="98" spans="1:286" s="77" customFormat="1" ht="82.5" customHeight="1" x14ac:dyDescent="0.25">
      <c r="A98" s="297"/>
      <c r="B98" s="30" t="s">
        <v>45</v>
      </c>
      <c r="C98" s="31" t="s">
        <v>180</v>
      </c>
      <c r="D98" s="32" t="s">
        <v>106</v>
      </c>
      <c r="E98" s="32" t="s">
        <v>48</v>
      </c>
      <c r="F98" s="217"/>
      <c r="G98" s="65" t="s">
        <v>50</v>
      </c>
      <c r="H98" s="65">
        <v>5</v>
      </c>
      <c r="I98" s="89">
        <v>0</v>
      </c>
      <c r="J98" s="90">
        <v>0</v>
      </c>
      <c r="K98" s="91">
        <v>3</v>
      </c>
      <c r="L98" s="92">
        <v>1</v>
      </c>
      <c r="M98" s="81">
        <v>1</v>
      </c>
      <c r="N98" s="70">
        <f t="shared" si="146"/>
        <v>5</v>
      </c>
      <c r="O98" s="71">
        <v>0</v>
      </c>
      <c r="P98" s="71"/>
      <c r="Q98" s="93"/>
      <c r="R98" s="33" t="s">
        <v>179</v>
      </c>
      <c r="S98" s="36" t="s">
        <v>100</v>
      </c>
      <c r="T98" s="33" t="s">
        <v>77</v>
      </c>
      <c r="U98" s="65">
        <v>5</v>
      </c>
      <c r="V98" s="197">
        <v>0</v>
      </c>
      <c r="W98" s="90">
        <v>0</v>
      </c>
      <c r="X98" s="91">
        <v>3</v>
      </c>
      <c r="Y98" s="92">
        <v>1</v>
      </c>
      <c r="Z98" s="81">
        <v>1</v>
      </c>
      <c r="AA98" s="70">
        <f t="shared" si="136"/>
        <v>5</v>
      </c>
      <c r="AB98" s="35">
        <v>0</v>
      </c>
      <c r="AC98" s="65">
        <v>1</v>
      </c>
      <c r="AD98" s="197">
        <v>0</v>
      </c>
      <c r="AE98" s="90">
        <v>0</v>
      </c>
      <c r="AF98" s="91">
        <v>0</v>
      </c>
      <c r="AG98" s="92">
        <v>0</v>
      </c>
      <c r="AH98" s="81">
        <v>0</v>
      </c>
      <c r="AI98" s="70">
        <f t="shared" si="137"/>
        <v>0</v>
      </c>
      <c r="AJ98" s="71">
        <v>0</v>
      </c>
      <c r="AK98" s="65"/>
      <c r="AL98" s="33"/>
      <c r="AM98" s="72"/>
      <c r="AN98" s="93"/>
      <c r="AO98" s="94"/>
      <c r="AP98" s="33" t="s">
        <v>58</v>
      </c>
      <c r="AQ98" s="65">
        <v>1</v>
      </c>
      <c r="AR98" s="73">
        <v>0</v>
      </c>
      <c r="AS98" s="48">
        <v>0</v>
      </c>
      <c r="AT98" s="75">
        <v>1</v>
      </c>
      <c r="AU98" s="76"/>
      <c r="AV98" s="65"/>
      <c r="AW98" s="33"/>
      <c r="AX98" s="32" t="s">
        <v>147</v>
      </c>
    </row>
    <row r="99" spans="1:286" s="79" customFormat="1" ht="82.5" customHeight="1" x14ac:dyDescent="0.25">
      <c r="A99" s="297"/>
      <c r="B99" s="30" t="s">
        <v>45</v>
      </c>
      <c r="C99" s="31" t="s">
        <v>180</v>
      </c>
      <c r="D99" s="32" t="s">
        <v>106</v>
      </c>
      <c r="E99" s="32" t="s">
        <v>48</v>
      </c>
      <c r="F99" s="51" t="s">
        <v>61</v>
      </c>
      <c r="G99" s="83"/>
      <c r="H99" s="84">
        <f>SUM(H97:H98)</f>
        <v>15</v>
      </c>
      <c r="I99" s="84">
        <f t="shared" ref="I99" si="197">SUM(I97:I98)</f>
        <v>0</v>
      </c>
      <c r="J99" s="84">
        <f t="shared" ref="J99:L99" si="198">SUM(J97:J98)</f>
        <v>0</v>
      </c>
      <c r="K99" s="84">
        <f t="shared" si="198"/>
        <v>3</v>
      </c>
      <c r="L99" s="84">
        <f t="shared" si="198"/>
        <v>6</v>
      </c>
      <c r="M99" s="84">
        <f>SUM(M97:M98)</f>
        <v>6</v>
      </c>
      <c r="N99" s="84">
        <f t="shared" si="146"/>
        <v>15</v>
      </c>
      <c r="O99" s="84">
        <f t="shared" ref="O99:P99" si="199">SUM(O97:O98)</f>
        <v>0</v>
      </c>
      <c r="P99" s="84">
        <f t="shared" si="199"/>
        <v>0</v>
      </c>
      <c r="Q99" s="96"/>
      <c r="R99" s="85"/>
      <c r="S99" s="53"/>
      <c r="T99" s="51"/>
      <c r="U99" s="84">
        <f t="shared" ref="U99:AJ99" si="200">SUM(U97:U98)</f>
        <v>15</v>
      </c>
      <c r="V99" s="84">
        <f t="shared" si="200"/>
        <v>0</v>
      </c>
      <c r="W99" s="84">
        <f t="shared" si="200"/>
        <v>0</v>
      </c>
      <c r="X99" s="84">
        <f t="shared" si="200"/>
        <v>3</v>
      </c>
      <c r="Y99" s="84">
        <f t="shared" si="200"/>
        <v>6</v>
      </c>
      <c r="Z99" s="84">
        <f t="shared" si="200"/>
        <v>6</v>
      </c>
      <c r="AA99" s="84">
        <f t="shared" si="136"/>
        <v>15</v>
      </c>
      <c r="AB99" s="84">
        <f t="shared" si="200"/>
        <v>0</v>
      </c>
      <c r="AC99" s="84">
        <f t="shared" si="200"/>
        <v>2</v>
      </c>
      <c r="AD99" s="84">
        <f t="shared" si="200"/>
        <v>0</v>
      </c>
      <c r="AE99" s="84">
        <f t="shared" si="200"/>
        <v>0</v>
      </c>
      <c r="AF99" s="84">
        <f t="shared" si="200"/>
        <v>0</v>
      </c>
      <c r="AG99" s="84">
        <f t="shared" si="200"/>
        <v>0</v>
      </c>
      <c r="AH99" s="84">
        <f t="shared" si="200"/>
        <v>0</v>
      </c>
      <c r="AI99" s="84">
        <f t="shared" si="137"/>
        <v>0</v>
      </c>
      <c r="AJ99" s="84">
        <f t="shared" si="200"/>
        <v>0</v>
      </c>
      <c r="AK99" s="83"/>
      <c r="AL99" s="85"/>
      <c r="AM99" s="83"/>
      <c r="AN99" s="96"/>
      <c r="AO99" s="96"/>
      <c r="AP99" s="51"/>
      <c r="AQ99" s="83">
        <f>SUM(AQ97:AQ98)</f>
        <v>2</v>
      </c>
      <c r="AR99" s="83">
        <f t="shared" ref="AR99:AT99" si="201">SUM(AR97:AR98)</f>
        <v>0</v>
      </c>
      <c r="AS99" s="83">
        <f t="shared" si="201"/>
        <v>0</v>
      </c>
      <c r="AT99" s="83">
        <f t="shared" si="201"/>
        <v>2</v>
      </c>
      <c r="AU99" s="87"/>
      <c r="AV99" s="83"/>
      <c r="AW99" s="51"/>
      <c r="AX99" s="51" t="s">
        <v>147</v>
      </c>
      <c r="AY99" s="77"/>
      <c r="AZ99" s="77"/>
      <c r="BA99" s="77"/>
      <c r="BB99" s="77"/>
      <c r="BC99" s="77"/>
      <c r="BD99" s="77"/>
      <c r="BE99" s="77"/>
      <c r="BF99" s="77"/>
      <c r="BG99" s="77"/>
      <c r="BH99" s="77"/>
      <c r="BI99" s="77"/>
      <c r="BJ99" s="77"/>
      <c r="BK99" s="77"/>
      <c r="BL99" s="77"/>
      <c r="BM99" s="77"/>
      <c r="BN99" s="77"/>
      <c r="BO99" s="77"/>
      <c r="BP99" s="77"/>
      <c r="BQ99" s="77"/>
      <c r="BR99" s="77"/>
      <c r="BS99" s="77"/>
      <c r="BT99" s="77"/>
      <c r="BU99" s="77"/>
      <c r="BV99" s="77"/>
      <c r="BW99" s="77"/>
      <c r="BX99" s="77"/>
      <c r="BY99" s="77"/>
      <c r="BZ99" s="77"/>
      <c r="CA99" s="77"/>
      <c r="CB99" s="77"/>
      <c r="CC99" s="77"/>
      <c r="CD99" s="77"/>
      <c r="CE99" s="77"/>
      <c r="CF99" s="77"/>
      <c r="CG99" s="77"/>
      <c r="CH99" s="77"/>
      <c r="CI99" s="77"/>
      <c r="CJ99" s="77"/>
      <c r="CK99" s="77"/>
      <c r="CL99" s="77"/>
      <c r="CM99" s="77"/>
      <c r="CN99" s="77"/>
      <c r="CO99" s="77"/>
      <c r="CP99" s="77"/>
      <c r="CQ99" s="77"/>
      <c r="CR99" s="77"/>
      <c r="CS99" s="77"/>
      <c r="CT99" s="77"/>
      <c r="CU99" s="77"/>
      <c r="CV99" s="77"/>
      <c r="CW99" s="77"/>
      <c r="CX99" s="77"/>
      <c r="CY99" s="77"/>
      <c r="CZ99" s="77"/>
      <c r="DA99" s="77"/>
      <c r="DB99" s="77"/>
      <c r="DC99" s="77"/>
      <c r="DD99" s="77"/>
      <c r="DE99" s="77"/>
      <c r="DF99" s="77"/>
      <c r="DG99" s="77"/>
      <c r="DH99" s="77"/>
      <c r="DI99" s="77"/>
      <c r="DJ99" s="77"/>
      <c r="DK99" s="77"/>
      <c r="DL99" s="77"/>
      <c r="DM99" s="77"/>
      <c r="DN99" s="77"/>
      <c r="DO99" s="77"/>
      <c r="DP99" s="77"/>
      <c r="DQ99" s="77"/>
      <c r="DR99" s="77"/>
      <c r="DS99" s="77"/>
      <c r="DT99" s="77"/>
      <c r="DU99" s="77"/>
      <c r="DV99" s="77"/>
      <c r="DW99" s="77"/>
      <c r="DX99" s="77"/>
      <c r="DY99" s="77"/>
      <c r="DZ99" s="77"/>
      <c r="EA99" s="77"/>
      <c r="EB99" s="77"/>
      <c r="EC99" s="77"/>
      <c r="ED99" s="77"/>
      <c r="EE99" s="77"/>
      <c r="EF99" s="77"/>
      <c r="EG99" s="77"/>
      <c r="EH99" s="77"/>
      <c r="EI99" s="77"/>
      <c r="EJ99" s="77"/>
      <c r="EK99" s="77"/>
      <c r="EL99" s="77"/>
      <c r="EM99" s="77"/>
      <c r="EN99" s="77"/>
      <c r="EO99" s="77"/>
      <c r="EP99" s="77"/>
      <c r="EQ99" s="77"/>
      <c r="ER99" s="77"/>
      <c r="ES99" s="77"/>
      <c r="ET99" s="77"/>
      <c r="EU99" s="77"/>
      <c r="EV99" s="77"/>
      <c r="EW99" s="77"/>
      <c r="EX99" s="77"/>
      <c r="EY99" s="77"/>
      <c r="EZ99" s="77"/>
      <c r="FA99" s="77"/>
      <c r="FB99" s="77"/>
      <c r="FC99" s="77"/>
      <c r="FD99" s="77"/>
      <c r="FE99" s="77"/>
      <c r="FF99" s="77"/>
      <c r="FG99" s="77"/>
      <c r="FH99" s="77"/>
      <c r="FI99" s="77"/>
      <c r="FJ99" s="77"/>
      <c r="FK99" s="77"/>
      <c r="FL99" s="77"/>
      <c r="FM99" s="77"/>
      <c r="FN99" s="77"/>
      <c r="FO99" s="77"/>
      <c r="FP99" s="77"/>
      <c r="FQ99" s="77"/>
      <c r="FR99" s="77"/>
      <c r="FS99" s="77"/>
      <c r="FT99" s="77"/>
      <c r="FU99" s="77"/>
      <c r="FV99" s="77"/>
      <c r="FW99" s="77"/>
      <c r="FX99" s="77"/>
      <c r="FY99" s="77"/>
      <c r="FZ99" s="77"/>
      <c r="GA99" s="77"/>
      <c r="GB99" s="77"/>
      <c r="GC99" s="77"/>
      <c r="GD99" s="77"/>
      <c r="GE99" s="77"/>
      <c r="GF99" s="77"/>
      <c r="GG99" s="77"/>
      <c r="GH99" s="77"/>
      <c r="GI99" s="77"/>
      <c r="GJ99" s="77"/>
      <c r="GK99" s="77"/>
      <c r="GL99" s="77"/>
      <c r="GM99" s="77"/>
      <c r="GN99" s="77"/>
      <c r="GO99" s="77"/>
      <c r="GP99" s="77"/>
      <c r="GQ99" s="77"/>
      <c r="GR99" s="77"/>
      <c r="GS99" s="77"/>
      <c r="GT99" s="77"/>
      <c r="GU99" s="77"/>
      <c r="GV99" s="77"/>
      <c r="GW99" s="77"/>
      <c r="GX99" s="77"/>
      <c r="GY99" s="77"/>
      <c r="GZ99" s="77"/>
      <c r="HA99" s="77"/>
      <c r="HB99" s="77"/>
      <c r="HC99" s="77"/>
      <c r="HD99" s="77"/>
      <c r="HE99" s="77"/>
      <c r="HF99" s="77"/>
      <c r="HG99" s="77"/>
      <c r="HH99" s="77"/>
      <c r="HI99" s="77"/>
      <c r="HJ99" s="77"/>
      <c r="HK99" s="77"/>
      <c r="HL99" s="77"/>
      <c r="HM99" s="77"/>
      <c r="HN99" s="77"/>
      <c r="HO99" s="77"/>
      <c r="HP99" s="77"/>
      <c r="HQ99" s="77"/>
      <c r="HR99" s="77"/>
      <c r="HS99" s="77"/>
      <c r="HT99" s="77"/>
      <c r="HU99" s="77"/>
      <c r="HV99" s="77"/>
      <c r="HW99" s="77"/>
      <c r="HX99" s="77"/>
      <c r="HY99" s="77"/>
      <c r="HZ99" s="77"/>
      <c r="IA99" s="77"/>
      <c r="IB99" s="77"/>
      <c r="IC99" s="77"/>
      <c r="ID99" s="77"/>
      <c r="IE99" s="77"/>
      <c r="IF99" s="77"/>
      <c r="IG99" s="77"/>
      <c r="IH99" s="77"/>
      <c r="II99" s="77"/>
      <c r="IJ99" s="77"/>
      <c r="IK99" s="77"/>
      <c r="IL99" s="77"/>
      <c r="IM99" s="77"/>
      <c r="IN99" s="77"/>
      <c r="IO99" s="77"/>
      <c r="IP99" s="77"/>
      <c r="IQ99" s="77"/>
      <c r="IR99" s="77"/>
      <c r="IS99" s="77"/>
      <c r="IT99" s="77"/>
      <c r="IU99" s="77"/>
      <c r="IV99" s="77"/>
      <c r="IW99" s="77"/>
      <c r="IX99" s="77"/>
      <c r="IY99" s="77"/>
      <c r="IZ99" s="77"/>
      <c r="JA99" s="77"/>
      <c r="JB99" s="77"/>
      <c r="JC99" s="77"/>
      <c r="JD99" s="77"/>
      <c r="JE99" s="77"/>
      <c r="JF99" s="77"/>
      <c r="JG99" s="77"/>
      <c r="JH99" s="77"/>
      <c r="JI99" s="77"/>
      <c r="JJ99" s="77"/>
      <c r="JK99" s="77"/>
      <c r="JL99" s="77"/>
      <c r="JM99" s="77"/>
      <c r="JN99" s="77"/>
      <c r="JO99" s="77"/>
      <c r="JP99" s="77"/>
      <c r="JQ99" s="77"/>
      <c r="JR99" s="77"/>
      <c r="JS99" s="77"/>
      <c r="JT99" s="77"/>
      <c r="JU99" s="77"/>
      <c r="JV99" s="77"/>
      <c r="JW99" s="77"/>
      <c r="JX99" s="77"/>
      <c r="JY99" s="77"/>
      <c r="JZ99" s="77"/>
    </row>
    <row r="100" spans="1:286" s="77" customFormat="1" ht="82.5" customHeight="1" x14ac:dyDescent="0.25">
      <c r="A100" s="297"/>
      <c r="B100" s="30" t="s">
        <v>45</v>
      </c>
      <c r="C100" s="31" t="s">
        <v>181</v>
      </c>
      <c r="D100" s="32" t="s">
        <v>106</v>
      </c>
      <c r="E100" s="32" t="s">
        <v>48</v>
      </c>
      <c r="F100" s="244" t="s">
        <v>49</v>
      </c>
      <c r="G100" s="65" t="s">
        <v>178</v>
      </c>
      <c r="H100" s="65">
        <v>10</v>
      </c>
      <c r="I100" s="89">
        <v>0</v>
      </c>
      <c r="J100" s="90">
        <v>0</v>
      </c>
      <c r="K100" s="91">
        <v>0</v>
      </c>
      <c r="L100" s="92">
        <v>5</v>
      </c>
      <c r="M100" s="81">
        <v>5</v>
      </c>
      <c r="N100" s="70">
        <f t="shared" si="146"/>
        <v>10</v>
      </c>
      <c r="O100" s="71">
        <v>0</v>
      </c>
      <c r="P100" s="71"/>
      <c r="Q100" s="93"/>
      <c r="R100" s="33" t="s">
        <v>179</v>
      </c>
      <c r="S100" s="36" t="s">
        <v>182</v>
      </c>
      <c r="T100" s="33" t="s">
        <v>77</v>
      </c>
      <c r="U100" s="65">
        <v>10</v>
      </c>
      <c r="V100" s="197">
        <v>0</v>
      </c>
      <c r="W100" s="90">
        <v>0</v>
      </c>
      <c r="X100" s="91">
        <v>0</v>
      </c>
      <c r="Y100" s="92">
        <v>5</v>
      </c>
      <c r="Z100" s="81">
        <v>5</v>
      </c>
      <c r="AA100" s="70">
        <f t="shared" si="136"/>
        <v>10</v>
      </c>
      <c r="AB100" s="35">
        <v>0</v>
      </c>
      <c r="AC100" s="65">
        <v>10</v>
      </c>
      <c r="AD100" s="197">
        <v>0</v>
      </c>
      <c r="AE100" s="90">
        <v>0</v>
      </c>
      <c r="AF100" s="91">
        <v>0</v>
      </c>
      <c r="AG100" s="92">
        <v>5</v>
      </c>
      <c r="AH100" s="81">
        <v>5</v>
      </c>
      <c r="AI100" s="70">
        <f t="shared" si="137"/>
        <v>10</v>
      </c>
      <c r="AJ100" s="71">
        <v>0</v>
      </c>
      <c r="AK100" s="65"/>
      <c r="AL100" s="33" t="s">
        <v>183</v>
      </c>
      <c r="AM100" s="72">
        <v>90</v>
      </c>
      <c r="AN100" s="93"/>
      <c r="AO100" s="94"/>
      <c r="AP100" s="33" t="s">
        <v>184</v>
      </c>
      <c r="AQ100" s="65">
        <v>10</v>
      </c>
      <c r="AR100" s="73">
        <v>0</v>
      </c>
      <c r="AS100" s="48">
        <v>0</v>
      </c>
      <c r="AT100" s="75">
        <v>10</v>
      </c>
      <c r="AU100" s="76"/>
      <c r="AV100" s="65"/>
      <c r="AW100" s="33"/>
      <c r="AX100" s="32" t="s">
        <v>147</v>
      </c>
    </row>
    <row r="101" spans="1:286" s="77" customFormat="1" ht="82.5" customHeight="1" x14ac:dyDescent="0.25">
      <c r="A101" s="297"/>
      <c r="B101" s="30" t="s">
        <v>45</v>
      </c>
      <c r="C101" s="31" t="s">
        <v>181</v>
      </c>
      <c r="D101" s="32" t="s">
        <v>106</v>
      </c>
      <c r="E101" s="32" t="s">
        <v>48</v>
      </c>
      <c r="F101" s="245"/>
      <c r="G101" s="65" t="s">
        <v>50</v>
      </c>
      <c r="H101" s="65">
        <v>15</v>
      </c>
      <c r="I101" s="89">
        <v>0</v>
      </c>
      <c r="J101" s="90">
        <v>0</v>
      </c>
      <c r="K101" s="91">
        <v>10</v>
      </c>
      <c r="L101" s="92">
        <v>2</v>
      </c>
      <c r="M101" s="81">
        <v>4</v>
      </c>
      <c r="N101" s="70">
        <f t="shared" si="146"/>
        <v>16</v>
      </c>
      <c r="O101" s="71">
        <v>0</v>
      </c>
      <c r="P101" s="71"/>
      <c r="Q101" s="93"/>
      <c r="R101" s="33" t="s">
        <v>179</v>
      </c>
      <c r="S101" s="36" t="s">
        <v>182</v>
      </c>
      <c r="T101" s="33" t="s">
        <v>77</v>
      </c>
      <c r="U101" s="65">
        <v>20</v>
      </c>
      <c r="V101" s="197">
        <v>0</v>
      </c>
      <c r="W101" s="90">
        <v>0</v>
      </c>
      <c r="X101" s="91">
        <v>10</v>
      </c>
      <c r="Y101" s="92">
        <v>2</v>
      </c>
      <c r="Z101" s="81">
        <v>4</v>
      </c>
      <c r="AA101" s="70">
        <f t="shared" si="136"/>
        <v>16</v>
      </c>
      <c r="AB101" s="35">
        <v>0</v>
      </c>
      <c r="AC101" s="65">
        <v>15</v>
      </c>
      <c r="AD101" s="197">
        <v>0</v>
      </c>
      <c r="AE101" s="90">
        <v>0</v>
      </c>
      <c r="AF101" s="91">
        <v>10</v>
      </c>
      <c r="AG101" s="92">
        <v>2</v>
      </c>
      <c r="AH101" s="81">
        <v>4</v>
      </c>
      <c r="AI101" s="70">
        <f t="shared" si="137"/>
        <v>16</v>
      </c>
      <c r="AJ101" s="71">
        <v>0</v>
      </c>
      <c r="AK101" s="65"/>
      <c r="AL101" s="33" t="s">
        <v>183</v>
      </c>
      <c r="AM101" s="72">
        <v>10</v>
      </c>
      <c r="AN101" s="93"/>
      <c r="AO101" s="94"/>
      <c r="AP101" s="33" t="s">
        <v>184</v>
      </c>
      <c r="AQ101" s="65">
        <v>16</v>
      </c>
      <c r="AR101" s="73">
        <v>0</v>
      </c>
      <c r="AS101" s="48">
        <v>0</v>
      </c>
      <c r="AT101" s="75">
        <v>16</v>
      </c>
      <c r="AU101" s="76"/>
      <c r="AV101" s="65"/>
      <c r="AW101" s="33"/>
      <c r="AX101" s="32" t="s">
        <v>147</v>
      </c>
    </row>
    <row r="102" spans="1:286" s="77" customFormat="1" ht="82.5" customHeight="1" x14ac:dyDescent="0.25">
      <c r="A102" s="297"/>
      <c r="B102" s="30" t="s">
        <v>185</v>
      </c>
      <c r="C102" s="31" t="s">
        <v>181</v>
      </c>
      <c r="D102" s="32" t="s">
        <v>106</v>
      </c>
      <c r="E102" s="32" t="s">
        <v>48</v>
      </c>
      <c r="F102" s="246"/>
      <c r="G102" s="33" t="s">
        <v>172</v>
      </c>
      <c r="H102" s="65">
        <v>5</v>
      </c>
      <c r="I102" s="89">
        <v>0</v>
      </c>
      <c r="J102" s="90">
        <v>0</v>
      </c>
      <c r="K102" s="91">
        <v>2</v>
      </c>
      <c r="L102" s="92">
        <v>0</v>
      </c>
      <c r="M102" s="81">
        <v>3</v>
      </c>
      <c r="N102" s="70">
        <f t="shared" si="146"/>
        <v>5</v>
      </c>
      <c r="O102" s="71">
        <v>0</v>
      </c>
      <c r="P102" s="71"/>
      <c r="Q102" s="93"/>
      <c r="R102" s="33" t="s">
        <v>179</v>
      </c>
      <c r="S102" s="36" t="s">
        <v>182</v>
      </c>
      <c r="T102" s="33" t="s">
        <v>77</v>
      </c>
      <c r="U102" s="65">
        <v>5</v>
      </c>
      <c r="V102" s="197">
        <v>0</v>
      </c>
      <c r="W102" s="90">
        <v>0</v>
      </c>
      <c r="X102" s="91">
        <v>2</v>
      </c>
      <c r="Y102" s="92">
        <v>0</v>
      </c>
      <c r="Z102" s="81">
        <v>3</v>
      </c>
      <c r="AA102" s="70">
        <f t="shared" si="136"/>
        <v>5</v>
      </c>
      <c r="AB102" s="35"/>
      <c r="AC102" s="65">
        <v>5</v>
      </c>
      <c r="AD102" s="197">
        <v>0</v>
      </c>
      <c r="AE102" s="90">
        <v>0</v>
      </c>
      <c r="AF102" s="91">
        <v>2</v>
      </c>
      <c r="AG102" s="92">
        <v>0</v>
      </c>
      <c r="AH102" s="81">
        <v>3</v>
      </c>
      <c r="AI102" s="70">
        <f t="shared" si="137"/>
        <v>5</v>
      </c>
      <c r="AJ102" s="71">
        <v>0</v>
      </c>
      <c r="AK102" s="65"/>
      <c r="AL102" s="33"/>
      <c r="AM102" s="72"/>
      <c r="AN102" s="93"/>
      <c r="AO102" s="94"/>
      <c r="AP102" s="33" t="s">
        <v>184</v>
      </c>
      <c r="AQ102" s="65">
        <v>5</v>
      </c>
      <c r="AR102" s="73">
        <v>0</v>
      </c>
      <c r="AS102" s="48">
        <v>0</v>
      </c>
      <c r="AT102" s="75">
        <v>5</v>
      </c>
      <c r="AU102" s="76"/>
      <c r="AV102" s="65"/>
      <c r="AW102" s="33"/>
      <c r="AX102" s="32" t="s">
        <v>147</v>
      </c>
    </row>
    <row r="103" spans="1:286" s="79" customFormat="1" ht="82.5" customHeight="1" x14ac:dyDescent="0.25">
      <c r="A103" s="297"/>
      <c r="B103" s="30" t="s">
        <v>45</v>
      </c>
      <c r="C103" s="31" t="s">
        <v>181</v>
      </c>
      <c r="D103" s="32" t="s">
        <v>106</v>
      </c>
      <c r="E103" s="32" t="s">
        <v>48</v>
      </c>
      <c r="F103" s="51" t="s">
        <v>61</v>
      </c>
      <c r="G103" s="83"/>
      <c r="H103" s="84">
        <f>SUM(H100:H102)</f>
        <v>30</v>
      </c>
      <c r="I103" s="84">
        <f t="shared" ref="I103" si="202">SUM(I100:I102)</f>
        <v>0</v>
      </c>
      <c r="J103" s="84">
        <f t="shared" ref="J103:M103" si="203">SUM(J100:J102)</f>
        <v>0</v>
      </c>
      <c r="K103" s="84">
        <f t="shared" si="203"/>
        <v>12</v>
      </c>
      <c r="L103" s="84">
        <f t="shared" si="203"/>
        <v>7</v>
      </c>
      <c r="M103" s="84">
        <f t="shared" si="203"/>
        <v>12</v>
      </c>
      <c r="N103" s="84">
        <f t="shared" si="146"/>
        <v>31</v>
      </c>
      <c r="O103" s="84">
        <f>SUM(O100:O102)</f>
        <v>0</v>
      </c>
      <c r="P103" s="84">
        <f t="shared" ref="P103" si="204">SUM(P100:P101)</f>
        <v>0</v>
      </c>
      <c r="Q103" s="96"/>
      <c r="R103" s="85"/>
      <c r="S103" s="53"/>
      <c r="T103" s="51"/>
      <c r="U103" s="84">
        <f>SUM(U100:U102)</f>
        <v>35</v>
      </c>
      <c r="V103" s="84">
        <f t="shared" ref="V103" si="205">SUM(V100:V102)</f>
        <v>0</v>
      </c>
      <c r="W103" s="84">
        <f t="shared" ref="W103:Z103" si="206">SUM(W100:W102)</f>
        <v>0</v>
      </c>
      <c r="X103" s="84">
        <f t="shared" si="206"/>
        <v>12</v>
      </c>
      <c r="Y103" s="84">
        <f t="shared" si="206"/>
        <v>7</v>
      </c>
      <c r="Z103" s="84">
        <f t="shared" si="206"/>
        <v>12</v>
      </c>
      <c r="AA103" s="84">
        <f t="shared" si="136"/>
        <v>31</v>
      </c>
      <c r="AB103" s="84">
        <f t="shared" ref="AB103" si="207">SUM(AB100:AB101)</f>
        <v>0</v>
      </c>
      <c r="AC103" s="84">
        <f>SUM(AC100:AC102)</f>
        <v>30</v>
      </c>
      <c r="AD103" s="84">
        <f t="shared" ref="AD103" si="208">SUM(AD100:AD102)</f>
        <v>0</v>
      </c>
      <c r="AE103" s="84">
        <f t="shared" ref="AE103:AH103" si="209">SUM(AE100:AE102)</f>
        <v>0</v>
      </c>
      <c r="AF103" s="84">
        <f t="shared" si="209"/>
        <v>12</v>
      </c>
      <c r="AG103" s="84">
        <f t="shared" si="209"/>
        <v>7</v>
      </c>
      <c r="AH103" s="84">
        <f t="shared" si="209"/>
        <v>12</v>
      </c>
      <c r="AI103" s="84">
        <f t="shared" si="137"/>
        <v>31</v>
      </c>
      <c r="AJ103" s="84">
        <f>SUM(AJ100:AJ102)</f>
        <v>0</v>
      </c>
      <c r="AK103" s="83"/>
      <c r="AL103" s="85"/>
      <c r="AM103" s="83">
        <f>SUBTOTAL(9,AM100:AM102)</f>
        <v>100</v>
      </c>
      <c r="AN103" s="96"/>
      <c r="AO103" s="96"/>
      <c r="AP103" s="51"/>
      <c r="AQ103" s="83">
        <f>SUM(AQ100:AQ102)</f>
        <v>31</v>
      </c>
      <c r="AR103" s="83">
        <f t="shared" ref="AR103:AS103" si="210">SUM(AR100:AR101)</f>
        <v>0</v>
      </c>
      <c r="AS103" s="83">
        <f t="shared" si="210"/>
        <v>0</v>
      </c>
      <c r="AT103" s="83">
        <f>SUM(AT100:AT102)</f>
        <v>31</v>
      </c>
      <c r="AU103" s="87"/>
      <c r="AV103" s="83"/>
      <c r="AW103" s="51"/>
      <c r="AX103" s="51" t="s">
        <v>147</v>
      </c>
      <c r="AY103" s="77"/>
      <c r="AZ103" s="77"/>
      <c r="BA103" s="77"/>
      <c r="BB103" s="77"/>
      <c r="BC103" s="77"/>
      <c r="BD103" s="77"/>
      <c r="BE103" s="77"/>
      <c r="BF103" s="77"/>
      <c r="BG103" s="77"/>
      <c r="BH103" s="77"/>
      <c r="BI103" s="77"/>
      <c r="BJ103" s="77"/>
      <c r="BK103" s="77"/>
      <c r="BL103" s="77"/>
      <c r="BM103" s="77"/>
      <c r="BN103" s="77"/>
      <c r="BO103" s="77"/>
      <c r="BP103" s="77"/>
      <c r="BQ103" s="77"/>
      <c r="BR103" s="77"/>
      <c r="BS103" s="77"/>
      <c r="BT103" s="77"/>
      <c r="BU103" s="77"/>
      <c r="BV103" s="77"/>
      <c r="BW103" s="77"/>
      <c r="BX103" s="77"/>
      <c r="BY103" s="77"/>
      <c r="BZ103" s="77"/>
      <c r="CA103" s="77"/>
      <c r="CB103" s="77"/>
      <c r="CC103" s="77"/>
      <c r="CD103" s="77"/>
      <c r="CE103" s="77"/>
      <c r="CF103" s="77"/>
      <c r="CG103" s="77"/>
      <c r="CH103" s="77"/>
      <c r="CI103" s="77"/>
      <c r="CJ103" s="77"/>
      <c r="CK103" s="77"/>
      <c r="CL103" s="77"/>
      <c r="CM103" s="77"/>
      <c r="CN103" s="77"/>
      <c r="CO103" s="77"/>
      <c r="CP103" s="77"/>
      <c r="CQ103" s="77"/>
      <c r="CR103" s="77"/>
      <c r="CS103" s="77"/>
      <c r="CT103" s="77"/>
      <c r="CU103" s="77"/>
      <c r="CV103" s="77"/>
      <c r="CW103" s="77"/>
      <c r="CX103" s="77"/>
      <c r="CY103" s="77"/>
      <c r="CZ103" s="77"/>
      <c r="DA103" s="77"/>
      <c r="DB103" s="77"/>
      <c r="DC103" s="77"/>
      <c r="DD103" s="77"/>
      <c r="DE103" s="77"/>
      <c r="DF103" s="77"/>
      <c r="DG103" s="77"/>
      <c r="DH103" s="77"/>
      <c r="DI103" s="77"/>
      <c r="DJ103" s="77"/>
      <c r="DK103" s="77"/>
      <c r="DL103" s="77"/>
      <c r="DM103" s="77"/>
      <c r="DN103" s="77"/>
      <c r="DO103" s="77"/>
      <c r="DP103" s="77"/>
      <c r="DQ103" s="77"/>
      <c r="DR103" s="77"/>
      <c r="DS103" s="77"/>
      <c r="DT103" s="77"/>
      <c r="DU103" s="77"/>
      <c r="DV103" s="77"/>
      <c r="DW103" s="77"/>
      <c r="DX103" s="77"/>
      <c r="DY103" s="77"/>
      <c r="DZ103" s="77"/>
      <c r="EA103" s="77"/>
      <c r="EB103" s="77"/>
      <c r="EC103" s="77"/>
      <c r="ED103" s="77"/>
      <c r="EE103" s="77"/>
      <c r="EF103" s="77"/>
      <c r="EG103" s="77"/>
      <c r="EH103" s="77"/>
      <c r="EI103" s="77"/>
      <c r="EJ103" s="77"/>
      <c r="EK103" s="77"/>
      <c r="EL103" s="77"/>
      <c r="EM103" s="77"/>
      <c r="EN103" s="77"/>
      <c r="EO103" s="77"/>
      <c r="EP103" s="77"/>
      <c r="EQ103" s="77"/>
      <c r="ER103" s="77"/>
      <c r="ES103" s="77"/>
      <c r="ET103" s="77"/>
      <c r="EU103" s="77"/>
      <c r="EV103" s="77"/>
      <c r="EW103" s="77"/>
      <c r="EX103" s="77"/>
      <c r="EY103" s="77"/>
      <c r="EZ103" s="77"/>
      <c r="FA103" s="77"/>
      <c r="FB103" s="77"/>
      <c r="FC103" s="77"/>
      <c r="FD103" s="77"/>
      <c r="FE103" s="77"/>
      <c r="FF103" s="77"/>
      <c r="FG103" s="77"/>
      <c r="FH103" s="77"/>
      <c r="FI103" s="77"/>
      <c r="FJ103" s="77"/>
      <c r="FK103" s="77"/>
      <c r="FL103" s="77"/>
      <c r="FM103" s="77"/>
      <c r="FN103" s="77"/>
      <c r="FO103" s="77"/>
      <c r="FP103" s="77"/>
      <c r="FQ103" s="77"/>
      <c r="FR103" s="77"/>
      <c r="FS103" s="77"/>
      <c r="FT103" s="77"/>
      <c r="FU103" s="77"/>
      <c r="FV103" s="77"/>
      <c r="FW103" s="77"/>
      <c r="FX103" s="77"/>
      <c r="FY103" s="77"/>
      <c r="FZ103" s="77"/>
      <c r="GA103" s="77"/>
      <c r="GB103" s="77"/>
      <c r="GC103" s="77"/>
      <c r="GD103" s="77"/>
      <c r="GE103" s="77"/>
      <c r="GF103" s="77"/>
      <c r="GG103" s="77"/>
      <c r="GH103" s="77"/>
      <c r="GI103" s="77"/>
      <c r="GJ103" s="77"/>
      <c r="GK103" s="77"/>
      <c r="GL103" s="77"/>
      <c r="GM103" s="77"/>
      <c r="GN103" s="77"/>
      <c r="GO103" s="77"/>
      <c r="GP103" s="77"/>
      <c r="GQ103" s="77"/>
      <c r="GR103" s="77"/>
      <c r="GS103" s="77"/>
      <c r="GT103" s="77"/>
      <c r="GU103" s="77"/>
      <c r="GV103" s="77"/>
      <c r="GW103" s="77"/>
      <c r="GX103" s="77"/>
      <c r="GY103" s="77"/>
      <c r="GZ103" s="77"/>
      <c r="HA103" s="77"/>
      <c r="HB103" s="77"/>
      <c r="HC103" s="77"/>
      <c r="HD103" s="77"/>
      <c r="HE103" s="77"/>
      <c r="HF103" s="77"/>
      <c r="HG103" s="77"/>
      <c r="HH103" s="77"/>
      <c r="HI103" s="77"/>
      <c r="HJ103" s="77"/>
      <c r="HK103" s="77"/>
      <c r="HL103" s="77"/>
      <c r="HM103" s="77"/>
      <c r="HN103" s="77"/>
      <c r="HO103" s="77"/>
      <c r="HP103" s="77"/>
      <c r="HQ103" s="77"/>
      <c r="HR103" s="77"/>
      <c r="HS103" s="77"/>
      <c r="HT103" s="77"/>
      <c r="HU103" s="77"/>
      <c r="HV103" s="77"/>
      <c r="HW103" s="77"/>
      <c r="HX103" s="77"/>
      <c r="HY103" s="77"/>
      <c r="HZ103" s="77"/>
      <c r="IA103" s="77"/>
      <c r="IB103" s="77"/>
      <c r="IC103" s="77"/>
      <c r="ID103" s="77"/>
      <c r="IE103" s="77"/>
      <c r="IF103" s="77"/>
      <c r="IG103" s="77"/>
      <c r="IH103" s="77"/>
      <c r="II103" s="77"/>
      <c r="IJ103" s="77"/>
      <c r="IK103" s="77"/>
      <c r="IL103" s="77"/>
      <c r="IM103" s="77"/>
      <c r="IN103" s="77"/>
      <c r="IO103" s="77"/>
      <c r="IP103" s="77"/>
      <c r="IQ103" s="77"/>
      <c r="IR103" s="77"/>
      <c r="IS103" s="77"/>
      <c r="IT103" s="77"/>
      <c r="IU103" s="77"/>
      <c r="IV103" s="77"/>
      <c r="IW103" s="77"/>
      <c r="IX103" s="77"/>
      <c r="IY103" s="77"/>
      <c r="IZ103" s="77"/>
      <c r="JA103" s="77"/>
      <c r="JB103" s="77"/>
      <c r="JC103" s="77"/>
      <c r="JD103" s="77"/>
      <c r="JE103" s="77"/>
      <c r="JF103" s="77"/>
      <c r="JG103" s="77"/>
      <c r="JH103" s="77"/>
      <c r="JI103" s="77"/>
      <c r="JJ103" s="77"/>
      <c r="JK103" s="77"/>
      <c r="JL103" s="77"/>
      <c r="JM103" s="77"/>
      <c r="JN103" s="77"/>
      <c r="JO103" s="77"/>
      <c r="JP103" s="77"/>
      <c r="JQ103" s="77"/>
      <c r="JR103" s="77"/>
      <c r="JS103" s="77"/>
      <c r="JT103" s="77"/>
      <c r="JU103" s="77"/>
      <c r="JV103" s="77"/>
      <c r="JW103" s="77"/>
      <c r="JX103" s="77"/>
      <c r="JY103" s="77"/>
      <c r="JZ103" s="77"/>
    </row>
    <row r="104" spans="1:286" s="77" customFormat="1" ht="82.5" customHeight="1" x14ac:dyDescent="0.25">
      <c r="A104" s="297"/>
      <c r="B104" s="30" t="s">
        <v>45</v>
      </c>
      <c r="C104" s="31" t="s">
        <v>186</v>
      </c>
      <c r="D104" s="32" t="s">
        <v>106</v>
      </c>
      <c r="E104" s="32" t="s">
        <v>48</v>
      </c>
      <c r="F104" s="217" t="s">
        <v>49</v>
      </c>
      <c r="G104" s="65" t="s">
        <v>178</v>
      </c>
      <c r="H104" s="65">
        <v>10</v>
      </c>
      <c r="I104" s="89">
        <v>0</v>
      </c>
      <c r="J104" s="90">
        <v>0</v>
      </c>
      <c r="K104" s="91">
        <v>0</v>
      </c>
      <c r="L104" s="92">
        <v>5</v>
      </c>
      <c r="M104" s="81">
        <v>5</v>
      </c>
      <c r="N104" s="70">
        <f t="shared" si="146"/>
        <v>10</v>
      </c>
      <c r="O104" s="71">
        <v>0</v>
      </c>
      <c r="P104" s="71"/>
      <c r="Q104" s="93"/>
      <c r="R104" s="33" t="s">
        <v>179</v>
      </c>
      <c r="S104" s="36" t="s">
        <v>100</v>
      </c>
      <c r="T104" s="33" t="s">
        <v>77</v>
      </c>
      <c r="U104" s="65">
        <v>10</v>
      </c>
      <c r="V104" s="197">
        <v>0</v>
      </c>
      <c r="W104" s="90">
        <v>0</v>
      </c>
      <c r="X104" s="91">
        <v>0</v>
      </c>
      <c r="Y104" s="92">
        <v>5</v>
      </c>
      <c r="Z104" s="81">
        <v>5</v>
      </c>
      <c r="AA104" s="70">
        <f t="shared" si="136"/>
        <v>10</v>
      </c>
      <c r="AB104" s="35">
        <v>0</v>
      </c>
      <c r="AC104" s="65">
        <v>1</v>
      </c>
      <c r="AD104" s="197">
        <v>0</v>
      </c>
      <c r="AE104" s="90">
        <v>0</v>
      </c>
      <c r="AF104" s="91">
        <v>0</v>
      </c>
      <c r="AG104" s="92">
        <v>0</v>
      </c>
      <c r="AH104" s="81">
        <v>0</v>
      </c>
      <c r="AI104" s="70">
        <f t="shared" si="137"/>
        <v>0</v>
      </c>
      <c r="AJ104" s="71">
        <v>0</v>
      </c>
      <c r="AK104" s="65"/>
      <c r="AL104" s="33"/>
      <c r="AM104" s="72"/>
      <c r="AN104" s="93"/>
      <c r="AO104" s="94"/>
      <c r="AP104" s="33" t="s">
        <v>58</v>
      </c>
      <c r="AQ104" s="65">
        <v>1</v>
      </c>
      <c r="AR104" s="73">
        <v>0</v>
      </c>
      <c r="AS104" s="48">
        <v>0</v>
      </c>
      <c r="AT104" s="75">
        <v>1</v>
      </c>
      <c r="AU104" s="76"/>
      <c r="AV104" s="65"/>
      <c r="AW104" s="33"/>
      <c r="AX104" s="32" t="s">
        <v>147</v>
      </c>
    </row>
    <row r="105" spans="1:286" s="77" customFormat="1" ht="82.5" customHeight="1" x14ac:dyDescent="0.25">
      <c r="A105" s="297"/>
      <c r="B105" s="30" t="s">
        <v>45</v>
      </c>
      <c r="C105" s="31" t="s">
        <v>186</v>
      </c>
      <c r="D105" s="32" t="s">
        <v>106</v>
      </c>
      <c r="E105" s="32" t="s">
        <v>48</v>
      </c>
      <c r="F105" s="217"/>
      <c r="G105" s="65" t="s">
        <v>50</v>
      </c>
      <c r="H105" s="65">
        <v>25</v>
      </c>
      <c r="I105" s="89">
        <v>0</v>
      </c>
      <c r="J105" s="90">
        <v>0</v>
      </c>
      <c r="K105" s="91">
        <v>0</v>
      </c>
      <c r="L105" s="92">
        <v>2</v>
      </c>
      <c r="M105" s="81">
        <v>10</v>
      </c>
      <c r="N105" s="70">
        <f t="shared" si="146"/>
        <v>12</v>
      </c>
      <c r="O105" s="71">
        <v>0</v>
      </c>
      <c r="P105" s="71"/>
      <c r="Q105" s="93"/>
      <c r="R105" s="33" t="s">
        <v>179</v>
      </c>
      <c r="S105" s="36" t="s">
        <v>187</v>
      </c>
      <c r="T105" s="33" t="s">
        <v>77</v>
      </c>
      <c r="U105" s="65">
        <v>25</v>
      </c>
      <c r="V105" s="197">
        <v>0</v>
      </c>
      <c r="W105" s="90">
        <v>0</v>
      </c>
      <c r="X105" s="91">
        <v>0</v>
      </c>
      <c r="Y105" s="92">
        <v>10</v>
      </c>
      <c r="Z105" s="81">
        <v>10</v>
      </c>
      <c r="AA105" s="70">
        <f t="shared" si="136"/>
        <v>20</v>
      </c>
      <c r="AB105" s="35">
        <v>0</v>
      </c>
      <c r="AC105" s="65">
        <v>1</v>
      </c>
      <c r="AD105" s="197">
        <v>0</v>
      </c>
      <c r="AE105" s="90">
        <v>0</v>
      </c>
      <c r="AF105" s="91">
        <v>0</v>
      </c>
      <c r="AG105" s="92">
        <v>0</v>
      </c>
      <c r="AH105" s="81">
        <v>0</v>
      </c>
      <c r="AI105" s="70">
        <f t="shared" si="137"/>
        <v>0</v>
      </c>
      <c r="AJ105" s="71">
        <v>0</v>
      </c>
      <c r="AK105" s="65"/>
      <c r="AL105" s="33"/>
      <c r="AM105" s="72"/>
      <c r="AN105" s="93"/>
      <c r="AO105" s="94"/>
      <c r="AP105" s="33" t="s">
        <v>58</v>
      </c>
      <c r="AQ105" s="65">
        <v>1</v>
      </c>
      <c r="AR105" s="73">
        <v>0</v>
      </c>
      <c r="AS105" s="48">
        <v>0</v>
      </c>
      <c r="AT105" s="75">
        <v>1</v>
      </c>
      <c r="AU105" s="76"/>
      <c r="AV105" s="65"/>
      <c r="AW105" s="33"/>
      <c r="AX105" s="32" t="s">
        <v>147</v>
      </c>
    </row>
    <row r="106" spans="1:286" s="79" customFormat="1" ht="82.5" customHeight="1" x14ac:dyDescent="0.25">
      <c r="A106" s="297"/>
      <c r="B106" s="30" t="s">
        <v>45</v>
      </c>
      <c r="C106" s="31" t="s">
        <v>186</v>
      </c>
      <c r="D106" s="32" t="s">
        <v>106</v>
      </c>
      <c r="E106" s="32" t="s">
        <v>48</v>
      </c>
      <c r="F106" s="51" t="s">
        <v>61</v>
      </c>
      <c r="G106" s="83"/>
      <c r="H106" s="84">
        <f>SUM(H104:H105)</f>
        <v>35</v>
      </c>
      <c r="I106" s="84">
        <f t="shared" ref="I106" si="211">SUM(I104:I105)</f>
        <v>0</v>
      </c>
      <c r="J106" s="84">
        <f t="shared" ref="J106:M106" si="212">SUM(J104:J105)</f>
        <v>0</v>
      </c>
      <c r="K106" s="84">
        <f t="shared" si="212"/>
        <v>0</v>
      </c>
      <c r="L106" s="84">
        <f t="shared" si="212"/>
        <v>7</v>
      </c>
      <c r="M106" s="84">
        <f t="shared" si="212"/>
        <v>15</v>
      </c>
      <c r="N106" s="84">
        <f t="shared" si="146"/>
        <v>22</v>
      </c>
      <c r="O106" s="84">
        <f t="shared" ref="O106:P106" si="213">SUM(O104:O105)</f>
        <v>0</v>
      </c>
      <c r="P106" s="84">
        <f t="shared" si="213"/>
        <v>0</v>
      </c>
      <c r="Q106" s="96"/>
      <c r="R106" s="85"/>
      <c r="S106" s="53"/>
      <c r="T106" s="51"/>
      <c r="U106" s="84">
        <f t="shared" ref="U106:AJ106" si="214">SUM(U104:U105)</f>
        <v>35</v>
      </c>
      <c r="V106" s="84">
        <f t="shared" si="214"/>
        <v>0</v>
      </c>
      <c r="W106" s="84">
        <f t="shared" si="214"/>
        <v>0</v>
      </c>
      <c r="X106" s="84">
        <f t="shared" si="214"/>
        <v>0</v>
      </c>
      <c r="Y106" s="84">
        <f t="shared" si="214"/>
        <v>15</v>
      </c>
      <c r="Z106" s="84">
        <f t="shared" si="214"/>
        <v>15</v>
      </c>
      <c r="AA106" s="84">
        <f t="shared" si="136"/>
        <v>30</v>
      </c>
      <c r="AB106" s="84">
        <f t="shared" si="214"/>
        <v>0</v>
      </c>
      <c r="AC106" s="84">
        <f t="shared" si="214"/>
        <v>2</v>
      </c>
      <c r="AD106" s="84">
        <f t="shared" si="214"/>
        <v>0</v>
      </c>
      <c r="AE106" s="84">
        <f t="shared" si="214"/>
        <v>0</v>
      </c>
      <c r="AF106" s="84">
        <f t="shared" si="214"/>
        <v>0</v>
      </c>
      <c r="AG106" s="84">
        <f t="shared" si="214"/>
        <v>0</v>
      </c>
      <c r="AH106" s="84">
        <f t="shared" si="214"/>
        <v>0</v>
      </c>
      <c r="AI106" s="84">
        <f t="shared" si="137"/>
        <v>0</v>
      </c>
      <c r="AJ106" s="84">
        <f t="shared" si="214"/>
        <v>0</v>
      </c>
      <c r="AK106" s="83"/>
      <c r="AL106" s="85"/>
      <c r="AM106" s="83"/>
      <c r="AN106" s="96"/>
      <c r="AO106" s="96"/>
      <c r="AP106" s="51"/>
      <c r="AQ106" s="83">
        <f>SUM(AQ104:AQ105)</f>
        <v>2</v>
      </c>
      <c r="AR106" s="83">
        <f t="shared" ref="AR106:AT106" si="215">SUM(AR104:AR105)</f>
        <v>0</v>
      </c>
      <c r="AS106" s="83">
        <f t="shared" si="215"/>
        <v>0</v>
      </c>
      <c r="AT106" s="83">
        <f t="shared" si="215"/>
        <v>2</v>
      </c>
      <c r="AU106" s="87"/>
      <c r="AV106" s="83"/>
      <c r="AW106" s="51"/>
      <c r="AX106" s="51" t="s">
        <v>147</v>
      </c>
      <c r="AY106" s="77"/>
      <c r="AZ106" s="77"/>
      <c r="BA106" s="77"/>
      <c r="BB106" s="77"/>
      <c r="BC106" s="77"/>
      <c r="BD106" s="77"/>
      <c r="BE106" s="77"/>
      <c r="BF106" s="77"/>
      <c r="BG106" s="77"/>
      <c r="BH106" s="77"/>
      <c r="BI106" s="77"/>
      <c r="BJ106" s="77"/>
      <c r="BK106" s="77"/>
      <c r="BL106" s="77"/>
      <c r="BM106" s="77"/>
      <c r="BN106" s="77"/>
      <c r="BO106" s="77"/>
      <c r="BP106" s="77"/>
      <c r="BQ106" s="77"/>
      <c r="BR106" s="77"/>
      <c r="BS106" s="77"/>
      <c r="BT106" s="77"/>
      <c r="BU106" s="77"/>
      <c r="BV106" s="77"/>
      <c r="BW106" s="77"/>
      <c r="BX106" s="77"/>
      <c r="BY106" s="77"/>
      <c r="BZ106" s="77"/>
      <c r="CA106" s="77"/>
      <c r="CB106" s="77"/>
      <c r="CC106" s="77"/>
      <c r="CD106" s="77"/>
      <c r="CE106" s="77"/>
      <c r="CF106" s="77"/>
      <c r="CG106" s="77"/>
      <c r="CH106" s="77"/>
      <c r="CI106" s="77"/>
      <c r="CJ106" s="77"/>
      <c r="CK106" s="77"/>
      <c r="CL106" s="77"/>
      <c r="CM106" s="77"/>
      <c r="CN106" s="77"/>
      <c r="CO106" s="77"/>
      <c r="CP106" s="77"/>
      <c r="CQ106" s="77"/>
      <c r="CR106" s="77"/>
      <c r="CS106" s="77"/>
      <c r="CT106" s="77"/>
      <c r="CU106" s="77"/>
      <c r="CV106" s="77"/>
      <c r="CW106" s="77"/>
      <c r="CX106" s="77"/>
      <c r="CY106" s="77"/>
      <c r="CZ106" s="77"/>
      <c r="DA106" s="77"/>
      <c r="DB106" s="77"/>
      <c r="DC106" s="77"/>
      <c r="DD106" s="77"/>
      <c r="DE106" s="77"/>
      <c r="DF106" s="77"/>
      <c r="DG106" s="77"/>
      <c r="DH106" s="77"/>
      <c r="DI106" s="77"/>
      <c r="DJ106" s="77"/>
      <c r="DK106" s="77"/>
      <c r="DL106" s="77"/>
      <c r="DM106" s="77"/>
      <c r="DN106" s="77"/>
      <c r="DO106" s="77"/>
      <c r="DP106" s="77"/>
      <c r="DQ106" s="77"/>
      <c r="DR106" s="77"/>
      <c r="DS106" s="77"/>
      <c r="DT106" s="77"/>
      <c r="DU106" s="77"/>
      <c r="DV106" s="77"/>
      <c r="DW106" s="77"/>
      <c r="DX106" s="77"/>
      <c r="DY106" s="77"/>
      <c r="DZ106" s="77"/>
      <c r="EA106" s="77"/>
      <c r="EB106" s="77"/>
      <c r="EC106" s="77"/>
      <c r="ED106" s="77"/>
      <c r="EE106" s="77"/>
      <c r="EF106" s="77"/>
      <c r="EG106" s="77"/>
      <c r="EH106" s="77"/>
      <c r="EI106" s="77"/>
      <c r="EJ106" s="77"/>
      <c r="EK106" s="77"/>
      <c r="EL106" s="77"/>
      <c r="EM106" s="77"/>
      <c r="EN106" s="77"/>
      <c r="EO106" s="77"/>
      <c r="EP106" s="77"/>
      <c r="EQ106" s="77"/>
      <c r="ER106" s="77"/>
      <c r="ES106" s="77"/>
      <c r="ET106" s="77"/>
      <c r="EU106" s="77"/>
      <c r="EV106" s="77"/>
      <c r="EW106" s="77"/>
      <c r="EX106" s="77"/>
      <c r="EY106" s="77"/>
      <c r="EZ106" s="77"/>
      <c r="FA106" s="77"/>
      <c r="FB106" s="77"/>
      <c r="FC106" s="77"/>
      <c r="FD106" s="77"/>
      <c r="FE106" s="77"/>
      <c r="FF106" s="77"/>
      <c r="FG106" s="77"/>
      <c r="FH106" s="77"/>
      <c r="FI106" s="77"/>
      <c r="FJ106" s="77"/>
      <c r="FK106" s="77"/>
      <c r="FL106" s="77"/>
      <c r="FM106" s="77"/>
      <c r="FN106" s="77"/>
      <c r="FO106" s="77"/>
      <c r="FP106" s="77"/>
      <c r="FQ106" s="77"/>
      <c r="FR106" s="77"/>
      <c r="FS106" s="77"/>
      <c r="FT106" s="77"/>
      <c r="FU106" s="77"/>
      <c r="FV106" s="77"/>
      <c r="FW106" s="77"/>
      <c r="FX106" s="77"/>
      <c r="FY106" s="77"/>
      <c r="FZ106" s="77"/>
      <c r="GA106" s="77"/>
      <c r="GB106" s="77"/>
      <c r="GC106" s="77"/>
      <c r="GD106" s="77"/>
      <c r="GE106" s="77"/>
      <c r="GF106" s="77"/>
      <c r="GG106" s="77"/>
      <c r="GH106" s="77"/>
      <c r="GI106" s="77"/>
      <c r="GJ106" s="77"/>
      <c r="GK106" s="77"/>
      <c r="GL106" s="77"/>
      <c r="GM106" s="77"/>
      <c r="GN106" s="77"/>
      <c r="GO106" s="77"/>
      <c r="GP106" s="77"/>
      <c r="GQ106" s="77"/>
      <c r="GR106" s="77"/>
      <c r="GS106" s="77"/>
      <c r="GT106" s="77"/>
      <c r="GU106" s="77"/>
      <c r="GV106" s="77"/>
      <c r="GW106" s="77"/>
      <c r="GX106" s="77"/>
      <c r="GY106" s="77"/>
      <c r="GZ106" s="77"/>
      <c r="HA106" s="77"/>
      <c r="HB106" s="77"/>
      <c r="HC106" s="77"/>
      <c r="HD106" s="77"/>
      <c r="HE106" s="77"/>
      <c r="HF106" s="77"/>
      <c r="HG106" s="77"/>
      <c r="HH106" s="77"/>
      <c r="HI106" s="77"/>
      <c r="HJ106" s="77"/>
      <c r="HK106" s="77"/>
      <c r="HL106" s="77"/>
      <c r="HM106" s="77"/>
      <c r="HN106" s="77"/>
      <c r="HO106" s="77"/>
      <c r="HP106" s="77"/>
      <c r="HQ106" s="77"/>
      <c r="HR106" s="77"/>
      <c r="HS106" s="77"/>
      <c r="HT106" s="77"/>
      <c r="HU106" s="77"/>
      <c r="HV106" s="77"/>
      <c r="HW106" s="77"/>
      <c r="HX106" s="77"/>
      <c r="HY106" s="77"/>
      <c r="HZ106" s="77"/>
      <c r="IA106" s="77"/>
      <c r="IB106" s="77"/>
      <c r="IC106" s="77"/>
      <c r="ID106" s="77"/>
      <c r="IE106" s="77"/>
      <c r="IF106" s="77"/>
      <c r="IG106" s="77"/>
      <c r="IH106" s="77"/>
      <c r="II106" s="77"/>
      <c r="IJ106" s="77"/>
      <c r="IK106" s="77"/>
      <c r="IL106" s="77"/>
      <c r="IM106" s="77"/>
      <c r="IN106" s="77"/>
      <c r="IO106" s="77"/>
      <c r="IP106" s="77"/>
      <c r="IQ106" s="77"/>
      <c r="IR106" s="77"/>
      <c r="IS106" s="77"/>
      <c r="IT106" s="77"/>
      <c r="IU106" s="77"/>
      <c r="IV106" s="77"/>
      <c r="IW106" s="77"/>
      <c r="IX106" s="77"/>
      <c r="IY106" s="77"/>
      <c r="IZ106" s="77"/>
      <c r="JA106" s="77"/>
      <c r="JB106" s="77"/>
      <c r="JC106" s="77"/>
      <c r="JD106" s="77"/>
      <c r="JE106" s="77"/>
      <c r="JF106" s="77"/>
      <c r="JG106" s="77"/>
      <c r="JH106" s="77"/>
      <c r="JI106" s="77"/>
      <c r="JJ106" s="77"/>
      <c r="JK106" s="77"/>
      <c r="JL106" s="77"/>
      <c r="JM106" s="77"/>
      <c r="JN106" s="77"/>
      <c r="JO106" s="77"/>
      <c r="JP106" s="77"/>
      <c r="JQ106" s="77"/>
      <c r="JR106" s="77"/>
      <c r="JS106" s="77"/>
      <c r="JT106" s="77"/>
      <c r="JU106" s="77"/>
      <c r="JV106" s="77"/>
      <c r="JW106" s="77"/>
      <c r="JX106" s="77"/>
      <c r="JY106" s="77"/>
      <c r="JZ106" s="77"/>
    </row>
    <row r="107" spans="1:286" s="77" customFormat="1" ht="82.5" customHeight="1" x14ac:dyDescent="0.25">
      <c r="A107" s="297"/>
      <c r="B107" s="30" t="s">
        <v>45</v>
      </c>
      <c r="C107" s="31" t="s">
        <v>188</v>
      </c>
      <c r="D107" s="32" t="s">
        <v>106</v>
      </c>
      <c r="E107" s="32" t="s">
        <v>48</v>
      </c>
      <c r="F107" s="217" t="s">
        <v>49</v>
      </c>
      <c r="G107" s="65" t="s">
        <v>178</v>
      </c>
      <c r="H107" s="65">
        <v>10</v>
      </c>
      <c r="I107" s="89">
        <v>0</v>
      </c>
      <c r="J107" s="90">
        <v>0</v>
      </c>
      <c r="K107" s="91">
        <v>0</v>
      </c>
      <c r="L107" s="92">
        <v>0</v>
      </c>
      <c r="M107" s="81">
        <v>5</v>
      </c>
      <c r="N107" s="70">
        <f t="shared" si="146"/>
        <v>5</v>
      </c>
      <c r="O107" s="71">
        <v>0</v>
      </c>
      <c r="P107" s="71"/>
      <c r="Q107" s="93"/>
      <c r="R107" s="33" t="s">
        <v>179</v>
      </c>
      <c r="S107" s="36" t="s">
        <v>189</v>
      </c>
      <c r="T107" s="33" t="s">
        <v>77</v>
      </c>
      <c r="U107" s="65">
        <v>10</v>
      </c>
      <c r="V107" s="197">
        <v>0</v>
      </c>
      <c r="W107" s="90">
        <v>0</v>
      </c>
      <c r="X107" s="91">
        <v>0</v>
      </c>
      <c r="Y107" s="92">
        <v>5</v>
      </c>
      <c r="Z107" s="81">
        <v>5</v>
      </c>
      <c r="AA107" s="70">
        <f t="shared" si="136"/>
        <v>10</v>
      </c>
      <c r="AB107" s="35">
        <v>0</v>
      </c>
      <c r="AC107" s="65">
        <v>1</v>
      </c>
      <c r="AD107" s="197">
        <v>0</v>
      </c>
      <c r="AE107" s="90">
        <v>0</v>
      </c>
      <c r="AF107" s="91">
        <v>0</v>
      </c>
      <c r="AG107" s="92">
        <v>0</v>
      </c>
      <c r="AH107" s="81">
        <v>0</v>
      </c>
      <c r="AI107" s="70">
        <f t="shared" si="137"/>
        <v>0</v>
      </c>
      <c r="AJ107" s="71">
        <v>0</v>
      </c>
      <c r="AK107" s="65"/>
      <c r="AL107" s="33"/>
      <c r="AM107" s="72"/>
      <c r="AN107" s="93"/>
      <c r="AO107" s="94"/>
      <c r="AP107" s="33" t="s">
        <v>58</v>
      </c>
      <c r="AQ107" s="65">
        <v>1</v>
      </c>
      <c r="AR107" s="73">
        <v>0</v>
      </c>
      <c r="AS107" s="48">
        <v>0</v>
      </c>
      <c r="AT107" s="75">
        <v>1</v>
      </c>
      <c r="AU107" s="76"/>
      <c r="AV107" s="65"/>
      <c r="AW107" s="33"/>
      <c r="AX107" s="32" t="s">
        <v>147</v>
      </c>
    </row>
    <row r="108" spans="1:286" s="77" customFormat="1" ht="82.5" customHeight="1" x14ac:dyDescent="0.25">
      <c r="A108" s="297"/>
      <c r="B108" s="30" t="s">
        <v>45</v>
      </c>
      <c r="C108" s="31" t="s">
        <v>188</v>
      </c>
      <c r="D108" s="32" t="s">
        <v>106</v>
      </c>
      <c r="E108" s="32" t="s">
        <v>48</v>
      </c>
      <c r="F108" s="217"/>
      <c r="G108" s="65" t="s">
        <v>50</v>
      </c>
      <c r="H108" s="65">
        <v>25</v>
      </c>
      <c r="I108" s="89">
        <v>0</v>
      </c>
      <c r="J108" s="90">
        <v>0</v>
      </c>
      <c r="K108" s="91">
        <v>10</v>
      </c>
      <c r="L108" s="92">
        <v>2</v>
      </c>
      <c r="M108" s="81">
        <v>5</v>
      </c>
      <c r="N108" s="70">
        <f t="shared" si="146"/>
        <v>17</v>
      </c>
      <c r="O108" s="71">
        <v>0</v>
      </c>
      <c r="P108" s="71"/>
      <c r="Q108" s="93"/>
      <c r="R108" s="33" t="s">
        <v>179</v>
      </c>
      <c r="S108" s="36" t="s">
        <v>190</v>
      </c>
      <c r="T108" s="33" t="s">
        <v>77</v>
      </c>
      <c r="U108" s="65">
        <v>25</v>
      </c>
      <c r="V108" s="197">
        <v>0</v>
      </c>
      <c r="W108" s="90">
        <v>0</v>
      </c>
      <c r="X108" s="91">
        <v>10</v>
      </c>
      <c r="Y108" s="92">
        <v>10</v>
      </c>
      <c r="Z108" s="81">
        <v>5</v>
      </c>
      <c r="AA108" s="70">
        <f t="shared" si="136"/>
        <v>25</v>
      </c>
      <c r="AB108" s="35">
        <v>0</v>
      </c>
      <c r="AC108" s="65">
        <v>1</v>
      </c>
      <c r="AD108" s="197">
        <v>0</v>
      </c>
      <c r="AE108" s="90">
        <v>0</v>
      </c>
      <c r="AF108" s="91">
        <v>0</v>
      </c>
      <c r="AG108" s="92">
        <v>0</v>
      </c>
      <c r="AH108" s="81">
        <v>0</v>
      </c>
      <c r="AI108" s="70">
        <f t="shared" si="137"/>
        <v>0</v>
      </c>
      <c r="AJ108" s="71">
        <v>0</v>
      </c>
      <c r="AK108" s="65"/>
      <c r="AL108" s="33"/>
      <c r="AM108" s="72"/>
      <c r="AN108" s="93"/>
      <c r="AO108" s="94"/>
      <c r="AP108" s="33" t="s">
        <v>58</v>
      </c>
      <c r="AQ108" s="65">
        <v>1</v>
      </c>
      <c r="AR108" s="73">
        <v>0</v>
      </c>
      <c r="AS108" s="48">
        <v>0</v>
      </c>
      <c r="AT108" s="75">
        <v>1</v>
      </c>
      <c r="AU108" s="76"/>
      <c r="AV108" s="65"/>
      <c r="AW108" s="33"/>
      <c r="AX108" s="32" t="s">
        <v>147</v>
      </c>
    </row>
    <row r="109" spans="1:286" s="79" customFormat="1" ht="82.5" customHeight="1" x14ac:dyDescent="0.25">
      <c r="A109" s="297"/>
      <c r="B109" s="30" t="s">
        <v>45</v>
      </c>
      <c r="C109" s="31" t="s">
        <v>188</v>
      </c>
      <c r="D109" s="32" t="s">
        <v>106</v>
      </c>
      <c r="E109" s="32" t="s">
        <v>48</v>
      </c>
      <c r="F109" s="51" t="s">
        <v>61</v>
      </c>
      <c r="G109" s="83"/>
      <c r="H109" s="84">
        <f>SUM(H107:H108)</f>
        <v>35</v>
      </c>
      <c r="I109" s="84">
        <f t="shared" ref="I109" si="216">SUM(I107:I108)</f>
        <v>0</v>
      </c>
      <c r="J109" s="84">
        <f t="shared" ref="J109:M109" si="217">SUM(J107:J108)</f>
        <v>0</v>
      </c>
      <c r="K109" s="84">
        <f t="shared" si="217"/>
        <v>10</v>
      </c>
      <c r="L109" s="84">
        <f t="shared" si="217"/>
        <v>2</v>
      </c>
      <c r="M109" s="84">
        <f t="shared" si="217"/>
        <v>10</v>
      </c>
      <c r="N109" s="84">
        <f t="shared" si="146"/>
        <v>22</v>
      </c>
      <c r="O109" s="84">
        <f t="shared" ref="O109:P109" si="218">SUM(O107:O108)</f>
        <v>0</v>
      </c>
      <c r="P109" s="84">
        <f t="shared" si="218"/>
        <v>0</v>
      </c>
      <c r="Q109" s="96"/>
      <c r="R109" s="85"/>
      <c r="S109" s="53"/>
      <c r="T109" s="51"/>
      <c r="U109" s="84">
        <f t="shared" ref="U109:AJ109" si="219">SUM(U107:U108)</f>
        <v>35</v>
      </c>
      <c r="V109" s="84">
        <f t="shared" si="219"/>
        <v>0</v>
      </c>
      <c r="W109" s="84">
        <f t="shared" si="219"/>
        <v>0</v>
      </c>
      <c r="X109" s="84">
        <f t="shared" si="219"/>
        <v>10</v>
      </c>
      <c r="Y109" s="84">
        <f t="shared" si="219"/>
        <v>15</v>
      </c>
      <c r="Z109" s="84">
        <f t="shared" si="219"/>
        <v>10</v>
      </c>
      <c r="AA109" s="84">
        <f t="shared" si="136"/>
        <v>35</v>
      </c>
      <c r="AB109" s="84">
        <f t="shared" si="219"/>
        <v>0</v>
      </c>
      <c r="AC109" s="84">
        <f t="shared" si="219"/>
        <v>2</v>
      </c>
      <c r="AD109" s="84">
        <f t="shared" si="219"/>
        <v>0</v>
      </c>
      <c r="AE109" s="84">
        <f t="shared" si="219"/>
        <v>0</v>
      </c>
      <c r="AF109" s="84">
        <f t="shared" si="219"/>
        <v>0</v>
      </c>
      <c r="AG109" s="84">
        <f t="shared" si="219"/>
        <v>0</v>
      </c>
      <c r="AH109" s="84">
        <f t="shared" si="219"/>
        <v>0</v>
      </c>
      <c r="AI109" s="84">
        <f t="shared" si="137"/>
        <v>0</v>
      </c>
      <c r="AJ109" s="84">
        <f t="shared" si="219"/>
        <v>0</v>
      </c>
      <c r="AK109" s="83"/>
      <c r="AL109" s="85"/>
      <c r="AM109" s="83"/>
      <c r="AN109" s="96"/>
      <c r="AO109" s="96"/>
      <c r="AP109" s="51"/>
      <c r="AQ109" s="83">
        <f>SUM(AQ107:AQ108)</f>
        <v>2</v>
      </c>
      <c r="AR109" s="83">
        <f t="shared" ref="AR109:AT109" si="220">SUM(AR107:AR108)</f>
        <v>0</v>
      </c>
      <c r="AS109" s="83">
        <f t="shared" si="220"/>
        <v>0</v>
      </c>
      <c r="AT109" s="83">
        <f t="shared" si="220"/>
        <v>2</v>
      </c>
      <c r="AU109" s="87"/>
      <c r="AV109" s="83"/>
      <c r="AW109" s="51"/>
      <c r="AX109" s="51" t="s">
        <v>147</v>
      </c>
      <c r="AY109" s="77"/>
      <c r="AZ109" s="77"/>
      <c r="BA109" s="77"/>
      <c r="BB109" s="77"/>
      <c r="BC109" s="77"/>
      <c r="BD109" s="77"/>
      <c r="BE109" s="77"/>
      <c r="BF109" s="77"/>
      <c r="BG109" s="77"/>
      <c r="BH109" s="77"/>
      <c r="BI109" s="77"/>
      <c r="BJ109" s="77"/>
      <c r="BK109" s="77"/>
      <c r="BL109" s="77"/>
      <c r="BM109" s="77"/>
      <c r="BN109" s="77"/>
      <c r="BO109" s="77"/>
      <c r="BP109" s="77"/>
      <c r="BQ109" s="77"/>
      <c r="BR109" s="77"/>
      <c r="BS109" s="77"/>
      <c r="BT109" s="77"/>
      <c r="BU109" s="77"/>
      <c r="BV109" s="77"/>
      <c r="BW109" s="77"/>
      <c r="BX109" s="77"/>
      <c r="BY109" s="77"/>
      <c r="BZ109" s="77"/>
      <c r="CA109" s="77"/>
      <c r="CB109" s="77"/>
      <c r="CC109" s="77"/>
      <c r="CD109" s="77"/>
      <c r="CE109" s="77"/>
      <c r="CF109" s="77"/>
      <c r="CG109" s="77"/>
      <c r="CH109" s="77"/>
      <c r="CI109" s="77"/>
      <c r="CJ109" s="77"/>
      <c r="CK109" s="77"/>
      <c r="CL109" s="77"/>
      <c r="CM109" s="77"/>
      <c r="CN109" s="77"/>
      <c r="CO109" s="77"/>
      <c r="CP109" s="77"/>
      <c r="CQ109" s="77"/>
      <c r="CR109" s="77"/>
      <c r="CS109" s="77"/>
      <c r="CT109" s="77"/>
      <c r="CU109" s="77"/>
      <c r="CV109" s="77"/>
      <c r="CW109" s="77"/>
      <c r="CX109" s="77"/>
      <c r="CY109" s="77"/>
      <c r="CZ109" s="77"/>
      <c r="DA109" s="77"/>
      <c r="DB109" s="77"/>
      <c r="DC109" s="77"/>
      <c r="DD109" s="77"/>
      <c r="DE109" s="77"/>
      <c r="DF109" s="77"/>
      <c r="DG109" s="77"/>
      <c r="DH109" s="77"/>
      <c r="DI109" s="77"/>
      <c r="DJ109" s="77"/>
      <c r="DK109" s="77"/>
      <c r="DL109" s="77"/>
      <c r="DM109" s="77"/>
      <c r="DN109" s="77"/>
      <c r="DO109" s="77"/>
      <c r="DP109" s="77"/>
      <c r="DQ109" s="77"/>
      <c r="DR109" s="77"/>
      <c r="DS109" s="77"/>
      <c r="DT109" s="77"/>
      <c r="DU109" s="77"/>
      <c r="DV109" s="77"/>
      <c r="DW109" s="77"/>
      <c r="DX109" s="77"/>
      <c r="DY109" s="77"/>
      <c r="DZ109" s="77"/>
      <c r="EA109" s="77"/>
      <c r="EB109" s="77"/>
      <c r="EC109" s="77"/>
      <c r="ED109" s="77"/>
      <c r="EE109" s="77"/>
      <c r="EF109" s="77"/>
      <c r="EG109" s="77"/>
      <c r="EH109" s="77"/>
      <c r="EI109" s="77"/>
      <c r="EJ109" s="77"/>
      <c r="EK109" s="77"/>
      <c r="EL109" s="77"/>
      <c r="EM109" s="77"/>
      <c r="EN109" s="77"/>
      <c r="EO109" s="77"/>
      <c r="EP109" s="77"/>
      <c r="EQ109" s="77"/>
      <c r="ER109" s="77"/>
      <c r="ES109" s="77"/>
      <c r="ET109" s="77"/>
      <c r="EU109" s="77"/>
      <c r="EV109" s="77"/>
      <c r="EW109" s="77"/>
      <c r="EX109" s="77"/>
      <c r="EY109" s="77"/>
      <c r="EZ109" s="77"/>
      <c r="FA109" s="77"/>
      <c r="FB109" s="77"/>
      <c r="FC109" s="77"/>
      <c r="FD109" s="77"/>
      <c r="FE109" s="77"/>
      <c r="FF109" s="77"/>
      <c r="FG109" s="77"/>
      <c r="FH109" s="77"/>
      <c r="FI109" s="77"/>
      <c r="FJ109" s="77"/>
      <c r="FK109" s="77"/>
      <c r="FL109" s="77"/>
      <c r="FM109" s="77"/>
      <c r="FN109" s="77"/>
      <c r="FO109" s="77"/>
      <c r="FP109" s="77"/>
      <c r="FQ109" s="77"/>
      <c r="FR109" s="77"/>
      <c r="FS109" s="77"/>
      <c r="FT109" s="77"/>
      <c r="FU109" s="77"/>
      <c r="FV109" s="77"/>
      <c r="FW109" s="77"/>
      <c r="FX109" s="77"/>
      <c r="FY109" s="77"/>
      <c r="FZ109" s="77"/>
      <c r="GA109" s="77"/>
      <c r="GB109" s="77"/>
      <c r="GC109" s="77"/>
      <c r="GD109" s="77"/>
      <c r="GE109" s="77"/>
      <c r="GF109" s="77"/>
      <c r="GG109" s="77"/>
      <c r="GH109" s="77"/>
      <c r="GI109" s="77"/>
      <c r="GJ109" s="77"/>
      <c r="GK109" s="77"/>
      <c r="GL109" s="77"/>
      <c r="GM109" s="77"/>
      <c r="GN109" s="77"/>
      <c r="GO109" s="77"/>
      <c r="GP109" s="77"/>
      <c r="GQ109" s="77"/>
      <c r="GR109" s="77"/>
      <c r="GS109" s="77"/>
      <c r="GT109" s="77"/>
      <c r="GU109" s="77"/>
      <c r="GV109" s="77"/>
      <c r="GW109" s="77"/>
      <c r="GX109" s="77"/>
      <c r="GY109" s="77"/>
      <c r="GZ109" s="77"/>
      <c r="HA109" s="77"/>
      <c r="HB109" s="77"/>
      <c r="HC109" s="77"/>
      <c r="HD109" s="77"/>
      <c r="HE109" s="77"/>
      <c r="HF109" s="77"/>
      <c r="HG109" s="77"/>
      <c r="HH109" s="77"/>
      <c r="HI109" s="77"/>
      <c r="HJ109" s="77"/>
      <c r="HK109" s="77"/>
      <c r="HL109" s="77"/>
      <c r="HM109" s="77"/>
      <c r="HN109" s="77"/>
      <c r="HO109" s="77"/>
      <c r="HP109" s="77"/>
      <c r="HQ109" s="77"/>
      <c r="HR109" s="77"/>
      <c r="HS109" s="77"/>
      <c r="HT109" s="77"/>
      <c r="HU109" s="77"/>
      <c r="HV109" s="77"/>
      <c r="HW109" s="77"/>
      <c r="HX109" s="77"/>
      <c r="HY109" s="77"/>
      <c r="HZ109" s="77"/>
      <c r="IA109" s="77"/>
      <c r="IB109" s="77"/>
      <c r="IC109" s="77"/>
      <c r="ID109" s="77"/>
      <c r="IE109" s="77"/>
      <c r="IF109" s="77"/>
      <c r="IG109" s="77"/>
      <c r="IH109" s="77"/>
      <c r="II109" s="77"/>
      <c r="IJ109" s="77"/>
      <c r="IK109" s="77"/>
      <c r="IL109" s="77"/>
      <c r="IM109" s="77"/>
      <c r="IN109" s="77"/>
      <c r="IO109" s="77"/>
      <c r="IP109" s="77"/>
      <c r="IQ109" s="77"/>
      <c r="IR109" s="77"/>
      <c r="IS109" s="77"/>
      <c r="IT109" s="77"/>
      <c r="IU109" s="77"/>
      <c r="IV109" s="77"/>
      <c r="IW109" s="77"/>
      <c r="IX109" s="77"/>
      <c r="IY109" s="77"/>
      <c r="IZ109" s="77"/>
      <c r="JA109" s="77"/>
      <c r="JB109" s="77"/>
      <c r="JC109" s="77"/>
      <c r="JD109" s="77"/>
      <c r="JE109" s="77"/>
      <c r="JF109" s="77"/>
      <c r="JG109" s="77"/>
      <c r="JH109" s="77"/>
      <c r="JI109" s="77"/>
      <c r="JJ109" s="77"/>
      <c r="JK109" s="77"/>
      <c r="JL109" s="77"/>
      <c r="JM109" s="77"/>
      <c r="JN109" s="77"/>
      <c r="JO109" s="77"/>
      <c r="JP109" s="77"/>
      <c r="JQ109" s="77"/>
      <c r="JR109" s="77"/>
      <c r="JS109" s="77"/>
      <c r="JT109" s="77"/>
      <c r="JU109" s="77"/>
      <c r="JV109" s="77"/>
      <c r="JW109" s="77"/>
      <c r="JX109" s="77"/>
      <c r="JY109" s="77"/>
      <c r="JZ109" s="77"/>
    </row>
    <row r="110" spans="1:286" s="95" customFormat="1" ht="82.5" customHeight="1" x14ac:dyDescent="0.25">
      <c r="A110" s="297"/>
      <c r="B110" s="30" t="s">
        <v>45</v>
      </c>
      <c r="C110" s="31" t="s">
        <v>191</v>
      </c>
      <c r="D110" s="32" t="s">
        <v>106</v>
      </c>
      <c r="E110" s="32" t="s">
        <v>64</v>
      </c>
      <c r="F110" s="65" t="s">
        <v>49</v>
      </c>
      <c r="G110" s="33" t="s">
        <v>139</v>
      </c>
      <c r="H110" s="65">
        <v>10</v>
      </c>
      <c r="I110" s="89">
        <v>0</v>
      </c>
      <c r="J110" s="90">
        <v>0</v>
      </c>
      <c r="K110" s="91">
        <v>5</v>
      </c>
      <c r="L110" s="92">
        <v>1</v>
      </c>
      <c r="M110" s="81">
        <v>3</v>
      </c>
      <c r="N110" s="70">
        <f t="shared" si="146"/>
        <v>9</v>
      </c>
      <c r="O110" s="71">
        <v>0</v>
      </c>
      <c r="P110" s="71"/>
      <c r="Q110" s="65"/>
      <c r="R110" s="33" t="s">
        <v>51</v>
      </c>
      <c r="S110" s="36" t="s">
        <v>93</v>
      </c>
      <c r="T110" s="109" t="s">
        <v>77</v>
      </c>
      <c r="U110" s="65">
        <v>10</v>
      </c>
      <c r="V110" s="197">
        <v>0</v>
      </c>
      <c r="W110" s="90">
        <v>0</v>
      </c>
      <c r="X110" s="91">
        <v>5</v>
      </c>
      <c r="Y110" s="92">
        <v>2</v>
      </c>
      <c r="Z110" s="81">
        <v>3</v>
      </c>
      <c r="AA110" s="70">
        <f t="shared" si="136"/>
        <v>10</v>
      </c>
      <c r="AB110" s="35">
        <v>0</v>
      </c>
      <c r="AC110" s="65">
        <v>5</v>
      </c>
      <c r="AD110" s="197">
        <v>0</v>
      </c>
      <c r="AE110" s="90">
        <v>0</v>
      </c>
      <c r="AF110" s="91">
        <v>0</v>
      </c>
      <c r="AG110" s="92">
        <v>0</v>
      </c>
      <c r="AH110" s="81">
        <v>0</v>
      </c>
      <c r="AI110" s="70">
        <f t="shared" si="137"/>
        <v>0</v>
      </c>
      <c r="AJ110" s="71">
        <v>0</v>
      </c>
      <c r="AK110" s="65"/>
      <c r="AL110" s="65"/>
      <c r="AM110" s="72"/>
      <c r="AN110" s="65"/>
      <c r="AO110" s="72"/>
      <c r="AP110" s="33" t="s">
        <v>58</v>
      </c>
      <c r="AQ110" s="65">
        <v>5</v>
      </c>
      <c r="AR110" s="73">
        <v>0</v>
      </c>
      <c r="AS110" s="74">
        <v>5</v>
      </c>
      <c r="AT110" s="75">
        <v>0</v>
      </c>
      <c r="AU110" s="76"/>
      <c r="AV110" s="65"/>
      <c r="AW110" s="33"/>
      <c r="AX110" s="32" t="s">
        <v>108</v>
      </c>
    </row>
    <row r="111" spans="1:286" s="79" customFormat="1" ht="82.5" customHeight="1" x14ac:dyDescent="0.25">
      <c r="A111" s="297"/>
      <c r="B111" s="30" t="s">
        <v>45</v>
      </c>
      <c r="C111" s="31" t="s">
        <v>191</v>
      </c>
      <c r="D111" s="32" t="s">
        <v>106</v>
      </c>
      <c r="E111" s="32" t="s">
        <v>64</v>
      </c>
      <c r="F111" s="84" t="s">
        <v>61</v>
      </c>
      <c r="G111" s="83"/>
      <c r="H111" s="84">
        <f>SUM(H110)</f>
        <v>10</v>
      </c>
      <c r="I111" s="84">
        <f t="shared" ref="I111" si="221">SUM(I110)</f>
        <v>0</v>
      </c>
      <c r="J111" s="84">
        <f t="shared" ref="J111:M111" si="222">SUM(J110)</f>
        <v>0</v>
      </c>
      <c r="K111" s="84">
        <f t="shared" si="222"/>
        <v>5</v>
      </c>
      <c r="L111" s="84">
        <f t="shared" si="222"/>
        <v>1</v>
      </c>
      <c r="M111" s="84">
        <f t="shared" si="222"/>
        <v>3</v>
      </c>
      <c r="N111" s="84">
        <f t="shared" si="146"/>
        <v>9</v>
      </c>
      <c r="O111" s="84">
        <f t="shared" ref="O111" si="223">SUM(O110)</f>
        <v>0</v>
      </c>
      <c r="P111" s="84">
        <v>0</v>
      </c>
      <c r="Q111" s="96"/>
      <c r="R111" s="85"/>
      <c r="S111" s="53"/>
      <c r="T111" s="51"/>
      <c r="U111" s="84">
        <f t="shared" ref="U111:AJ111" si="224">SUM(U110)</f>
        <v>10</v>
      </c>
      <c r="V111" s="84">
        <f t="shared" si="224"/>
        <v>0</v>
      </c>
      <c r="W111" s="84">
        <f t="shared" si="224"/>
        <v>0</v>
      </c>
      <c r="X111" s="84">
        <f t="shared" si="224"/>
        <v>5</v>
      </c>
      <c r="Y111" s="84">
        <f t="shared" si="224"/>
        <v>2</v>
      </c>
      <c r="Z111" s="84">
        <f t="shared" si="224"/>
        <v>3</v>
      </c>
      <c r="AA111" s="84">
        <f t="shared" si="136"/>
        <v>10</v>
      </c>
      <c r="AB111" s="84">
        <f t="shared" si="224"/>
        <v>0</v>
      </c>
      <c r="AC111" s="84">
        <f t="shared" si="224"/>
        <v>5</v>
      </c>
      <c r="AD111" s="84">
        <f t="shared" si="224"/>
        <v>0</v>
      </c>
      <c r="AE111" s="84">
        <f t="shared" si="224"/>
        <v>0</v>
      </c>
      <c r="AF111" s="84">
        <f t="shared" si="224"/>
        <v>0</v>
      </c>
      <c r="AG111" s="84">
        <f t="shared" si="224"/>
        <v>0</v>
      </c>
      <c r="AH111" s="84">
        <f t="shared" si="224"/>
        <v>0</v>
      </c>
      <c r="AI111" s="84">
        <f t="shared" si="137"/>
        <v>0</v>
      </c>
      <c r="AJ111" s="84">
        <f t="shared" si="224"/>
        <v>0</v>
      </c>
      <c r="AK111" s="83"/>
      <c r="AL111" s="85"/>
      <c r="AM111" s="83"/>
      <c r="AN111" s="96"/>
      <c r="AO111" s="96"/>
      <c r="AP111" s="51"/>
      <c r="AQ111" s="83">
        <f>SUM(AQ110)</f>
        <v>5</v>
      </c>
      <c r="AR111" s="83">
        <f t="shared" ref="AR111:AT111" si="225">SUM(AR110)</f>
        <v>0</v>
      </c>
      <c r="AS111" s="83">
        <f t="shared" si="225"/>
        <v>5</v>
      </c>
      <c r="AT111" s="83">
        <f t="shared" si="225"/>
        <v>0</v>
      </c>
      <c r="AU111" s="87"/>
      <c r="AV111" s="83"/>
      <c r="AW111" s="51"/>
      <c r="AX111" s="51" t="s">
        <v>108</v>
      </c>
      <c r="AY111" s="77"/>
      <c r="AZ111" s="77"/>
      <c r="BA111" s="77"/>
      <c r="BB111" s="77"/>
      <c r="BC111" s="77"/>
      <c r="BD111" s="77"/>
      <c r="BE111" s="77"/>
      <c r="BF111" s="77"/>
      <c r="BG111" s="77"/>
      <c r="BH111" s="77"/>
      <c r="BI111" s="77"/>
      <c r="BJ111" s="77"/>
      <c r="BK111" s="77"/>
      <c r="BL111" s="77"/>
      <c r="BM111" s="77"/>
      <c r="BN111" s="77"/>
      <c r="BO111" s="77"/>
      <c r="BP111" s="77"/>
      <c r="BQ111" s="77"/>
      <c r="BR111" s="77"/>
      <c r="BS111" s="77"/>
      <c r="BT111" s="77"/>
      <c r="BU111" s="77"/>
      <c r="BV111" s="77"/>
      <c r="BW111" s="77"/>
      <c r="BX111" s="77"/>
      <c r="BY111" s="77"/>
      <c r="BZ111" s="77"/>
      <c r="CA111" s="77"/>
      <c r="CB111" s="77"/>
      <c r="CC111" s="77"/>
      <c r="CD111" s="77"/>
      <c r="CE111" s="77"/>
      <c r="CF111" s="77"/>
      <c r="CG111" s="77"/>
      <c r="CH111" s="77"/>
      <c r="CI111" s="77"/>
      <c r="CJ111" s="77"/>
      <c r="CK111" s="77"/>
      <c r="CL111" s="77"/>
      <c r="CM111" s="77"/>
      <c r="CN111" s="77"/>
      <c r="CO111" s="77"/>
      <c r="CP111" s="77"/>
      <c r="CQ111" s="77"/>
      <c r="CR111" s="77"/>
      <c r="CS111" s="77"/>
      <c r="CT111" s="77"/>
      <c r="CU111" s="77"/>
      <c r="CV111" s="77"/>
      <c r="CW111" s="77"/>
      <c r="CX111" s="77"/>
      <c r="CY111" s="77"/>
      <c r="CZ111" s="77"/>
      <c r="DA111" s="77"/>
      <c r="DB111" s="77"/>
      <c r="DC111" s="77"/>
      <c r="DD111" s="77"/>
      <c r="DE111" s="77"/>
      <c r="DF111" s="77"/>
      <c r="DG111" s="77"/>
      <c r="DH111" s="77"/>
      <c r="DI111" s="77"/>
      <c r="DJ111" s="77"/>
      <c r="DK111" s="77"/>
      <c r="DL111" s="77"/>
      <c r="DM111" s="77"/>
      <c r="DN111" s="77"/>
      <c r="DO111" s="77"/>
      <c r="DP111" s="77"/>
      <c r="DQ111" s="77"/>
      <c r="DR111" s="77"/>
      <c r="DS111" s="77"/>
      <c r="DT111" s="77"/>
      <c r="DU111" s="77"/>
      <c r="DV111" s="77"/>
      <c r="DW111" s="77"/>
      <c r="DX111" s="77"/>
      <c r="DY111" s="77"/>
      <c r="DZ111" s="77"/>
      <c r="EA111" s="77"/>
      <c r="EB111" s="77"/>
      <c r="EC111" s="77"/>
      <c r="ED111" s="77"/>
      <c r="EE111" s="77"/>
      <c r="EF111" s="77"/>
      <c r="EG111" s="77"/>
      <c r="EH111" s="77"/>
      <c r="EI111" s="77"/>
      <c r="EJ111" s="77"/>
      <c r="EK111" s="77"/>
      <c r="EL111" s="77"/>
      <c r="EM111" s="77"/>
      <c r="EN111" s="77"/>
      <c r="EO111" s="77"/>
      <c r="EP111" s="77"/>
      <c r="EQ111" s="77"/>
      <c r="ER111" s="77"/>
      <c r="ES111" s="77"/>
      <c r="ET111" s="77"/>
      <c r="EU111" s="77"/>
      <c r="EV111" s="77"/>
      <c r="EW111" s="77"/>
      <c r="EX111" s="77"/>
      <c r="EY111" s="77"/>
      <c r="EZ111" s="77"/>
      <c r="FA111" s="77"/>
      <c r="FB111" s="77"/>
      <c r="FC111" s="77"/>
      <c r="FD111" s="77"/>
      <c r="FE111" s="77"/>
      <c r="FF111" s="77"/>
      <c r="FG111" s="77"/>
      <c r="FH111" s="77"/>
      <c r="FI111" s="77"/>
      <c r="FJ111" s="77"/>
      <c r="FK111" s="77"/>
      <c r="FL111" s="77"/>
      <c r="FM111" s="77"/>
      <c r="FN111" s="77"/>
      <c r="FO111" s="77"/>
      <c r="FP111" s="77"/>
      <c r="FQ111" s="77"/>
      <c r="FR111" s="77"/>
      <c r="FS111" s="77"/>
      <c r="FT111" s="77"/>
      <c r="FU111" s="77"/>
      <c r="FV111" s="77"/>
      <c r="FW111" s="77"/>
      <c r="FX111" s="77"/>
      <c r="FY111" s="77"/>
      <c r="FZ111" s="77"/>
      <c r="GA111" s="77"/>
      <c r="GB111" s="77"/>
      <c r="GC111" s="77"/>
      <c r="GD111" s="77"/>
      <c r="GE111" s="77"/>
      <c r="GF111" s="77"/>
      <c r="GG111" s="77"/>
      <c r="GH111" s="77"/>
      <c r="GI111" s="77"/>
      <c r="GJ111" s="77"/>
      <c r="GK111" s="77"/>
      <c r="GL111" s="77"/>
      <c r="GM111" s="77"/>
      <c r="GN111" s="77"/>
      <c r="GO111" s="77"/>
      <c r="GP111" s="77"/>
      <c r="GQ111" s="77"/>
      <c r="GR111" s="77"/>
      <c r="GS111" s="77"/>
      <c r="GT111" s="77"/>
      <c r="GU111" s="77"/>
      <c r="GV111" s="77"/>
      <c r="GW111" s="77"/>
      <c r="GX111" s="77"/>
      <c r="GY111" s="77"/>
      <c r="GZ111" s="77"/>
      <c r="HA111" s="77"/>
      <c r="HB111" s="77"/>
      <c r="HC111" s="77"/>
      <c r="HD111" s="77"/>
      <c r="HE111" s="77"/>
      <c r="HF111" s="77"/>
      <c r="HG111" s="77"/>
      <c r="HH111" s="77"/>
      <c r="HI111" s="77"/>
      <c r="HJ111" s="77"/>
      <c r="HK111" s="77"/>
      <c r="HL111" s="77"/>
      <c r="HM111" s="77"/>
      <c r="HN111" s="77"/>
      <c r="HO111" s="77"/>
      <c r="HP111" s="77"/>
      <c r="HQ111" s="77"/>
      <c r="HR111" s="77"/>
      <c r="HS111" s="77"/>
      <c r="HT111" s="77"/>
      <c r="HU111" s="77"/>
      <c r="HV111" s="77"/>
      <c r="HW111" s="77"/>
      <c r="HX111" s="77"/>
      <c r="HY111" s="77"/>
      <c r="HZ111" s="77"/>
      <c r="IA111" s="77"/>
      <c r="IB111" s="77"/>
      <c r="IC111" s="77"/>
      <c r="ID111" s="77"/>
      <c r="IE111" s="77"/>
      <c r="IF111" s="77"/>
      <c r="IG111" s="77"/>
      <c r="IH111" s="77"/>
      <c r="II111" s="77"/>
      <c r="IJ111" s="77"/>
      <c r="IK111" s="77"/>
      <c r="IL111" s="77"/>
      <c r="IM111" s="77"/>
      <c r="IN111" s="77"/>
      <c r="IO111" s="77"/>
      <c r="IP111" s="77"/>
      <c r="IQ111" s="77"/>
      <c r="IR111" s="77"/>
      <c r="IS111" s="77"/>
      <c r="IT111" s="77"/>
      <c r="IU111" s="77"/>
      <c r="IV111" s="77"/>
      <c r="IW111" s="77"/>
      <c r="IX111" s="77"/>
      <c r="IY111" s="77"/>
      <c r="IZ111" s="77"/>
      <c r="JA111" s="77"/>
      <c r="JB111" s="77"/>
      <c r="JC111" s="77"/>
      <c r="JD111" s="77"/>
      <c r="JE111" s="77"/>
      <c r="JF111" s="77"/>
      <c r="JG111" s="77"/>
      <c r="JH111" s="77"/>
      <c r="JI111" s="77"/>
      <c r="JJ111" s="77"/>
      <c r="JK111" s="77"/>
      <c r="JL111" s="77"/>
      <c r="JM111" s="77"/>
      <c r="JN111" s="77"/>
      <c r="JO111" s="77"/>
      <c r="JP111" s="77"/>
      <c r="JQ111" s="77"/>
      <c r="JR111" s="77"/>
      <c r="JS111" s="77"/>
      <c r="JT111" s="77"/>
      <c r="JU111" s="77"/>
      <c r="JV111" s="77"/>
      <c r="JW111" s="77"/>
      <c r="JX111" s="77"/>
      <c r="JY111" s="77"/>
      <c r="JZ111" s="77"/>
    </row>
    <row r="112" spans="1:286" s="77" customFormat="1" ht="82.5" customHeight="1" x14ac:dyDescent="0.25">
      <c r="A112" s="297"/>
      <c r="B112" s="30" t="s">
        <v>45</v>
      </c>
      <c r="C112" s="31" t="s">
        <v>192</v>
      </c>
      <c r="D112" s="32" t="s">
        <v>106</v>
      </c>
      <c r="E112" s="32" t="s">
        <v>70</v>
      </c>
      <c r="F112" s="217" t="s">
        <v>49</v>
      </c>
      <c r="G112" s="33" t="s">
        <v>139</v>
      </c>
      <c r="H112" s="217">
        <v>50</v>
      </c>
      <c r="I112" s="240">
        <v>0</v>
      </c>
      <c r="J112" s="230">
        <v>7</v>
      </c>
      <c r="K112" s="224">
        <v>32</v>
      </c>
      <c r="L112" s="226">
        <v>1</v>
      </c>
      <c r="M112" s="232">
        <v>1</v>
      </c>
      <c r="N112" s="234">
        <f t="shared" si="146"/>
        <v>41</v>
      </c>
      <c r="O112" s="216">
        <v>0</v>
      </c>
      <c r="P112" s="71"/>
      <c r="Q112" s="217"/>
      <c r="R112" s="217" t="s">
        <v>51</v>
      </c>
      <c r="S112" s="235" t="s">
        <v>52</v>
      </c>
      <c r="T112" s="203" t="s">
        <v>53</v>
      </c>
      <c r="U112" s="217">
        <v>50</v>
      </c>
      <c r="V112" s="238">
        <v>0</v>
      </c>
      <c r="W112" s="230">
        <v>7</v>
      </c>
      <c r="X112" s="224">
        <v>32</v>
      </c>
      <c r="Y112" s="226">
        <v>10</v>
      </c>
      <c r="Z112" s="232">
        <v>1</v>
      </c>
      <c r="AA112" s="234">
        <f t="shared" si="136"/>
        <v>50</v>
      </c>
      <c r="AB112" s="216">
        <v>0</v>
      </c>
      <c r="AC112" s="217">
        <v>25</v>
      </c>
      <c r="AD112" s="238">
        <v>0</v>
      </c>
      <c r="AE112" s="230">
        <v>5</v>
      </c>
      <c r="AF112" s="224">
        <v>10</v>
      </c>
      <c r="AG112" s="226">
        <v>0</v>
      </c>
      <c r="AH112" s="232">
        <v>0</v>
      </c>
      <c r="AI112" s="234">
        <f t="shared" si="137"/>
        <v>15</v>
      </c>
      <c r="AJ112" s="216">
        <v>0</v>
      </c>
      <c r="AK112" s="217"/>
      <c r="AL112" s="217"/>
      <c r="AM112" s="243"/>
      <c r="AN112" s="217"/>
      <c r="AO112" s="72"/>
      <c r="AP112" s="33" t="s">
        <v>58</v>
      </c>
      <c r="AQ112" s="65">
        <v>25</v>
      </c>
      <c r="AR112" s="73">
        <v>0</v>
      </c>
      <c r="AS112" s="74">
        <v>25</v>
      </c>
      <c r="AT112" s="75">
        <v>0</v>
      </c>
      <c r="AU112" s="217"/>
      <c r="AV112" s="217"/>
      <c r="AW112" s="217"/>
      <c r="AX112" s="108" t="s">
        <v>59</v>
      </c>
    </row>
    <row r="113" spans="1:286" s="77" customFormat="1" ht="82.5" customHeight="1" x14ac:dyDescent="0.25">
      <c r="A113" s="297"/>
      <c r="B113" s="30" t="s">
        <v>45</v>
      </c>
      <c r="C113" s="31" t="s">
        <v>192</v>
      </c>
      <c r="D113" s="32" t="s">
        <v>106</v>
      </c>
      <c r="E113" s="32" t="s">
        <v>70</v>
      </c>
      <c r="F113" s="217"/>
      <c r="G113" s="33" t="s">
        <v>139</v>
      </c>
      <c r="H113" s="217"/>
      <c r="I113" s="241"/>
      <c r="J113" s="231"/>
      <c r="K113" s="225"/>
      <c r="L113" s="227"/>
      <c r="M113" s="233"/>
      <c r="N113" s="234">
        <f t="shared" si="146"/>
        <v>0</v>
      </c>
      <c r="O113" s="216"/>
      <c r="P113" s="71"/>
      <c r="Q113" s="217"/>
      <c r="R113" s="217"/>
      <c r="S113" s="235"/>
      <c r="T113" s="203"/>
      <c r="U113" s="217"/>
      <c r="V113" s="239"/>
      <c r="W113" s="231"/>
      <c r="X113" s="225"/>
      <c r="Y113" s="227"/>
      <c r="Z113" s="233"/>
      <c r="AA113" s="234">
        <f t="shared" si="136"/>
        <v>0</v>
      </c>
      <c r="AB113" s="216">
        <v>0</v>
      </c>
      <c r="AC113" s="217"/>
      <c r="AD113" s="239"/>
      <c r="AE113" s="231"/>
      <c r="AF113" s="225"/>
      <c r="AG113" s="227"/>
      <c r="AH113" s="233"/>
      <c r="AI113" s="234">
        <f t="shared" si="137"/>
        <v>0</v>
      </c>
      <c r="AJ113" s="216">
        <v>0</v>
      </c>
      <c r="AK113" s="217"/>
      <c r="AL113" s="217"/>
      <c r="AM113" s="243"/>
      <c r="AN113" s="217"/>
      <c r="AO113" s="72"/>
      <c r="AP113" s="33" t="s">
        <v>127</v>
      </c>
      <c r="AQ113" s="65">
        <v>1</v>
      </c>
      <c r="AR113" s="73">
        <v>0</v>
      </c>
      <c r="AS113" s="74">
        <v>1</v>
      </c>
      <c r="AT113" s="75">
        <v>0</v>
      </c>
      <c r="AU113" s="217"/>
      <c r="AV113" s="217"/>
      <c r="AW113" s="217"/>
      <c r="AX113" s="108" t="s">
        <v>59</v>
      </c>
    </row>
    <row r="114" spans="1:286" s="77" customFormat="1" ht="82.5" customHeight="1" x14ac:dyDescent="0.25">
      <c r="A114" s="297"/>
      <c r="B114" s="30" t="s">
        <v>45</v>
      </c>
      <c r="C114" s="31" t="s">
        <v>192</v>
      </c>
      <c r="D114" s="32" t="s">
        <v>106</v>
      </c>
      <c r="E114" s="32" t="s">
        <v>70</v>
      </c>
      <c r="F114" s="217"/>
      <c r="G114" s="65" t="s">
        <v>178</v>
      </c>
      <c r="H114" s="65">
        <v>10</v>
      </c>
      <c r="I114" s="89">
        <v>0</v>
      </c>
      <c r="J114" s="90">
        <v>1</v>
      </c>
      <c r="K114" s="91">
        <v>5</v>
      </c>
      <c r="L114" s="92">
        <v>4</v>
      </c>
      <c r="M114" s="81">
        <v>5</v>
      </c>
      <c r="N114" s="70">
        <f t="shared" si="146"/>
        <v>15</v>
      </c>
      <c r="O114" s="71">
        <v>0</v>
      </c>
      <c r="P114" s="71"/>
      <c r="Q114" s="93"/>
      <c r="R114" s="33" t="s">
        <v>179</v>
      </c>
      <c r="S114" s="36" t="s">
        <v>100</v>
      </c>
      <c r="T114" s="33" t="s">
        <v>77</v>
      </c>
      <c r="U114" s="65">
        <v>10</v>
      </c>
      <c r="V114" s="197">
        <v>0</v>
      </c>
      <c r="W114" s="90">
        <v>1</v>
      </c>
      <c r="X114" s="91">
        <v>5</v>
      </c>
      <c r="Y114" s="92">
        <v>4</v>
      </c>
      <c r="Z114" s="81">
        <v>5</v>
      </c>
      <c r="AA114" s="70">
        <f t="shared" si="136"/>
        <v>15</v>
      </c>
      <c r="AB114" s="35">
        <v>0</v>
      </c>
      <c r="AC114" s="65">
        <v>1</v>
      </c>
      <c r="AD114" s="197">
        <v>0</v>
      </c>
      <c r="AE114" s="90">
        <v>0</v>
      </c>
      <c r="AF114" s="91">
        <v>0</v>
      </c>
      <c r="AG114" s="92">
        <v>0</v>
      </c>
      <c r="AH114" s="81">
        <v>0</v>
      </c>
      <c r="AI114" s="70">
        <f t="shared" si="137"/>
        <v>0</v>
      </c>
      <c r="AJ114" s="71">
        <v>0</v>
      </c>
      <c r="AK114" s="65"/>
      <c r="AL114" s="33"/>
      <c r="AM114" s="72"/>
      <c r="AN114" s="93"/>
      <c r="AO114" s="94"/>
      <c r="AP114" s="33" t="s">
        <v>58</v>
      </c>
      <c r="AQ114" s="65">
        <v>1</v>
      </c>
      <c r="AR114" s="73">
        <v>0</v>
      </c>
      <c r="AS114" s="74">
        <v>1</v>
      </c>
      <c r="AT114" s="75">
        <v>0</v>
      </c>
      <c r="AU114" s="76"/>
      <c r="AV114" s="65"/>
      <c r="AW114" s="33"/>
      <c r="AX114" s="32" t="s">
        <v>59</v>
      </c>
    </row>
    <row r="115" spans="1:286" s="79" customFormat="1" ht="82.5" customHeight="1" x14ac:dyDescent="0.25">
      <c r="A115" s="297"/>
      <c r="B115" s="30" t="s">
        <v>45</v>
      </c>
      <c r="C115" s="31" t="s">
        <v>192</v>
      </c>
      <c r="D115" s="32" t="s">
        <v>106</v>
      </c>
      <c r="E115" s="32" t="s">
        <v>70</v>
      </c>
      <c r="F115" s="51" t="s">
        <v>61</v>
      </c>
      <c r="G115" s="83"/>
      <c r="H115" s="84">
        <f>SUM(H112:H114)</f>
        <v>60</v>
      </c>
      <c r="I115" s="84">
        <f t="shared" ref="I115" si="226">SUM(I112:I114)</f>
        <v>0</v>
      </c>
      <c r="J115" s="84">
        <f t="shared" ref="J115:M115" si="227">SUM(J112:J114)</f>
        <v>8</v>
      </c>
      <c r="K115" s="84">
        <f t="shared" si="227"/>
        <v>37</v>
      </c>
      <c r="L115" s="84">
        <f t="shared" si="227"/>
        <v>5</v>
      </c>
      <c r="M115" s="84">
        <f t="shared" si="227"/>
        <v>6</v>
      </c>
      <c r="N115" s="84">
        <f t="shared" si="146"/>
        <v>56</v>
      </c>
      <c r="O115" s="84">
        <f t="shared" ref="O115:P115" si="228">SUM(O112:O114)</f>
        <v>0</v>
      </c>
      <c r="P115" s="84">
        <f t="shared" si="228"/>
        <v>0</v>
      </c>
      <c r="Q115" s="96"/>
      <c r="R115" s="85"/>
      <c r="S115" s="53"/>
      <c r="T115" s="51"/>
      <c r="U115" s="84">
        <f t="shared" ref="U115:AJ115" si="229">SUM(U112:U114)</f>
        <v>60</v>
      </c>
      <c r="V115" s="84">
        <f t="shared" si="229"/>
        <v>0</v>
      </c>
      <c r="W115" s="84">
        <f t="shared" si="229"/>
        <v>8</v>
      </c>
      <c r="X115" s="84">
        <f t="shared" si="229"/>
        <v>37</v>
      </c>
      <c r="Y115" s="84">
        <f t="shared" si="229"/>
        <v>14</v>
      </c>
      <c r="Z115" s="84">
        <f t="shared" si="229"/>
        <v>6</v>
      </c>
      <c r="AA115" s="84">
        <f t="shared" si="136"/>
        <v>65</v>
      </c>
      <c r="AB115" s="84">
        <f t="shared" si="229"/>
        <v>0</v>
      </c>
      <c r="AC115" s="84">
        <f t="shared" si="229"/>
        <v>26</v>
      </c>
      <c r="AD115" s="84">
        <f t="shared" si="229"/>
        <v>0</v>
      </c>
      <c r="AE115" s="84">
        <f t="shared" si="229"/>
        <v>5</v>
      </c>
      <c r="AF115" s="84">
        <f t="shared" si="229"/>
        <v>10</v>
      </c>
      <c r="AG115" s="84">
        <f t="shared" si="229"/>
        <v>0</v>
      </c>
      <c r="AH115" s="84">
        <f t="shared" si="229"/>
        <v>0</v>
      </c>
      <c r="AI115" s="84">
        <f t="shared" si="137"/>
        <v>15</v>
      </c>
      <c r="AJ115" s="84">
        <f t="shared" si="229"/>
        <v>0</v>
      </c>
      <c r="AK115" s="83"/>
      <c r="AL115" s="85"/>
      <c r="AM115" s="83"/>
      <c r="AN115" s="96"/>
      <c r="AO115" s="96"/>
      <c r="AP115" s="51"/>
      <c r="AQ115" s="83">
        <f>SUM(AQ112:AQ114)</f>
        <v>27</v>
      </c>
      <c r="AR115" s="83">
        <f t="shared" ref="AR115:AT115" si="230">SUM(AR112:AR114)</f>
        <v>0</v>
      </c>
      <c r="AS115" s="83">
        <f t="shared" si="230"/>
        <v>27</v>
      </c>
      <c r="AT115" s="83">
        <f t="shared" si="230"/>
        <v>0</v>
      </c>
      <c r="AU115" s="87"/>
      <c r="AV115" s="83"/>
      <c r="AW115" s="51"/>
      <c r="AX115" s="51" t="s">
        <v>59</v>
      </c>
      <c r="AY115" s="77"/>
      <c r="AZ115" s="77"/>
      <c r="BA115" s="77"/>
      <c r="BB115" s="77"/>
      <c r="BC115" s="77"/>
      <c r="BD115" s="77"/>
      <c r="BE115" s="77"/>
      <c r="BF115" s="77"/>
      <c r="BG115" s="77"/>
      <c r="BH115" s="77"/>
      <c r="BI115" s="77"/>
      <c r="BJ115" s="77"/>
      <c r="BK115" s="77"/>
      <c r="BL115" s="77"/>
      <c r="BM115" s="77"/>
      <c r="BN115" s="77"/>
      <c r="BO115" s="77"/>
      <c r="BP115" s="77"/>
      <c r="BQ115" s="77"/>
      <c r="BR115" s="77"/>
      <c r="BS115" s="77"/>
      <c r="BT115" s="77"/>
      <c r="BU115" s="77"/>
      <c r="BV115" s="77"/>
      <c r="BW115" s="77"/>
      <c r="BX115" s="77"/>
      <c r="BY115" s="77"/>
      <c r="BZ115" s="77"/>
      <c r="CA115" s="77"/>
      <c r="CB115" s="77"/>
      <c r="CC115" s="77"/>
      <c r="CD115" s="77"/>
      <c r="CE115" s="77"/>
      <c r="CF115" s="77"/>
      <c r="CG115" s="77"/>
      <c r="CH115" s="77"/>
      <c r="CI115" s="77"/>
      <c r="CJ115" s="77"/>
      <c r="CK115" s="77"/>
      <c r="CL115" s="77"/>
      <c r="CM115" s="77"/>
      <c r="CN115" s="77"/>
      <c r="CO115" s="77"/>
      <c r="CP115" s="77"/>
      <c r="CQ115" s="77"/>
      <c r="CR115" s="77"/>
      <c r="CS115" s="77"/>
      <c r="CT115" s="77"/>
      <c r="CU115" s="77"/>
      <c r="CV115" s="77"/>
      <c r="CW115" s="77"/>
      <c r="CX115" s="77"/>
      <c r="CY115" s="77"/>
      <c r="CZ115" s="77"/>
      <c r="DA115" s="77"/>
      <c r="DB115" s="77"/>
      <c r="DC115" s="77"/>
      <c r="DD115" s="77"/>
      <c r="DE115" s="77"/>
      <c r="DF115" s="77"/>
      <c r="DG115" s="77"/>
      <c r="DH115" s="77"/>
      <c r="DI115" s="77"/>
      <c r="DJ115" s="77"/>
      <c r="DK115" s="77"/>
      <c r="DL115" s="77"/>
      <c r="DM115" s="77"/>
      <c r="DN115" s="77"/>
      <c r="DO115" s="77"/>
      <c r="DP115" s="77"/>
      <c r="DQ115" s="77"/>
      <c r="DR115" s="77"/>
      <c r="DS115" s="77"/>
      <c r="DT115" s="77"/>
      <c r="DU115" s="77"/>
      <c r="DV115" s="77"/>
      <c r="DW115" s="77"/>
      <c r="DX115" s="77"/>
      <c r="DY115" s="77"/>
      <c r="DZ115" s="77"/>
      <c r="EA115" s="77"/>
      <c r="EB115" s="77"/>
      <c r="EC115" s="77"/>
      <c r="ED115" s="77"/>
      <c r="EE115" s="77"/>
      <c r="EF115" s="77"/>
      <c r="EG115" s="77"/>
      <c r="EH115" s="77"/>
      <c r="EI115" s="77"/>
      <c r="EJ115" s="77"/>
      <c r="EK115" s="77"/>
      <c r="EL115" s="77"/>
      <c r="EM115" s="77"/>
      <c r="EN115" s="77"/>
      <c r="EO115" s="77"/>
      <c r="EP115" s="77"/>
      <c r="EQ115" s="77"/>
      <c r="ER115" s="77"/>
      <c r="ES115" s="77"/>
      <c r="ET115" s="77"/>
      <c r="EU115" s="77"/>
      <c r="EV115" s="77"/>
      <c r="EW115" s="77"/>
      <c r="EX115" s="77"/>
      <c r="EY115" s="77"/>
      <c r="EZ115" s="77"/>
      <c r="FA115" s="77"/>
      <c r="FB115" s="77"/>
      <c r="FC115" s="77"/>
      <c r="FD115" s="77"/>
      <c r="FE115" s="77"/>
      <c r="FF115" s="77"/>
      <c r="FG115" s="77"/>
      <c r="FH115" s="77"/>
      <c r="FI115" s="77"/>
      <c r="FJ115" s="77"/>
      <c r="FK115" s="77"/>
      <c r="FL115" s="77"/>
      <c r="FM115" s="77"/>
      <c r="FN115" s="77"/>
      <c r="FO115" s="77"/>
      <c r="FP115" s="77"/>
      <c r="FQ115" s="77"/>
      <c r="FR115" s="77"/>
      <c r="FS115" s="77"/>
      <c r="FT115" s="77"/>
      <c r="FU115" s="77"/>
      <c r="FV115" s="77"/>
      <c r="FW115" s="77"/>
      <c r="FX115" s="77"/>
      <c r="FY115" s="77"/>
      <c r="FZ115" s="77"/>
      <c r="GA115" s="77"/>
      <c r="GB115" s="77"/>
      <c r="GC115" s="77"/>
      <c r="GD115" s="77"/>
      <c r="GE115" s="77"/>
      <c r="GF115" s="77"/>
      <c r="GG115" s="77"/>
      <c r="GH115" s="77"/>
      <c r="GI115" s="77"/>
      <c r="GJ115" s="77"/>
      <c r="GK115" s="77"/>
      <c r="GL115" s="77"/>
      <c r="GM115" s="77"/>
      <c r="GN115" s="77"/>
      <c r="GO115" s="77"/>
      <c r="GP115" s="77"/>
      <c r="GQ115" s="77"/>
      <c r="GR115" s="77"/>
      <c r="GS115" s="77"/>
      <c r="GT115" s="77"/>
      <c r="GU115" s="77"/>
      <c r="GV115" s="77"/>
      <c r="GW115" s="77"/>
      <c r="GX115" s="77"/>
      <c r="GY115" s="77"/>
      <c r="GZ115" s="77"/>
      <c r="HA115" s="77"/>
      <c r="HB115" s="77"/>
      <c r="HC115" s="77"/>
      <c r="HD115" s="77"/>
      <c r="HE115" s="77"/>
      <c r="HF115" s="77"/>
      <c r="HG115" s="77"/>
      <c r="HH115" s="77"/>
      <c r="HI115" s="77"/>
      <c r="HJ115" s="77"/>
      <c r="HK115" s="77"/>
      <c r="HL115" s="77"/>
      <c r="HM115" s="77"/>
      <c r="HN115" s="77"/>
      <c r="HO115" s="77"/>
      <c r="HP115" s="77"/>
      <c r="HQ115" s="77"/>
      <c r="HR115" s="77"/>
      <c r="HS115" s="77"/>
      <c r="HT115" s="77"/>
      <c r="HU115" s="77"/>
      <c r="HV115" s="77"/>
      <c r="HW115" s="77"/>
      <c r="HX115" s="77"/>
      <c r="HY115" s="77"/>
      <c r="HZ115" s="77"/>
      <c r="IA115" s="77"/>
      <c r="IB115" s="77"/>
      <c r="IC115" s="77"/>
      <c r="ID115" s="77"/>
      <c r="IE115" s="77"/>
      <c r="IF115" s="77"/>
      <c r="IG115" s="77"/>
      <c r="IH115" s="77"/>
      <c r="II115" s="77"/>
      <c r="IJ115" s="77"/>
      <c r="IK115" s="77"/>
      <c r="IL115" s="77"/>
      <c r="IM115" s="77"/>
      <c r="IN115" s="77"/>
      <c r="IO115" s="77"/>
      <c r="IP115" s="77"/>
      <c r="IQ115" s="77"/>
      <c r="IR115" s="77"/>
      <c r="IS115" s="77"/>
      <c r="IT115" s="77"/>
      <c r="IU115" s="77"/>
      <c r="IV115" s="77"/>
      <c r="IW115" s="77"/>
      <c r="IX115" s="77"/>
      <c r="IY115" s="77"/>
      <c r="IZ115" s="77"/>
      <c r="JA115" s="77"/>
      <c r="JB115" s="77"/>
      <c r="JC115" s="77"/>
      <c r="JD115" s="77"/>
      <c r="JE115" s="77"/>
      <c r="JF115" s="77"/>
      <c r="JG115" s="77"/>
      <c r="JH115" s="77"/>
      <c r="JI115" s="77"/>
      <c r="JJ115" s="77"/>
      <c r="JK115" s="77"/>
      <c r="JL115" s="77"/>
      <c r="JM115" s="77"/>
      <c r="JN115" s="77"/>
      <c r="JO115" s="77"/>
      <c r="JP115" s="77"/>
      <c r="JQ115" s="77"/>
      <c r="JR115" s="77"/>
      <c r="JS115" s="77"/>
      <c r="JT115" s="77"/>
      <c r="JU115" s="77"/>
      <c r="JV115" s="77"/>
      <c r="JW115" s="77"/>
      <c r="JX115" s="77"/>
      <c r="JY115" s="77"/>
      <c r="JZ115" s="77"/>
    </row>
    <row r="116" spans="1:286" s="77" customFormat="1" ht="82.5" customHeight="1" x14ac:dyDescent="0.25">
      <c r="A116" s="297"/>
      <c r="B116" s="30" t="s">
        <v>45</v>
      </c>
      <c r="C116" s="31" t="s">
        <v>193</v>
      </c>
      <c r="D116" s="32" t="s">
        <v>106</v>
      </c>
      <c r="E116" s="32" t="s">
        <v>70</v>
      </c>
      <c r="F116" s="217" t="s">
        <v>49</v>
      </c>
      <c r="G116" s="33" t="s">
        <v>139</v>
      </c>
      <c r="H116" s="217">
        <v>50</v>
      </c>
      <c r="I116" s="240">
        <v>0</v>
      </c>
      <c r="J116" s="230">
        <v>7</v>
      </c>
      <c r="K116" s="224">
        <v>32</v>
      </c>
      <c r="L116" s="226">
        <v>1</v>
      </c>
      <c r="M116" s="232">
        <v>1</v>
      </c>
      <c r="N116" s="234">
        <f t="shared" si="146"/>
        <v>41</v>
      </c>
      <c r="O116" s="216">
        <v>0</v>
      </c>
      <c r="P116" s="71"/>
      <c r="Q116" s="217"/>
      <c r="R116" s="217" t="s">
        <v>51</v>
      </c>
      <c r="S116" s="235" t="s">
        <v>52</v>
      </c>
      <c r="T116" s="203" t="s">
        <v>53</v>
      </c>
      <c r="U116" s="217">
        <v>50</v>
      </c>
      <c r="V116" s="238">
        <v>0</v>
      </c>
      <c r="W116" s="230">
        <v>7</v>
      </c>
      <c r="X116" s="224">
        <v>32</v>
      </c>
      <c r="Y116" s="226">
        <v>10</v>
      </c>
      <c r="Z116" s="232">
        <v>1</v>
      </c>
      <c r="AA116" s="234">
        <f t="shared" si="136"/>
        <v>50</v>
      </c>
      <c r="AB116" s="216">
        <v>0</v>
      </c>
      <c r="AC116" s="217">
        <v>25</v>
      </c>
      <c r="AD116" s="238">
        <v>0</v>
      </c>
      <c r="AE116" s="230">
        <v>5</v>
      </c>
      <c r="AF116" s="224">
        <v>10</v>
      </c>
      <c r="AG116" s="226">
        <v>0</v>
      </c>
      <c r="AH116" s="232">
        <v>0</v>
      </c>
      <c r="AI116" s="234">
        <f t="shared" si="137"/>
        <v>15</v>
      </c>
      <c r="AJ116" s="216">
        <v>0</v>
      </c>
      <c r="AK116" s="217"/>
      <c r="AL116" s="217"/>
      <c r="AM116" s="243"/>
      <c r="AN116" s="217"/>
      <c r="AO116" s="72"/>
      <c r="AP116" s="33" t="s">
        <v>58</v>
      </c>
      <c r="AQ116" s="65">
        <v>25</v>
      </c>
      <c r="AR116" s="73">
        <v>0</v>
      </c>
      <c r="AS116" s="74">
        <v>25</v>
      </c>
      <c r="AT116" s="75">
        <v>0</v>
      </c>
      <c r="AU116" s="217"/>
      <c r="AV116" s="217"/>
      <c r="AW116" s="217"/>
      <c r="AX116" s="108" t="s">
        <v>59</v>
      </c>
    </row>
    <row r="117" spans="1:286" s="77" customFormat="1" ht="82.5" customHeight="1" x14ac:dyDescent="0.25">
      <c r="A117" s="297"/>
      <c r="B117" s="30" t="s">
        <v>45</v>
      </c>
      <c r="C117" s="31" t="s">
        <v>193</v>
      </c>
      <c r="D117" s="32" t="s">
        <v>106</v>
      </c>
      <c r="E117" s="32" t="s">
        <v>70</v>
      </c>
      <c r="F117" s="217"/>
      <c r="G117" s="33" t="s">
        <v>139</v>
      </c>
      <c r="H117" s="217"/>
      <c r="I117" s="241"/>
      <c r="J117" s="231"/>
      <c r="K117" s="225"/>
      <c r="L117" s="227"/>
      <c r="M117" s="233"/>
      <c r="N117" s="234">
        <f t="shared" si="146"/>
        <v>0</v>
      </c>
      <c r="O117" s="216"/>
      <c r="P117" s="71"/>
      <c r="Q117" s="217"/>
      <c r="R117" s="217"/>
      <c r="S117" s="235"/>
      <c r="T117" s="203"/>
      <c r="U117" s="217"/>
      <c r="V117" s="239"/>
      <c r="W117" s="231"/>
      <c r="X117" s="225"/>
      <c r="Y117" s="227"/>
      <c r="Z117" s="233"/>
      <c r="AA117" s="234">
        <f t="shared" si="136"/>
        <v>0</v>
      </c>
      <c r="AB117" s="216">
        <v>0</v>
      </c>
      <c r="AC117" s="217"/>
      <c r="AD117" s="239"/>
      <c r="AE117" s="231"/>
      <c r="AF117" s="225"/>
      <c r="AG117" s="227"/>
      <c r="AH117" s="233"/>
      <c r="AI117" s="234">
        <f t="shared" si="137"/>
        <v>0</v>
      </c>
      <c r="AJ117" s="216">
        <v>0</v>
      </c>
      <c r="AK117" s="217"/>
      <c r="AL117" s="217"/>
      <c r="AM117" s="243"/>
      <c r="AN117" s="217"/>
      <c r="AO117" s="72"/>
      <c r="AP117" s="33" t="s">
        <v>127</v>
      </c>
      <c r="AQ117" s="65">
        <v>1</v>
      </c>
      <c r="AR117" s="73">
        <v>0</v>
      </c>
      <c r="AS117" s="74">
        <v>1</v>
      </c>
      <c r="AT117" s="75">
        <v>0</v>
      </c>
      <c r="AU117" s="217"/>
      <c r="AV117" s="217"/>
      <c r="AW117" s="217"/>
      <c r="AX117" s="108" t="s">
        <v>59</v>
      </c>
    </row>
    <row r="118" spans="1:286" s="77" customFormat="1" ht="82.5" customHeight="1" x14ac:dyDescent="0.25">
      <c r="A118" s="297"/>
      <c r="B118" s="30" t="s">
        <v>45</v>
      </c>
      <c r="C118" s="31" t="s">
        <v>193</v>
      </c>
      <c r="D118" s="32" t="s">
        <v>106</v>
      </c>
      <c r="E118" s="32" t="s">
        <v>70</v>
      </c>
      <c r="F118" s="217"/>
      <c r="G118" s="65" t="s">
        <v>178</v>
      </c>
      <c r="H118" s="65">
        <v>10</v>
      </c>
      <c r="I118" s="89">
        <v>0</v>
      </c>
      <c r="J118" s="90">
        <v>1</v>
      </c>
      <c r="K118" s="91">
        <v>5</v>
      </c>
      <c r="L118" s="92">
        <v>5</v>
      </c>
      <c r="M118" s="81">
        <v>5</v>
      </c>
      <c r="N118" s="70">
        <f t="shared" si="146"/>
        <v>16</v>
      </c>
      <c r="O118" s="71">
        <v>0</v>
      </c>
      <c r="P118" s="71"/>
      <c r="Q118" s="93"/>
      <c r="R118" s="33" t="s">
        <v>179</v>
      </c>
      <c r="S118" s="36" t="s">
        <v>100</v>
      </c>
      <c r="T118" s="33" t="s">
        <v>77</v>
      </c>
      <c r="U118" s="65">
        <v>10</v>
      </c>
      <c r="V118" s="197">
        <v>0</v>
      </c>
      <c r="W118" s="90">
        <v>1</v>
      </c>
      <c r="X118" s="91">
        <v>5</v>
      </c>
      <c r="Y118" s="92">
        <v>4</v>
      </c>
      <c r="Z118" s="81">
        <v>5</v>
      </c>
      <c r="AA118" s="70">
        <f t="shared" si="136"/>
        <v>15</v>
      </c>
      <c r="AB118" s="35">
        <v>0</v>
      </c>
      <c r="AC118" s="65">
        <v>1</v>
      </c>
      <c r="AD118" s="197">
        <v>0</v>
      </c>
      <c r="AE118" s="90">
        <v>0</v>
      </c>
      <c r="AF118" s="91">
        <v>0</v>
      </c>
      <c r="AG118" s="92">
        <v>0</v>
      </c>
      <c r="AH118" s="81">
        <v>0</v>
      </c>
      <c r="AI118" s="70">
        <f t="shared" si="137"/>
        <v>0</v>
      </c>
      <c r="AJ118" s="71">
        <v>0</v>
      </c>
      <c r="AK118" s="65"/>
      <c r="AL118" s="33"/>
      <c r="AM118" s="72"/>
      <c r="AN118" s="93"/>
      <c r="AO118" s="94"/>
      <c r="AP118" s="33" t="s">
        <v>58</v>
      </c>
      <c r="AQ118" s="65">
        <v>1</v>
      </c>
      <c r="AR118" s="73">
        <v>0</v>
      </c>
      <c r="AS118" s="74">
        <v>1</v>
      </c>
      <c r="AT118" s="75">
        <v>0</v>
      </c>
      <c r="AU118" s="76"/>
      <c r="AV118" s="65"/>
      <c r="AW118" s="33"/>
      <c r="AX118" s="32" t="s">
        <v>59</v>
      </c>
    </row>
    <row r="119" spans="1:286" s="79" customFormat="1" ht="82.5" customHeight="1" x14ac:dyDescent="0.25">
      <c r="A119" s="297"/>
      <c r="B119" s="30" t="s">
        <v>45</v>
      </c>
      <c r="C119" s="31" t="s">
        <v>193</v>
      </c>
      <c r="D119" s="32" t="s">
        <v>106</v>
      </c>
      <c r="E119" s="32" t="s">
        <v>70</v>
      </c>
      <c r="F119" s="51" t="s">
        <v>61</v>
      </c>
      <c r="G119" s="83"/>
      <c r="H119" s="84">
        <f>SUM(H116:H118)</f>
        <v>60</v>
      </c>
      <c r="I119" s="84">
        <f t="shared" ref="I119" si="231">SUM(I116:I118)</f>
        <v>0</v>
      </c>
      <c r="J119" s="84">
        <f t="shared" ref="J119:M119" si="232">SUM(J116:J118)</f>
        <v>8</v>
      </c>
      <c r="K119" s="84">
        <f t="shared" si="232"/>
        <v>37</v>
      </c>
      <c r="L119" s="84">
        <f t="shared" si="232"/>
        <v>6</v>
      </c>
      <c r="M119" s="84">
        <f t="shared" si="232"/>
        <v>6</v>
      </c>
      <c r="N119" s="84">
        <f t="shared" si="146"/>
        <v>57</v>
      </c>
      <c r="O119" s="84">
        <f t="shared" ref="O119:P119" si="233">SUM(O116:O118)</f>
        <v>0</v>
      </c>
      <c r="P119" s="84">
        <f t="shared" si="233"/>
        <v>0</v>
      </c>
      <c r="Q119" s="96"/>
      <c r="R119" s="85"/>
      <c r="S119" s="53"/>
      <c r="T119" s="51"/>
      <c r="U119" s="84">
        <f t="shared" ref="U119:AJ119" si="234">SUM(U116:U118)</f>
        <v>60</v>
      </c>
      <c r="V119" s="84">
        <f t="shared" si="234"/>
        <v>0</v>
      </c>
      <c r="W119" s="84">
        <f t="shared" si="234"/>
        <v>8</v>
      </c>
      <c r="X119" s="84">
        <f t="shared" si="234"/>
        <v>37</v>
      </c>
      <c r="Y119" s="84">
        <f t="shared" si="234"/>
        <v>14</v>
      </c>
      <c r="Z119" s="84">
        <f t="shared" si="234"/>
        <v>6</v>
      </c>
      <c r="AA119" s="84">
        <f t="shared" si="136"/>
        <v>65</v>
      </c>
      <c r="AB119" s="84">
        <f t="shared" si="234"/>
        <v>0</v>
      </c>
      <c r="AC119" s="84">
        <f t="shared" si="234"/>
        <v>26</v>
      </c>
      <c r="AD119" s="84">
        <f t="shared" si="234"/>
        <v>0</v>
      </c>
      <c r="AE119" s="84">
        <f t="shared" si="234"/>
        <v>5</v>
      </c>
      <c r="AF119" s="84">
        <f t="shared" si="234"/>
        <v>10</v>
      </c>
      <c r="AG119" s="84">
        <f t="shared" si="234"/>
        <v>0</v>
      </c>
      <c r="AH119" s="84">
        <f t="shared" si="234"/>
        <v>0</v>
      </c>
      <c r="AI119" s="84">
        <f t="shared" si="137"/>
        <v>15</v>
      </c>
      <c r="AJ119" s="84">
        <f t="shared" si="234"/>
        <v>0</v>
      </c>
      <c r="AK119" s="83"/>
      <c r="AL119" s="85"/>
      <c r="AM119" s="83"/>
      <c r="AN119" s="96"/>
      <c r="AO119" s="96"/>
      <c r="AP119" s="51"/>
      <c r="AQ119" s="83">
        <f>SUM(AQ116:AQ118)</f>
        <v>27</v>
      </c>
      <c r="AR119" s="83">
        <f t="shared" ref="AR119:AT119" si="235">SUM(AR116:AR118)</f>
        <v>0</v>
      </c>
      <c r="AS119" s="83">
        <f t="shared" si="235"/>
        <v>27</v>
      </c>
      <c r="AT119" s="83">
        <f t="shared" si="235"/>
        <v>0</v>
      </c>
      <c r="AU119" s="87"/>
      <c r="AV119" s="83"/>
      <c r="AW119" s="51"/>
      <c r="AX119" s="51" t="s">
        <v>59</v>
      </c>
      <c r="AY119" s="77"/>
      <c r="AZ119" s="77"/>
      <c r="BA119" s="77"/>
      <c r="BB119" s="77"/>
      <c r="BC119" s="77"/>
      <c r="BD119" s="77"/>
      <c r="BE119" s="77"/>
      <c r="BF119" s="77"/>
      <c r="BG119" s="77"/>
      <c r="BH119" s="77"/>
      <c r="BI119" s="77"/>
      <c r="BJ119" s="77"/>
      <c r="BK119" s="77"/>
      <c r="BL119" s="77"/>
      <c r="BM119" s="77"/>
      <c r="BN119" s="77"/>
      <c r="BO119" s="77"/>
      <c r="BP119" s="77"/>
      <c r="BQ119" s="77"/>
      <c r="BR119" s="77"/>
      <c r="BS119" s="77"/>
      <c r="BT119" s="77"/>
      <c r="BU119" s="77"/>
      <c r="BV119" s="77"/>
      <c r="BW119" s="77"/>
      <c r="BX119" s="77"/>
      <c r="BY119" s="77"/>
      <c r="BZ119" s="77"/>
      <c r="CA119" s="77"/>
      <c r="CB119" s="77"/>
      <c r="CC119" s="77"/>
      <c r="CD119" s="77"/>
      <c r="CE119" s="77"/>
      <c r="CF119" s="77"/>
      <c r="CG119" s="77"/>
      <c r="CH119" s="77"/>
      <c r="CI119" s="77"/>
      <c r="CJ119" s="77"/>
      <c r="CK119" s="77"/>
      <c r="CL119" s="77"/>
      <c r="CM119" s="77"/>
      <c r="CN119" s="77"/>
      <c r="CO119" s="77"/>
      <c r="CP119" s="77"/>
      <c r="CQ119" s="77"/>
      <c r="CR119" s="77"/>
      <c r="CS119" s="77"/>
      <c r="CT119" s="77"/>
      <c r="CU119" s="77"/>
      <c r="CV119" s="77"/>
      <c r="CW119" s="77"/>
      <c r="CX119" s="77"/>
      <c r="CY119" s="77"/>
      <c r="CZ119" s="77"/>
      <c r="DA119" s="77"/>
      <c r="DB119" s="77"/>
      <c r="DC119" s="77"/>
      <c r="DD119" s="77"/>
      <c r="DE119" s="77"/>
      <c r="DF119" s="77"/>
      <c r="DG119" s="77"/>
      <c r="DH119" s="77"/>
      <c r="DI119" s="77"/>
      <c r="DJ119" s="77"/>
      <c r="DK119" s="77"/>
      <c r="DL119" s="77"/>
      <c r="DM119" s="77"/>
      <c r="DN119" s="77"/>
      <c r="DO119" s="77"/>
      <c r="DP119" s="77"/>
      <c r="DQ119" s="77"/>
      <c r="DR119" s="77"/>
      <c r="DS119" s="77"/>
      <c r="DT119" s="77"/>
      <c r="DU119" s="77"/>
      <c r="DV119" s="77"/>
      <c r="DW119" s="77"/>
      <c r="DX119" s="77"/>
      <c r="DY119" s="77"/>
      <c r="DZ119" s="77"/>
      <c r="EA119" s="77"/>
      <c r="EB119" s="77"/>
      <c r="EC119" s="77"/>
      <c r="ED119" s="77"/>
      <c r="EE119" s="77"/>
      <c r="EF119" s="77"/>
      <c r="EG119" s="77"/>
      <c r="EH119" s="77"/>
      <c r="EI119" s="77"/>
      <c r="EJ119" s="77"/>
      <c r="EK119" s="77"/>
      <c r="EL119" s="77"/>
      <c r="EM119" s="77"/>
      <c r="EN119" s="77"/>
      <c r="EO119" s="77"/>
      <c r="EP119" s="77"/>
      <c r="EQ119" s="77"/>
      <c r="ER119" s="77"/>
      <c r="ES119" s="77"/>
      <c r="ET119" s="77"/>
      <c r="EU119" s="77"/>
      <c r="EV119" s="77"/>
      <c r="EW119" s="77"/>
      <c r="EX119" s="77"/>
      <c r="EY119" s="77"/>
      <c r="EZ119" s="77"/>
      <c r="FA119" s="77"/>
      <c r="FB119" s="77"/>
      <c r="FC119" s="77"/>
      <c r="FD119" s="77"/>
      <c r="FE119" s="77"/>
      <c r="FF119" s="77"/>
      <c r="FG119" s="77"/>
      <c r="FH119" s="77"/>
      <c r="FI119" s="77"/>
      <c r="FJ119" s="77"/>
      <c r="FK119" s="77"/>
      <c r="FL119" s="77"/>
      <c r="FM119" s="77"/>
      <c r="FN119" s="77"/>
      <c r="FO119" s="77"/>
      <c r="FP119" s="77"/>
      <c r="FQ119" s="77"/>
      <c r="FR119" s="77"/>
      <c r="FS119" s="77"/>
      <c r="FT119" s="77"/>
      <c r="FU119" s="77"/>
      <c r="FV119" s="77"/>
      <c r="FW119" s="77"/>
      <c r="FX119" s="77"/>
      <c r="FY119" s="77"/>
      <c r="FZ119" s="77"/>
      <c r="GA119" s="77"/>
      <c r="GB119" s="77"/>
      <c r="GC119" s="77"/>
      <c r="GD119" s="77"/>
      <c r="GE119" s="77"/>
      <c r="GF119" s="77"/>
      <c r="GG119" s="77"/>
      <c r="GH119" s="77"/>
      <c r="GI119" s="77"/>
      <c r="GJ119" s="77"/>
      <c r="GK119" s="77"/>
      <c r="GL119" s="77"/>
      <c r="GM119" s="77"/>
      <c r="GN119" s="77"/>
      <c r="GO119" s="77"/>
      <c r="GP119" s="77"/>
      <c r="GQ119" s="77"/>
      <c r="GR119" s="77"/>
      <c r="GS119" s="77"/>
      <c r="GT119" s="77"/>
      <c r="GU119" s="77"/>
      <c r="GV119" s="77"/>
      <c r="GW119" s="77"/>
      <c r="GX119" s="77"/>
      <c r="GY119" s="77"/>
      <c r="GZ119" s="77"/>
      <c r="HA119" s="77"/>
      <c r="HB119" s="77"/>
      <c r="HC119" s="77"/>
      <c r="HD119" s="77"/>
      <c r="HE119" s="77"/>
      <c r="HF119" s="77"/>
      <c r="HG119" s="77"/>
      <c r="HH119" s="77"/>
      <c r="HI119" s="77"/>
      <c r="HJ119" s="77"/>
      <c r="HK119" s="77"/>
      <c r="HL119" s="77"/>
      <c r="HM119" s="77"/>
      <c r="HN119" s="77"/>
      <c r="HO119" s="77"/>
      <c r="HP119" s="77"/>
      <c r="HQ119" s="77"/>
      <c r="HR119" s="77"/>
      <c r="HS119" s="77"/>
      <c r="HT119" s="77"/>
      <c r="HU119" s="77"/>
      <c r="HV119" s="77"/>
      <c r="HW119" s="77"/>
      <c r="HX119" s="77"/>
      <c r="HY119" s="77"/>
      <c r="HZ119" s="77"/>
      <c r="IA119" s="77"/>
      <c r="IB119" s="77"/>
      <c r="IC119" s="77"/>
      <c r="ID119" s="77"/>
      <c r="IE119" s="77"/>
      <c r="IF119" s="77"/>
      <c r="IG119" s="77"/>
      <c r="IH119" s="77"/>
      <c r="II119" s="77"/>
      <c r="IJ119" s="77"/>
      <c r="IK119" s="77"/>
      <c r="IL119" s="77"/>
      <c r="IM119" s="77"/>
      <c r="IN119" s="77"/>
      <c r="IO119" s="77"/>
      <c r="IP119" s="77"/>
      <c r="IQ119" s="77"/>
      <c r="IR119" s="77"/>
      <c r="IS119" s="77"/>
      <c r="IT119" s="77"/>
      <c r="IU119" s="77"/>
      <c r="IV119" s="77"/>
      <c r="IW119" s="77"/>
      <c r="IX119" s="77"/>
      <c r="IY119" s="77"/>
      <c r="IZ119" s="77"/>
      <c r="JA119" s="77"/>
      <c r="JB119" s="77"/>
      <c r="JC119" s="77"/>
      <c r="JD119" s="77"/>
      <c r="JE119" s="77"/>
      <c r="JF119" s="77"/>
      <c r="JG119" s="77"/>
      <c r="JH119" s="77"/>
      <c r="JI119" s="77"/>
      <c r="JJ119" s="77"/>
      <c r="JK119" s="77"/>
      <c r="JL119" s="77"/>
      <c r="JM119" s="77"/>
      <c r="JN119" s="77"/>
      <c r="JO119" s="77"/>
      <c r="JP119" s="77"/>
      <c r="JQ119" s="77"/>
      <c r="JR119" s="77"/>
      <c r="JS119" s="77"/>
      <c r="JT119" s="77"/>
      <c r="JU119" s="77"/>
      <c r="JV119" s="77"/>
      <c r="JW119" s="77"/>
      <c r="JX119" s="77"/>
      <c r="JY119" s="77"/>
      <c r="JZ119" s="77"/>
    </row>
    <row r="120" spans="1:286" s="77" customFormat="1" ht="82.5" customHeight="1" x14ac:dyDescent="0.25">
      <c r="A120" s="297"/>
      <c r="B120" s="30" t="s">
        <v>45</v>
      </c>
      <c r="C120" s="31" t="s">
        <v>194</v>
      </c>
      <c r="D120" s="32" t="s">
        <v>106</v>
      </c>
      <c r="E120" s="32" t="s">
        <v>48</v>
      </c>
      <c r="F120" s="217" t="s">
        <v>49</v>
      </c>
      <c r="G120" s="65" t="s">
        <v>178</v>
      </c>
      <c r="H120" s="65">
        <v>10</v>
      </c>
      <c r="I120" s="89">
        <v>0</v>
      </c>
      <c r="J120" s="90">
        <v>0</v>
      </c>
      <c r="K120" s="91">
        <v>0</v>
      </c>
      <c r="L120" s="92">
        <v>5</v>
      </c>
      <c r="M120" s="81">
        <v>5</v>
      </c>
      <c r="N120" s="70">
        <f t="shared" si="146"/>
        <v>10</v>
      </c>
      <c r="O120" s="71">
        <v>0</v>
      </c>
      <c r="P120" s="71"/>
      <c r="Q120" s="93"/>
      <c r="R120" s="33" t="s">
        <v>179</v>
      </c>
      <c r="S120" s="36" t="s">
        <v>100</v>
      </c>
      <c r="T120" s="33" t="s">
        <v>77</v>
      </c>
      <c r="U120" s="65">
        <v>10</v>
      </c>
      <c r="V120" s="197">
        <v>0</v>
      </c>
      <c r="W120" s="90">
        <v>0</v>
      </c>
      <c r="X120" s="91">
        <v>0</v>
      </c>
      <c r="Y120" s="92">
        <v>5</v>
      </c>
      <c r="Z120" s="81">
        <v>5</v>
      </c>
      <c r="AA120" s="70">
        <f t="shared" si="136"/>
        <v>10</v>
      </c>
      <c r="AB120" s="35">
        <v>0</v>
      </c>
      <c r="AC120" s="65">
        <v>1</v>
      </c>
      <c r="AD120" s="197">
        <v>0</v>
      </c>
      <c r="AE120" s="90">
        <v>0</v>
      </c>
      <c r="AF120" s="91">
        <v>0</v>
      </c>
      <c r="AG120" s="92">
        <v>0</v>
      </c>
      <c r="AH120" s="81">
        <v>0</v>
      </c>
      <c r="AI120" s="70">
        <f t="shared" si="137"/>
        <v>0</v>
      </c>
      <c r="AJ120" s="71">
        <v>0</v>
      </c>
      <c r="AK120" s="65"/>
      <c r="AL120" s="33"/>
      <c r="AM120" s="72"/>
      <c r="AN120" s="93"/>
      <c r="AO120" s="94"/>
      <c r="AP120" s="33" t="s">
        <v>58</v>
      </c>
      <c r="AQ120" s="65">
        <v>1</v>
      </c>
      <c r="AR120" s="73">
        <v>0</v>
      </c>
      <c r="AS120" s="48">
        <v>0</v>
      </c>
      <c r="AT120" s="75">
        <v>1</v>
      </c>
      <c r="AU120" s="76"/>
      <c r="AV120" s="65"/>
      <c r="AW120" s="33"/>
      <c r="AX120" s="32" t="s">
        <v>147</v>
      </c>
    </row>
    <row r="121" spans="1:286" s="77" customFormat="1" ht="82.5" customHeight="1" x14ac:dyDescent="0.25">
      <c r="A121" s="297"/>
      <c r="B121" s="30" t="s">
        <v>45</v>
      </c>
      <c r="C121" s="31" t="s">
        <v>194</v>
      </c>
      <c r="D121" s="32" t="s">
        <v>106</v>
      </c>
      <c r="E121" s="32" t="s">
        <v>48</v>
      </c>
      <c r="F121" s="217"/>
      <c r="G121" s="65" t="s">
        <v>50</v>
      </c>
      <c r="H121" s="65">
        <v>30</v>
      </c>
      <c r="I121" s="89">
        <v>0</v>
      </c>
      <c r="J121" s="90">
        <v>0</v>
      </c>
      <c r="K121" s="91">
        <v>5</v>
      </c>
      <c r="L121" s="92">
        <v>1</v>
      </c>
      <c r="M121" s="81">
        <v>10</v>
      </c>
      <c r="N121" s="70">
        <f t="shared" si="146"/>
        <v>16</v>
      </c>
      <c r="O121" s="71">
        <v>0</v>
      </c>
      <c r="P121" s="71"/>
      <c r="Q121" s="93"/>
      <c r="R121" s="33" t="s">
        <v>51</v>
      </c>
      <c r="S121" s="36" t="s">
        <v>100</v>
      </c>
      <c r="T121" s="33" t="s">
        <v>77</v>
      </c>
      <c r="U121" s="65">
        <v>30</v>
      </c>
      <c r="V121" s="197">
        <v>0</v>
      </c>
      <c r="W121" s="90">
        <v>0</v>
      </c>
      <c r="X121" s="91">
        <v>10</v>
      </c>
      <c r="Y121" s="92">
        <v>10</v>
      </c>
      <c r="Z121" s="81">
        <v>10</v>
      </c>
      <c r="AA121" s="70">
        <f t="shared" si="136"/>
        <v>30</v>
      </c>
      <c r="AB121" s="35">
        <v>0</v>
      </c>
      <c r="AC121" s="65">
        <v>1</v>
      </c>
      <c r="AD121" s="197">
        <v>0</v>
      </c>
      <c r="AE121" s="90">
        <v>0</v>
      </c>
      <c r="AF121" s="91">
        <v>0</v>
      </c>
      <c r="AG121" s="92">
        <v>0</v>
      </c>
      <c r="AH121" s="81">
        <v>0</v>
      </c>
      <c r="AI121" s="70">
        <f t="shared" si="137"/>
        <v>0</v>
      </c>
      <c r="AJ121" s="71">
        <v>0</v>
      </c>
      <c r="AK121" s="65"/>
      <c r="AL121" s="33"/>
      <c r="AM121" s="72"/>
      <c r="AN121" s="93"/>
      <c r="AO121" s="94"/>
      <c r="AP121" s="33" t="s">
        <v>58</v>
      </c>
      <c r="AQ121" s="65">
        <v>1</v>
      </c>
      <c r="AR121" s="73">
        <v>0</v>
      </c>
      <c r="AS121" s="48">
        <v>0</v>
      </c>
      <c r="AT121" s="75">
        <v>1</v>
      </c>
      <c r="AU121" s="76"/>
      <c r="AV121" s="65"/>
      <c r="AW121" s="33"/>
      <c r="AX121" s="32" t="s">
        <v>147</v>
      </c>
    </row>
    <row r="122" spans="1:286" s="77" customFormat="1" ht="82.5" customHeight="1" x14ac:dyDescent="0.25">
      <c r="A122" s="297"/>
      <c r="B122" s="30" t="s">
        <v>45</v>
      </c>
      <c r="C122" s="31" t="s">
        <v>194</v>
      </c>
      <c r="D122" s="32" t="s">
        <v>106</v>
      </c>
      <c r="E122" s="32" t="s">
        <v>48</v>
      </c>
      <c r="F122" s="217"/>
      <c r="G122" s="65" t="s">
        <v>71</v>
      </c>
      <c r="H122" s="65">
        <v>10</v>
      </c>
      <c r="I122" s="89">
        <v>2</v>
      </c>
      <c r="J122" s="90">
        <v>0</v>
      </c>
      <c r="K122" s="91">
        <v>5</v>
      </c>
      <c r="L122" s="92">
        <v>0</v>
      </c>
      <c r="M122" s="81">
        <v>5</v>
      </c>
      <c r="N122" s="70">
        <f t="shared" si="146"/>
        <v>12</v>
      </c>
      <c r="O122" s="71">
        <v>0</v>
      </c>
      <c r="P122" s="71"/>
      <c r="Q122" s="93"/>
      <c r="R122" s="33" t="s">
        <v>51</v>
      </c>
      <c r="S122" s="36" t="s">
        <v>195</v>
      </c>
      <c r="T122" s="33" t="s">
        <v>77</v>
      </c>
      <c r="U122" s="65">
        <v>10</v>
      </c>
      <c r="V122" s="197">
        <v>2</v>
      </c>
      <c r="W122" s="90">
        <v>0</v>
      </c>
      <c r="X122" s="91">
        <v>0</v>
      </c>
      <c r="Y122" s="92">
        <v>5</v>
      </c>
      <c r="Z122" s="81">
        <v>5</v>
      </c>
      <c r="AA122" s="70">
        <f t="shared" si="136"/>
        <v>12</v>
      </c>
      <c r="AB122" s="35">
        <v>0</v>
      </c>
      <c r="AC122" s="65">
        <v>1</v>
      </c>
      <c r="AD122" s="197">
        <v>0</v>
      </c>
      <c r="AE122" s="90">
        <v>0</v>
      </c>
      <c r="AF122" s="91">
        <v>0</v>
      </c>
      <c r="AG122" s="92">
        <v>0</v>
      </c>
      <c r="AH122" s="81">
        <v>0</v>
      </c>
      <c r="AI122" s="70">
        <f t="shared" si="137"/>
        <v>0</v>
      </c>
      <c r="AJ122" s="71">
        <v>0</v>
      </c>
      <c r="AK122" s="65"/>
      <c r="AL122" s="33"/>
      <c r="AM122" s="72"/>
      <c r="AN122" s="93"/>
      <c r="AO122" s="94"/>
      <c r="AP122" s="33" t="s">
        <v>58</v>
      </c>
      <c r="AQ122" s="65">
        <v>1</v>
      </c>
      <c r="AR122" s="73">
        <v>0</v>
      </c>
      <c r="AS122" s="48">
        <v>0</v>
      </c>
      <c r="AT122" s="75">
        <v>1</v>
      </c>
      <c r="AU122" s="76"/>
      <c r="AV122" s="65"/>
      <c r="AW122" s="33"/>
      <c r="AX122" s="32" t="s">
        <v>147</v>
      </c>
    </row>
    <row r="123" spans="1:286" s="79" customFormat="1" ht="82.5" customHeight="1" x14ac:dyDescent="0.25">
      <c r="A123" s="297"/>
      <c r="B123" s="30" t="s">
        <v>45</v>
      </c>
      <c r="C123" s="31" t="s">
        <v>194</v>
      </c>
      <c r="D123" s="32" t="s">
        <v>106</v>
      </c>
      <c r="E123" s="32" t="s">
        <v>48</v>
      </c>
      <c r="F123" s="51" t="s">
        <v>61</v>
      </c>
      <c r="G123" s="83"/>
      <c r="H123" s="84">
        <f>SUM(H120:H122)</f>
        <v>50</v>
      </c>
      <c r="I123" s="84">
        <f t="shared" ref="I123" si="236">SUM(I120:I122)</f>
        <v>2</v>
      </c>
      <c r="J123" s="84">
        <f t="shared" ref="J123:M123" si="237">SUM(J120:J122)</f>
        <v>0</v>
      </c>
      <c r="K123" s="84">
        <f t="shared" si="237"/>
        <v>10</v>
      </c>
      <c r="L123" s="84">
        <f t="shared" si="237"/>
        <v>6</v>
      </c>
      <c r="M123" s="84">
        <f t="shared" si="237"/>
        <v>20</v>
      </c>
      <c r="N123" s="84">
        <f t="shared" si="146"/>
        <v>38</v>
      </c>
      <c r="O123" s="84">
        <f t="shared" ref="O123:P123" si="238">SUM(O120:O122)</f>
        <v>0</v>
      </c>
      <c r="P123" s="84">
        <f t="shared" si="238"/>
        <v>0</v>
      </c>
      <c r="Q123" s="96"/>
      <c r="R123" s="85"/>
      <c r="S123" s="53"/>
      <c r="T123" s="51"/>
      <c r="U123" s="84">
        <f t="shared" ref="U123:AJ123" si="239">SUM(U120:U122)</f>
        <v>50</v>
      </c>
      <c r="V123" s="84">
        <f t="shared" si="239"/>
        <v>2</v>
      </c>
      <c r="W123" s="84">
        <f t="shared" si="239"/>
        <v>0</v>
      </c>
      <c r="X123" s="84">
        <f t="shared" si="239"/>
        <v>10</v>
      </c>
      <c r="Y123" s="84">
        <f t="shared" si="239"/>
        <v>20</v>
      </c>
      <c r="Z123" s="84">
        <f t="shared" si="239"/>
        <v>20</v>
      </c>
      <c r="AA123" s="84">
        <f t="shared" si="136"/>
        <v>52</v>
      </c>
      <c r="AB123" s="84">
        <f t="shared" si="239"/>
        <v>0</v>
      </c>
      <c r="AC123" s="84">
        <f t="shared" si="239"/>
        <v>3</v>
      </c>
      <c r="AD123" s="84">
        <f t="shared" si="239"/>
        <v>0</v>
      </c>
      <c r="AE123" s="84">
        <f t="shared" si="239"/>
        <v>0</v>
      </c>
      <c r="AF123" s="84">
        <f t="shared" si="239"/>
        <v>0</v>
      </c>
      <c r="AG123" s="84">
        <f t="shared" si="239"/>
        <v>0</v>
      </c>
      <c r="AH123" s="84">
        <f t="shared" si="239"/>
        <v>0</v>
      </c>
      <c r="AI123" s="84">
        <f t="shared" si="137"/>
        <v>0</v>
      </c>
      <c r="AJ123" s="84">
        <f t="shared" si="239"/>
        <v>0</v>
      </c>
      <c r="AK123" s="83"/>
      <c r="AL123" s="85"/>
      <c r="AM123" s="83"/>
      <c r="AN123" s="96"/>
      <c r="AO123" s="96"/>
      <c r="AP123" s="51"/>
      <c r="AQ123" s="83">
        <f>SUM(AQ120:AQ122)</f>
        <v>3</v>
      </c>
      <c r="AR123" s="83">
        <f t="shared" ref="AR123:AT123" si="240">SUM(AR120:AR122)</f>
        <v>0</v>
      </c>
      <c r="AS123" s="83">
        <f t="shared" si="240"/>
        <v>0</v>
      </c>
      <c r="AT123" s="83">
        <f t="shared" si="240"/>
        <v>3</v>
      </c>
      <c r="AU123" s="87"/>
      <c r="AV123" s="83"/>
      <c r="AW123" s="51"/>
      <c r="AX123" s="51" t="s">
        <v>147</v>
      </c>
      <c r="AY123" s="77"/>
      <c r="AZ123" s="77"/>
      <c r="BA123" s="77"/>
      <c r="BB123" s="77"/>
      <c r="BC123" s="77"/>
      <c r="BD123" s="77"/>
      <c r="BE123" s="77"/>
      <c r="BF123" s="77"/>
      <c r="BG123" s="77"/>
      <c r="BH123" s="77"/>
      <c r="BI123" s="77"/>
      <c r="BJ123" s="77"/>
      <c r="BK123" s="77"/>
      <c r="BL123" s="77"/>
      <c r="BM123" s="77"/>
      <c r="BN123" s="77"/>
      <c r="BO123" s="77"/>
      <c r="BP123" s="77"/>
      <c r="BQ123" s="77"/>
      <c r="BR123" s="77"/>
      <c r="BS123" s="77"/>
      <c r="BT123" s="77"/>
      <c r="BU123" s="77"/>
      <c r="BV123" s="77"/>
      <c r="BW123" s="77"/>
      <c r="BX123" s="77"/>
      <c r="BY123" s="77"/>
      <c r="BZ123" s="77"/>
      <c r="CA123" s="77"/>
      <c r="CB123" s="77"/>
      <c r="CC123" s="77"/>
      <c r="CD123" s="77"/>
      <c r="CE123" s="77"/>
      <c r="CF123" s="77"/>
      <c r="CG123" s="77"/>
      <c r="CH123" s="77"/>
      <c r="CI123" s="77"/>
      <c r="CJ123" s="77"/>
      <c r="CK123" s="77"/>
      <c r="CL123" s="77"/>
      <c r="CM123" s="77"/>
      <c r="CN123" s="77"/>
      <c r="CO123" s="77"/>
      <c r="CP123" s="77"/>
      <c r="CQ123" s="77"/>
      <c r="CR123" s="77"/>
      <c r="CS123" s="77"/>
      <c r="CT123" s="77"/>
      <c r="CU123" s="77"/>
      <c r="CV123" s="77"/>
      <c r="CW123" s="77"/>
      <c r="CX123" s="77"/>
      <c r="CY123" s="77"/>
      <c r="CZ123" s="77"/>
      <c r="DA123" s="77"/>
      <c r="DB123" s="77"/>
      <c r="DC123" s="77"/>
      <c r="DD123" s="77"/>
      <c r="DE123" s="77"/>
      <c r="DF123" s="77"/>
      <c r="DG123" s="77"/>
      <c r="DH123" s="77"/>
      <c r="DI123" s="77"/>
      <c r="DJ123" s="77"/>
      <c r="DK123" s="77"/>
      <c r="DL123" s="77"/>
      <c r="DM123" s="77"/>
      <c r="DN123" s="77"/>
      <c r="DO123" s="77"/>
      <c r="DP123" s="77"/>
      <c r="DQ123" s="77"/>
      <c r="DR123" s="77"/>
      <c r="DS123" s="77"/>
      <c r="DT123" s="77"/>
      <c r="DU123" s="77"/>
      <c r="DV123" s="77"/>
      <c r="DW123" s="77"/>
      <c r="DX123" s="77"/>
      <c r="DY123" s="77"/>
      <c r="DZ123" s="77"/>
      <c r="EA123" s="77"/>
      <c r="EB123" s="77"/>
      <c r="EC123" s="77"/>
      <c r="ED123" s="77"/>
      <c r="EE123" s="77"/>
      <c r="EF123" s="77"/>
      <c r="EG123" s="77"/>
      <c r="EH123" s="77"/>
      <c r="EI123" s="77"/>
      <c r="EJ123" s="77"/>
      <c r="EK123" s="77"/>
      <c r="EL123" s="77"/>
      <c r="EM123" s="77"/>
      <c r="EN123" s="77"/>
      <c r="EO123" s="77"/>
      <c r="EP123" s="77"/>
      <c r="EQ123" s="77"/>
      <c r="ER123" s="77"/>
      <c r="ES123" s="77"/>
      <c r="ET123" s="77"/>
      <c r="EU123" s="77"/>
      <c r="EV123" s="77"/>
      <c r="EW123" s="77"/>
      <c r="EX123" s="77"/>
      <c r="EY123" s="77"/>
      <c r="EZ123" s="77"/>
      <c r="FA123" s="77"/>
      <c r="FB123" s="77"/>
      <c r="FC123" s="77"/>
      <c r="FD123" s="77"/>
      <c r="FE123" s="77"/>
      <c r="FF123" s="77"/>
      <c r="FG123" s="77"/>
      <c r="FH123" s="77"/>
      <c r="FI123" s="77"/>
      <c r="FJ123" s="77"/>
      <c r="FK123" s="77"/>
      <c r="FL123" s="77"/>
      <c r="FM123" s="77"/>
      <c r="FN123" s="77"/>
      <c r="FO123" s="77"/>
      <c r="FP123" s="77"/>
      <c r="FQ123" s="77"/>
      <c r="FR123" s="77"/>
      <c r="FS123" s="77"/>
      <c r="FT123" s="77"/>
      <c r="FU123" s="77"/>
      <c r="FV123" s="77"/>
      <c r="FW123" s="77"/>
      <c r="FX123" s="77"/>
      <c r="FY123" s="77"/>
      <c r="FZ123" s="77"/>
      <c r="GA123" s="77"/>
      <c r="GB123" s="77"/>
      <c r="GC123" s="77"/>
      <c r="GD123" s="77"/>
      <c r="GE123" s="77"/>
      <c r="GF123" s="77"/>
      <c r="GG123" s="77"/>
      <c r="GH123" s="77"/>
      <c r="GI123" s="77"/>
      <c r="GJ123" s="77"/>
      <c r="GK123" s="77"/>
      <c r="GL123" s="77"/>
      <c r="GM123" s="77"/>
      <c r="GN123" s="77"/>
      <c r="GO123" s="77"/>
      <c r="GP123" s="77"/>
      <c r="GQ123" s="77"/>
      <c r="GR123" s="77"/>
      <c r="GS123" s="77"/>
      <c r="GT123" s="77"/>
      <c r="GU123" s="77"/>
      <c r="GV123" s="77"/>
      <c r="GW123" s="77"/>
      <c r="GX123" s="77"/>
      <c r="GY123" s="77"/>
      <c r="GZ123" s="77"/>
      <c r="HA123" s="77"/>
      <c r="HB123" s="77"/>
      <c r="HC123" s="77"/>
      <c r="HD123" s="77"/>
      <c r="HE123" s="77"/>
      <c r="HF123" s="77"/>
      <c r="HG123" s="77"/>
      <c r="HH123" s="77"/>
      <c r="HI123" s="77"/>
      <c r="HJ123" s="77"/>
      <c r="HK123" s="77"/>
      <c r="HL123" s="77"/>
      <c r="HM123" s="77"/>
      <c r="HN123" s="77"/>
      <c r="HO123" s="77"/>
      <c r="HP123" s="77"/>
      <c r="HQ123" s="77"/>
      <c r="HR123" s="77"/>
      <c r="HS123" s="77"/>
      <c r="HT123" s="77"/>
      <c r="HU123" s="77"/>
      <c r="HV123" s="77"/>
      <c r="HW123" s="77"/>
      <c r="HX123" s="77"/>
      <c r="HY123" s="77"/>
      <c r="HZ123" s="77"/>
      <c r="IA123" s="77"/>
      <c r="IB123" s="77"/>
      <c r="IC123" s="77"/>
      <c r="ID123" s="77"/>
      <c r="IE123" s="77"/>
      <c r="IF123" s="77"/>
      <c r="IG123" s="77"/>
      <c r="IH123" s="77"/>
      <c r="II123" s="77"/>
      <c r="IJ123" s="77"/>
      <c r="IK123" s="77"/>
      <c r="IL123" s="77"/>
      <c r="IM123" s="77"/>
      <c r="IN123" s="77"/>
      <c r="IO123" s="77"/>
      <c r="IP123" s="77"/>
      <c r="IQ123" s="77"/>
      <c r="IR123" s="77"/>
      <c r="IS123" s="77"/>
      <c r="IT123" s="77"/>
      <c r="IU123" s="77"/>
      <c r="IV123" s="77"/>
      <c r="IW123" s="77"/>
      <c r="IX123" s="77"/>
      <c r="IY123" s="77"/>
      <c r="IZ123" s="77"/>
      <c r="JA123" s="77"/>
      <c r="JB123" s="77"/>
      <c r="JC123" s="77"/>
      <c r="JD123" s="77"/>
      <c r="JE123" s="77"/>
      <c r="JF123" s="77"/>
      <c r="JG123" s="77"/>
      <c r="JH123" s="77"/>
      <c r="JI123" s="77"/>
      <c r="JJ123" s="77"/>
      <c r="JK123" s="77"/>
      <c r="JL123" s="77"/>
      <c r="JM123" s="77"/>
      <c r="JN123" s="77"/>
      <c r="JO123" s="77"/>
      <c r="JP123" s="77"/>
      <c r="JQ123" s="77"/>
      <c r="JR123" s="77"/>
      <c r="JS123" s="77"/>
      <c r="JT123" s="77"/>
      <c r="JU123" s="77"/>
      <c r="JV123" s="77"/>
      <c r="JW123" s="77"/>
      <c r="JX123" s="77"/>
      <c r="JY123" s="77"/>
      <c r="JZ123" s="77"/>
    </row>
    <row r="124" spans="1:286" s="9" customFormat="1" ht="82.5" customHeight="1" x14ac:dyDescent="0.25">
      <c r="A124" s="298"/>
      <c r="B124" s="30" t="s">
        <v>45</v>
      </c>
      <c r="C124" s="31" t="s">
        <v>196</v>
      </c>
      <c r="D124" s="32" t="s">
        <v>197</v>
      </c>
      <c r="E124" s="32" t="s">
        <v>48</v>
      </c>
      <c r="F124" s="33" t="s">
        <v>49</v>
      </c>
      <c r="G124" s="33" t="s">
        <v>139</v>
      </c>
      <c r="H124" s="33">
        <v>10</v>
      </c>
      <c r="I124" s="37">
        <v>0</v>
      </c>
      <c r="J124" s="38">
        <v>0</v>
      </c>
      <c r="K124" s="39">
        <v>5</v>
      </c>
      <c r="L124" s="40">
        <v>1</v>
      </c>
      <c r="M124" s="41">
        <v>3</v>
      </c>
      <c r="N124" s="42">
        <f t="shared" si="146"/>
        <v>9</v>
      </c>
      <c r="O124" s="35">
        <v>0</v>
      </c>
      <c r="P124" s="35"/>
      <c r="Q124" s="33"/>
      <c r="R124" s="33" t="s">
        <v>51</v>
      </c>
      <c r="S124" s="36" t="s">
        <v>93</v>
      </c>
      <c r="T124" s="33" t="s">
        <v>77</v>
      </c>
      <c r="U124" s="33">
        <v>10</v>
      </c>
      <c r="V124" s="195">
        <v>0</v>
      </c>
      <c r="W124" s="38">
        <v>0</v>
      </c>
      <c r="X124" s="39">
        <v>5</v>
      </c>
      <c r="Y124" s="40">
        <v>2</v>
      </c>
      <c r="Z124" s="41">
        <v>3</v>
      </c>
      <c r="AA124" s="42">
        <f t="shared" si="136"/>
        <v>10</v>
      </c>
      <c r="AB124" s="35">
        <v>0</v>
      </c>
      <c r="AC124" s="33">
        <v>1</v>
      </c>
      <c r="AD124" s="195">
        <v>0</v>
      </c>
      <c r="AE124" s="38">
        <v>0</v>
      </c>
      <c r="AF124" s="39">
        <v>0</v>
      </c>
      <c r="AG124" s="40">
        <v>0</v>
      </c>
      <c r="AH124" s="41">
        <v>0</v>
      </c>
      <c r="AI124" s="42">
        <f t="shared" si="137"/>
        <v>0</v>
      </c>
      <c r="AJ124" s="35">
        <v>0</v>
      </c>
      <c r="AK124" s="33"/>
      <c r="AL124" s="33"/>
      <c r="AM124" s="46"/>
      <c r="AN124" s="33"/>
      <c r="AO124" s="46"/>
      <c r="AP124" s="33" t="s">
        <v>154</v>
      </c>
      <c r="AQ124" s="33">
        <v>1</v>
      </c>
      <c r="AR124" s="47">
        <v>1</v>
      </c>
      <c r="AS124" s="48">
        <v>0</v>
      </c>
      <c r="AT124" s="49">
        <v>0</v>
      </c>
      <c r="AU124" s="33"/>
      <c r="AV124" s="33"/>
      <c r="AW124" s="33"/>
      <c r="AX124" s="32" t="s">
        <v>108</v>
      </c>
    </row>
    <row r="125" spans="1:286" s="110" customFormat="1" ht="82.5" customHeight="1" x14ac:dyDescent="0.25">
      <c r="A125" s="296"/>
      <c r="B125" s="30" t="s">
        <v>45</v>
      </c>
      <c r="C125" s="31" t="s">
        <v>196</v>
      </c>
      <c r="D125" s="32" t="s">
        <v>197</v>
      </c>
      <c r="E125" s="32" t="s">
        <v>48</v>
      </c>
      <c r="F125" s="51" t="s">
        <v>61</v>
      </c>
      <c r="G125" s="51"/>
      <c r="H125" s="52">
        <f>SUM(H124)</f>
        <v>10</v>
      </c>
      <c r="I125" s="52">
        <f t="shared" ref="I125" si="241">SUM(I124)</f>
        <v>0</v>
      </c>
      <c r="J125" s="52">
        <f t="shared" ref="J125:P125" si="242">SUM(J124)</f>
        <v>0</v>
      </c>
      <c r="K125" s="52">
        <f t="shared" si="242"/>
        <v>5</v>
      </c>
      <c r="L125" s="52">
        <f t="shared" si="242"/>
        <v>1</v>
      </c>
      <c r="M125" s="52">
        <f t="shared" si="242"/>
        <v>3</v>
      </c>
      <c r="N125" s="52">
        <f t="shared" si="146"/>
        <v>9</v>
      </c>
      <c r="O125" s="52">
        <f t="shared" si="242"/>
        <v>0</v>
      </c>
      <c r="P125" s="52">
        <f t="shared" si="242"/>
        <v>0</v>
      </c>
      <c r="Q125" s="51"/>
      <c r="R125" s="85"/>
      <c r="S125" s="53"/>
      <c r="T125" s="51"/>
      <c r="U125" s="52">
        <f t="shared" ref="U125:AJ125" si="243">SUM(U124)</f>
        <v>10</v>
      </c>
      <c r="V125" s="52">
        <f t="shared" si="243"/>
        <v>0</v>
      </c>
      <c r="W125" s="52">
        <f t="shared" si="243"/>
        <v>0</v>
      </c>
      <c r="X125" s="52">
        <f t="shared" si="243"/>
        <v>5</v>
      </c>
      <c r="Y125" s="52">
        <f t="shared" si="243"/>
        <v>2</v>
      </c>
      <c r="Z125" s="52">
        <f t="shared" si="243"/>
        <v>3</v>
      </c>
      <c r="AA125" s="52">
        <f t="shared" si="136"/>
        <v>10</v>
      </c>
      <c r="AB125" s="52">
        <f t="shared" si="243"/>
        <v>0</v>
      </c>
      <c r="AC125" s="52">
        <f t="shared" si="243"/>
        <v>1</v>
      </c>
      <c r="AD125" s="52">
        <f t="shared" si="243"/>
        <v>0</v>
      </c>
      <c r="AE125" s="52">
        <f t="shared" si="243"/>
        <v>0</v>
      </c>
      <c r="AF125" s="52">
        <f t="shared" si="243"/>
        <v>0</v>
      </c>
      <c r="AG125" s="52">
        <f t="shared" si="243"/>
        <v>0</v>
      </c>
      <c r="AH125" s="52">
        <f t="shared" si="243"/>
        <v>0</v>
      </c>
      <c r="AI125" s="52">
        <f t="shared" si="137"/>
        <v>0</v>
      </c>
      <c r="AJ125" s="52">
        <f t="shared" si="243"/>
        <v>0</v>
      </c>
      <c r="AK125" s="51"/>
      <c r="AL125" s="85"/>
      <c r="AM125" s="51"/>
      <c r="AN125" s="51"/>
      <c r="AO125" s="51"/>
      <c r="AP125" s="51"/>
      <c r="AQ125" s="51">
        <f>SUM(AQ124)</f>
        <v>1</v>
      </c>
      <c r="AR125" s="51">
        <f t="shared" ref="AR125:AT125" si="244">SUM(AR124)</f>
        <v>1</v>
      </c>
      <c r="AS125" s="51">
        <f t="shared" si="244"/>
        <v>0</v>
      </c>
      <c r="AT125" s="51">
        <f t="shared" si="244"/>
        <v>0</v>
      </c>
      <c r="AU125" s="51"/>
      <c r="AV125" s="51"/>
      <c r="AW125" s="51"/>
      <c r="AX125" s="51" t="s">
        <v>108</v>
      </c>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c r="DN125" s="9"/>
      <c r="DO125" s="9"/>
      <c r="DP125" s="9"/>
      <c r="DQ125" s="9"/>
      <c r="DR125" s="9"/>
      <c r="DS125" s="9"/>
      <c r="DT125" s="9"/>
      <c r="DU125" s="9"/>
      <c r="DV125" s="9"/>
      <c r="DW125" s="9"/>
      <c r="DX125" s="9"/>
      <c r="DY125" s="9"/>
      <c r="DZ125" s="9"/>
      <c r="EA125" s="9"/>
      <c r="EB125" s="9"/>
      <c r="EC125" s="9"/>
      <c r="ED125" s="9"/>
      <c r="EE125" s="9"/>
      <c r="EF125" s="9"/>
      <c r="EG125" s="9"/>
      <c r="EH125" s="9"/>
      <c r="EI125" s="9"/>
      <c r="EJ125" s="9"/>
      <c r="EK125" s="9"/>
      <c r="EL125" s="9"/>
      <c r="EM125" s="9"/>
      <c r="EN125" s="9"/>
      <c r="EO125" s="9"/>
      <c r="EP125" s="9"/>
      <c r="EQ125" s="9"/>
      <c r="ER125" s="9"/>
      <c r="ES125" s="9"/>
      <c r="ET125" s="9"/>
      <c r="EU125" s="9"/>
      <c r="EV125" s="9"/>
      <c r="EW125" s="9"/>
      <c r="EX125" s="9"/>
      <c r="EY125" s="9"/>
      <c r="EZ125" s="9"/>
      <c r="FA125" s="9"/>
      <c r="FB125" s="9"/>
      <c r="FC125" s="9"/>
      <c r="FD125" s="9"/>
      <c r="FE125" s="9"/>
      <c r="FF125" s="9"/>
      <c r="FG125" s="9"/>
      <c r="FH125" s="9"/>
      <c r="FI125" s="9"/>
      <c r="FJ125" s="9"/>
      <c r="FK125" s="9"/>
      <c r="FL125" s="9"/>
      <c r="FM125" s="9"/>
      <c r="FN125" s="9"/>
      <c r="FO125" s="9"/>
      <c r="FP125" s="9"/>
      <c r="FQ125" s="9"/>
      <c r="FR125" s="9"/>
      <c r="FS125" s="9"/>
      <c r="FT125" s="9"/>
      <c r="FU125" s="9"/>
      <c r="FV125" s="9"/>
      <c r="FW125" s="9"/>
      <c r="FX125" s="9"/>
      <c r="FY125" s="9"/>
      <c r="FZ125" s="9"/>
      <c r="GA125" s="9"/>
      <c r="GB125" s="9"/>
      <c r="GC125" s="9"/>
      <c r="GD125" s="9"/>
      <c r="GE125" s="9"/>
      <c r="GF125" s="9"/>
      <c r="GG125" s="9"/>
      <c r="GH125" s="9"/>
      <c r="GI125" s="9"/>
      <c r="GJ125" s="9"/>
      <c r="GK125" s="9"/>
      <c r="GL125" s="9"/>
      <c r="GM125" s="9"/>
      <c r="GN125" s="9"/>
      <c r="GO125" s="9"/>
      <c r="GP125" s="9"/>
      <c r="GQ125" s="9"/>
      <c r="GR125" s="9"/>
      <c r="GS125" s="9"/>
      <c r="GT125" s="9"/>
      <c r="GU125" s="9"/>
      <c r="GV125" s="9"/>
      <c r="GW125" s="9"/>
      <c r="GX125" s="9"/>
      <c r="GY125" s="9"/>
      <c r="GZ125" s="9"/>
      <c r="HA125" s="9"/>
      <c r="HB125" s="9"/>
      <c r="HC125" s="9"/>
      <c r="HD125" s="9"/>
      <c r="HE125" s="9"/>
      <c r="HF125" s="9"/>
      <c r="HG125" s="9"/>
      <c r="HH125" s="9"/>
      <c r="HI125" s="9"/>
      <c r="HJ125" s="9"/>
      <c r="HK125" s="9"/>
      <c r="HL125" s="9"/>
      <c r="HM125" s="9"/>
      <c r="HN125" s="9"/>
      <c r="HO125" s="9"/>
      <c r="HP125" s="9"/>
      <c r="HQ125" s="9"/>
      <c r="HR125" s="9"/>
      <c r="HS125" s="9"/>
      <c r="HT125" s="9"/>
      <c r="HU125" s="9"/>
      <c r="HV125" s="9"/>
      <c r="HW125" s="9"/>
      <c r="HX125" s="9"/>
      <c r="HY125" s="9"/>
      <c r="HZ125" s="9"/>
      <c r="IA125" s="9"/>
      <c r="IB125" s="9"/>
      <c r="IC125" s="9"/>
      <c r="ID125" s="9"/>
      <c r="IE125" s="9"/>
      <c r="IF125" s="9"/>
      <c r="IG125" s="9"/>
      <c r="IH125" s="9"/>
      <c r="II125" s="9"/>
      <c r="IJ125" s="9"/>
      <c r="IK125" s="9"/>
      <c r="IL125" s="9"/>
      <c r="IM125" s="9"/>
      <c r="IN125" s="9"/>
      <c r="IO125" s="9"/>
      <c r="IP125" s="9"/>
      <c r="IQ125" s="9"/>
      <c r="IR125" s="9"/>
      <c r="IS125" s="9"/>
      <c r="IT125" s="9"/>
      <c r="IU125" s="9"/>
      <c r="IV125" s="9"/>
      <c r="IW125" s="9"/>
      <c r="IX125" s="9"/>
      <c r="IY125" s="9"/>
      <c r="IZ125" s="9"/>
      <c r="JA125" s="9"/>
      <c r="JB125" s="9"/>
      <c r="JC125" s="9"/>
      <c r="JD125" s="9"/>
      <c r="JE125" s="9"/>
      <c r="JF125" s="9"/>
      <c r="JG125" s="9"/>
      <c r="JH125" s="9"/>
      <c r="JI125" s="9"/>
      <c r="JJ125" s="9"/>
      <c r="JK125" s="9"/>
      <c r="JL125" s="9"/>
      <c r="JM125" s="9"/>
      <c r="JN125" s="9"/>
      <c r="JO125" s="9"/>
      <c r="JP125" s="9"/>
      <c r="JQ125" s="9"/>
      <c r="JR125" s="9"/>
      <c r="JS125" s="9"/>
      <c r="JT125" s="9"/>
      <c r="JU125" s="9"/>
      <c r="JV125" s="9"/>
      <c r="JW125" s="9"/>
      <c r="JX125" s="9"/>
      <c r="JY125" s="9"/>
      <c r="JZ125" s="9"/>
    </row>
    <row r="126" spans="1:286" s="9" customFormat="1" ht="82.5" customHeight="1" x14ac:dyDescent="0.25">
      <c r="A126" s="296"/>
      <c r="B126" s="30" t="s">
        <v>45</v>
      </c>
      <c r="C126" s="31" t="s">
        <v>198</v>
      </c>
      <c r="D126" s="32" t="s">
        <v>197</v>
      </c>
      <c r="E126" s="32" t="s">
        <v>70</v>
      </c>
      <c r="F126" s="33" t="s">
        <v>49</v>
      </c>
      <c r="G126" s="33" t="s">
        <v>71</v>
      </c>
      <c r="H126" s="33">
        <v>50</v>
      </c>
      <c r="I126" s="37">
        <v>2</v>
      </c>
      <c r="J126" s="38">
        <v>6</v>
      </c>
      <c r="K126" s="39">
        <v>19</v>
      </c>
      <c r="L126" s="40">
        <v>5</v>
      </c>
      <c r="M126" s="41">
        <v>13</v>
      </c>
      <c r="N126" s="42">
        <f t="shared" si="146"/>
        <v>45</v>
      </c>
      <c r="O126" s="35">
        <v>0</v>
      </c>
      <c r="P126" s="35"/>
      <c r="Q126" s="33"/>
      <c r="R126" s="33" t="s">
        <v>51</v>
      </c>
      <c r="S126" s="36" t="s">
        <v>199</v>
      </c>
      <c r="T126" s="33" t="s">
        <v>73</v>
      </c>
      <c r="U126" s="33">
        <v>50</v>
      </c>
      <c r="V126" s="195">
        <v>2</v>
      </c>
      <c r="W126" s="38">
        <v>6</v>
      </c>
      <c r="X126" s="39">
        <v>19</v>
      </c>
      <c r="Y126" s="40">
        <v>10</v>
      </c>
      <c r="Z126" s="41">
        <v>13</v>
      </c>
      <c r="AA126" s="42">
        <f t="shared" si="136"/>
        <v>50</v>
      </c>
      <c r="AB126" s="35">
        <v>0</v>
      </c>
      <c r="AC126" s="33">
        <v>25</v>
      </c>
      <c r="AD126" s="195">
        <v>2</v>
      </c>
      <c r="AE126" s="38">
        <v>8</v>
      </c>
      <c r="AF126" s="39">
        <v>9</v>
      </c>
      <c r="AG126" s="40">
        <v>2</v>
      </c>
      <c r="AH126" s="41">
        <v>3</v>
      </c>
      <c r="AI126" s="42">
        <f t="shared" si="137"/>
        <v>24</v>
      </c>
      <c r="AJ126" s="35">
        <v>0</v>
      </c>
      <c r="AK126" s="33"/>
      <c r="AL126" s="33"/>
      <c r="AM126" s="46"/>
      <c r="AN126" s="33"/>
      <c r="AO126" s="46"/>
      <c r="AP126" s="33" t="s">
        <v>200</v>
      </c>
      <c r="AQ126" s="33">
        <v>25</v>
      </c>
      <c r="AR126" s="47">
        <v>25</v>
      </c>
      <c r="AS126" s="48">
        <v>0</v>
      </c>
      <c r="AT126" s="49">
        <v>0</v>
      </c>
      <c r="AU126" s="33"/>
      <c r="AV126" s="33"/>
      <c r="AW126" s="33"/>
      <c r="AX126" s="32" t="s">
        <v>201</v>
      </c>
    </row>
    <row r="127" spans="1:286" s="110" customFormat="1" ht="82.5" customHeight="1" x14ac:dyDescent="0.25">
      <c r="A127" s="296"/>
      <c r="B127" s="30" t="s">
        <v>45</v>
      </c>
      <c r="C127" s="31" t="s">
        <v>198</v>
      </c>
      <c r="D127" s="32" t="s">
        <v>197</v>
      </c>
      <c r="E127" s="32" t="s">
        <v>70</v>
      </c>
      <c r="F127" s="51" t="s">
        <v>61</v>
      </c>
      <c r="G127" s="51"/>
      <c r="H127" s="52">
        <f>SUM(H126)</f>
        <v>50</v>
      </c>
      <c r="I127" s="52">
        <f t="shared" ref="I127" si="245">SUM(I126)</f>
        <v>2</v>
      </c>
      <c r="J127" s="52">
        <f t="shared" ref="J127:M127" si="246">SUM(J126)</f>
        <v>6</v>
      </c>
      <c r="K127" s="52">
        <f t="shared" si="246"/>
        <v>19</v>
      </c>
      <c r="L127" s="52">
        <f t="shared" si="246"/>
        <v>5</v>
      </c>
      <c r="M127" s="52">
        <f t="shared" si="246"/>
        <v>13</v>
      </c>
      <c r="N127" s="52">
        <f t="shared" si="146"/>
        <v>45</v>
      </c>
      <c r="O127" s="52">
        <f t="shared" ref="O127:P127" si="247">SUM(O126)</f>
        <v>0</v>
      </c>
      <c r="P127" s="52">
        <f t="shared" si="247"/>
        <v>0</v>
      </c>
      <c r="Q127" s="51"/>
      <c r="R127" s="85"/>
      <c r="S127" s="53"/>
      <c r="T127" s="51"/>
      <c r="U127" s="52">
        <f t="shared" ref="U127:AJ127" si="248">SUM(U126)</f>
        <v>50</v>
      </c>
      <c r="V127" s="52">
        <f t="shared" si="248"/>
        <v>2</v>
      </c>
      <c r="W127" s="52">
        <f t="shared" si="248"/>
        <v>6</v>
      </c>
      <c r="X127" s="52">
        <f t="shared" si="248"/>
        <v>19</v>
      </c>
      <c r="Y127" s="52">
        <f t="shared" si="248"/>
        <v>10</v>
      </c>
      <c r="Z127" s="52">
        <f t="shared" si="248"/>
        <v>13</v>
      </c>
      <c r="AA127" s="52">
        <f t="shared" si="136"/>
        <v>50</v>
      </c>
      <c r="AB127" s="52">
        <f t="shared" si="248"/>
        <v>0</v>
      </c>
      <c r="AC127" s="52">
        <f t="shared" si="248"/>
        <v>25</v>
      </c>
      <c r="AD127" s="52">
        <f t="shared" si="248"/>
        <v>2</v>
      </c>
      <c r="AE127" s="52">
        <f t="shared" si="248"/>
        <v>8</v>
      </c>
      <c r="AF127" s="52">
        <f t="shared" si="248"/>
        <v>9</v>
      </c>
      <c r="AG127" s="52">
        <f t="shared" si="248"/>
        <v>2</v>
      </c>
      <c r="AH127" s="52">
        <f t="shared" si="248"/>
        <v>3</v>
      </c>
      <c r="AI127" s="52">
        <f t="shared" si="137"/>
        <v>24</v>
      </c>
      <c r="AJ127" s="52">
        <f t="shared" si="248"/>
        <v>0</v>
      </c>
      <c r="AK127" s="51"/>
      <c r="AL127" s="85"/>
      <c r="AM127" s="51"/>
      <c r="AN127" s="51"/>
      <c r="AO127" s="51"/>
      <c r="AP127" s="51"/>
      <c r="AQ127" s="51">
        <f>SUM(AQ126)</f>
        <v>25</v>
      </c>
      <c r="AR127" s="51">
        <f t="shared" ref="AR127:AT127" si="249">SUM(AR126)</f>
        <v>25</v>
      </c>
      <c r="AS127" s="51">
        <f t="shared" si="249"/>
        <v>0</v>
      </c>
      <c r="AT127" s="51">
        <f t="shared" si="249"/>
        <v>0</v>
      </c>
      <c r="AU127" s="51"/>
      <c r="AV127" s="51"/>
      <c r="AW127" s="51"/>
      <c r="AX127" s="51" t="s">
        <v>201</v>
      </c>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c r="EG127" s="9"/>
      <c r="EH127" s="9"/>
      <c r="EI127" s="9"/>
      <c r="EJ127" s="9"/>
      <c r="EK127" s="9"/>
      <c r="EL127" s="9"/>
      <c r="EM127" s="9"/>
      <c r="EN127" s="9"/>
      <c r="EO127" s="9"/>
      <c r="EP127" s="9"/>
      <c r="EQ127" s="9"/>
      <c r="ER127" s="9"/>
      <c r="ES127" s="9"/>
      <c r="ET127" s="9"/>
      <c r="EU127" s="9"/>
      <c r="EV127" s="9"/>
      <c r="EW127" s="9"/>
      <c r="EX127" s="9"/>
      <c r="EY127" s="9"/>
      <c r="EZ127" s="9"/>
      <c r="FA127" s="9"/>
      <c r="FB127" s="9"/>
      <c r="FC127" s="9"/>
      <c r="FD127" s="9"/>
      <c r="FE127" s="9"/>
      <c r="FF127" s="9"/>
      <c r="FG127" s="9"/>
      <c r="FH127" s="9"/>
      <c r="FI127" s="9"/>
      <c r="FJ127" s="9"/>
      <c r="FK127" s="9"/>
      <c r="FL127" s="9"/>
      <c r="FM127" s="9"/>
      <c r="FN127" s="9"/>
      <c r="FO127" s="9"/>
      <c r="FP127" s="9"/>
      <c r="FQ127" s="9"/>
      <c r="FR127" s="9"/>
      <c r="FS127" s="9"/>
      <c r="FT127" s="9"/>
      <c r="FU127" s="9"/>
      <c r="FV127" s="9"/>
      <c r="FW127" s="9"/>
      <c r="FX127" s="9"/>
      <c r="FY127" s="9"/>
      <c r="FZ127" s="9"/>
      <c r="GA127" s="9"/>
      <c r="GB127" s="9"/>
      <c r="GC127" s="9"/>
      <c r="GD127" s="9"/>
      <c r="GE127" s="9"/>
      <c r="GF127" s="9"/>
      <c r="GG127" s="9"/>
      <c r="GH127" s="9"/>
      <c r="GI127" s="9"/>
      <c r="GJ127" s="9"/>
      <c r="GK127" s="9"/>
      <c r="GL127" s="9"/>
      <c r="GM127" s="9"/>
      <c r="GN127" s="9"/>
      <c r="GO127" s="9"/>
      <c r="GP127" s="9"/>
      <c r="GQ127" s="9"/>
      <c r="GR127" s="9"/>
      <c r="GS127" s="9"/>
      <c r="GT127" s="9"/>
      <c r="GU127" s="9"/>
      <c r="GV127" s="9"/>
      <c r="GW127" s="9"/>
      <c r="GX127" s="9"/>
      <c r="GY127" s="9"/>
      <c r="GZ127" s="9"/>
      <c r="HA127" s="9"/>
      <c r="HB127" s="9"/>
      <c r="HC127" s="9"/>
      <c r="HD127" s="9"/>
      <c r="HE127" s="9"/>
      <c r="HF127" s="9"/>
      <c r="HG127" s="9"/>
      <c r="HH127" s="9"/>
      <c r="HI127" s="9"/>
      <c r="HJ127" s="9"/>
      <c r="HK127" s="9"/>
      <c r="HL127" s="9"/>
      <c r="HM127" s="9"/>
      <c r="HN127" s="9"/>
      <c r="HO127" s="9"/>
      <c r="HP127" s="9"/>
      <c r="HQ127" s="9"/>
      <c r="HR127" s="9"/>
      <c r="HS127" s="9"/>
      <c r="HT127" s="9"/>
      <c r="HU127" s="9"/>
      <c r="HV127" s="9"/>
      <c r="HW127" s="9"/>
      <c r="HX127" s="9"/>
      <c r="HY127" s="9"/>
      <c r="HZ127" s="9"/>
      <c r="IA127" s="9"/>
      <c r="IB127" s="9"/>
      <c r="IC127" s="9"/>
      <c r="ID127" s="9"/>
      <c r="IE127" s="9"/>
      <c r="IF127" s="9"/>
      <c r="IG127" s="9"/>
      <c r="IH127" s="9"/>
      <c r="II127" s="9"/>
      <c r="IJ127" s="9"/>
      <c r="IK127" s="9"/>
      <c r="IL127" s="9"/>
      <c r="IM127" s="9"/>
      <c r="IN127" s="9"/>
      <c r="IO127" s="9"/>
      <c r="IP127" s="9"/>
      <c r="IQ127" s="9"/>
      <c r="IR127" s="9"/>
      <c r="IS127" s="9"/>
      <c r="IT127" s="9"/>
      <c r="IU127" s="9"/>
      <c r="IV127" s="9"/>
      <c r="IW127" s="9"/>
      <c r="IX127" s="9"/>
      <c r="IY127" s="9"/>
      <c r="IZ127" s="9"/>
      <c r="JA127" s="9"/>
      <c r="JB127" s="9"/>
      <c r="JC127" s="9"/>
      <c r="JD127" s="9"/>
      <c r="JE127" s="9"/>
      <c r="JF127" s="9"/>
      <c r="JG127" s="9"/>
      <c r="JH127" s="9"/>
      <c r="JI127" s="9"/>
      <c r="JJ127" s="9"/>
      <c r="JK127" s="9"/>
      <c r="JL127" s="9"/>
      <c r="JM127" s="9"/>
      <c r="JN127" s="9"/>
      <c r="JO127" s="9"/>
      <c r="JP127" s="9"/>
      <c r="JQ127" s="9"/>
      <c r="JR127" s="9"/>
      <c r="JS127" s="9"/>
      <c r="JT127" s="9"/>
      <c r="JU127" s="9"/>
      <c r="JV127" s="9"/>
      <c r="JW127" s="9"/>
      <c r="JX127" s="9"/>
      <c r="JY127" s="9"/>
      <c r="JZ127" s="9"/>
    </row>
    <row r="128" spans="1:286" s="9" customFormat="1" ht="82.5" customHeight="1" x14ac:dyDescent="0.25">
      <c r="A128" s="296"/>
      <c r="B128" s="30" t="s">
        <v>45</v>
      </c>
      <c r="C128" s="31" t="s">
        <v>202</v>
      </c>
      <c r="D128" s="32" t="s">
        <v>197</v>
      </c>
      <c r="E128" s="32" t="s">
        <v>70</v>
      </c>
      <c r="F128" s="33" t="s">
        <v>49</v>
      </c>
      <c r="G128" s="33" t="s">
        <v>71</v>
      </c>
      <c r="H128" s="33">
        <v>50</v>
      </c>
      <c r="I128" s="37">
        <v>2</v>
      </c>
      <c r="J128" s="38">
        <v>6</v>
      </c>
      <c r="K128" s="39">
        <v>19</v>
      </c>
      <c r="L128" s="40">
        <v>5</v>
      </c>
      <c r="M128" s="41">
        <v>13</v>
      </c>
      <c r="N128" s="42">
        <f t="shared" si="146"/>
        <v>45</v>
      </c>
      <c r="O128" s="35">
        <v>0</v>
      </c>
      <c r="P128" s="35"/>
      <c r="Q128" s="33"/>
      <c r="R128" s="33" t="s">
        <v>51</v>
      </c>
      <c r="S128" s="36" t="s">
        <v>199</v>
      </c>
      <c r="T128" s="33" t="s">
        <v>73</v>
      </c>
      <c r="U128" s="33">
        <v>50</v>
      </c>
      <c r="V128" s="195">
        <v>2</v>
      </c>
      <c r="W128" s="38">
        <v>6</v>
      </c>
      <c r="X128" s="39">
        <v>19</v>
      </c>
      <c r="Y128" s="40">
        <v>10</v>
      </c>
      <c r="Z128" s="41">
        <v>13</v>
      </c>
      <c r="AA128" s="42">
        <f t="shared" si="136"/>
        <v>50</v>
      </c>
      <c r="AB128" s="35">
        <v>0</v>
      </c>
      <c r="AC128" s="33">
        <v>25</v>
      </c>
      <c r="AD128" s="195">
        <v>2</v>
      </c>
      <c r="AE128" s="38">
        <v>8</v>
      </c>
      <c r="AF128" s="39">
        <v>9</v>
      </c>
      <c r="AG128" s="40">
        <v>2</v>
      </c>
      <c r="AH128" s="41">
        <v>3</v>
      </c>
      <c r="AI128" s="42">
        <f t="shared" si="137"/>
        <v>24</v>
      </c>
      <c r="AJ128" s="35">
        <v>0</v>
      </c>
      <c r="AK128" s="33"/>
      <c r="AL128" s="33"/>
      <c r="AM128" s="46"/>
      <c r="AN128" s="33"/>
      <c r="AO128" s="46"/>
      <c r="AP128" s="33" t="s">
        <v>200</v>
      </c>
      <c r="AQ128" s="33">
        <v>25</v>
      </c>
      <c r="AR128" s="47">
        <v>25</v>
      </c>
      <c r="AS128" s="48">
        <v>0</v>
      </c>
      <c r="AT128" s="49">
        <v>0</v>
      </c>
      <c r="AU128" s="33"/>
      <c r="AV128" s="33"/>
      <c r="AW128" s="33"/>
      <c r="AX128" s="32" t="s">
        <v>201</v>
      </c>
    </row>
    <row r="129" spans="1:286" s="110" customFormat="1" ht="82.5" customHeight="1" x14ac:dyDescent="0.25">
      <c r="A129" s="296"/>
      <c r="B129" s="30" t="s">
        <v>45</v>
      </c>
      <c r="C129" s="31" t="s">
        <v>202</v>
      </c>
      <c r="D129" s="32" t="s">
        <v>197</v>
      </c>
      <c r="E129" s="32" t="s">
        <v>70</v>
      </c>
      <c r="F129" s="51" t="s">
        <v>61</v>
      </c>
      <c r="G129" s="51"/>
      <c r="H129" s="52">
        <f>SUM(H128)</f>
        <v>50</v>
      </c>
      <c r="I129" s="52">
        <f t="shared" ref="I129" si="250">SUM(I128)</f>
        <v>2</v>
      </c>
      <c r="J129" s="52">
        <f t="shared" ref="J129:M129" si="251">SUM(J128)</f>
        <v>6</v>
      </c>
      <c r="K129" s="52">
        <f t="shared" si="251"/>
        <v>19</v>
      </c>
      <c r="L129" s="52">
        <f t="shared" si="251"/>
        <v>5</v>
      </c>
      <c r="M129" s="52">
        <f t="shared" si="251"/>
        <v>13</v>
      </c>
      <c r="N129" s="52">
        <f t="shared" si="146"/>
        <v>45</v>
      </c>
      <c r="O129" s="52">
        <f t="shared" ref="O129:P129" si="252">SUM(O128)</f>
        <v>0</v>
      </c>
      <c r="P129" s="52">
        <f t="shared" si="252"/>
        <v>0</v>
      </c>
      <c r="Q129" s="51"/>
      <c r="R129" s="85"/>
      <c r="S129" s="53"/>
      <c r="T129" s="51"/>
      <c r="U129" s="52">
        <f t="shared" ref="U129:AJ129" si="253">SUM(U128)</f>
        <v>50</v>
      </c>
      <c r="V129" s="52">
        <f t="shared" si="253"/>
        <v>2</v>
      </c>
      <c r="W129" s="52">
        <f t="shared" si="253"/>
        <v>6</v>
      </c>
      <c r="X129" s="52">
        <f t="shared" si="253"/>
        <v>19</v>
      </c>
      <c r="Y129" s="52">
        <f t="shared" si="253"/>
        <v>10</v>
      </c>
      <c r="Z129" s="52">
        <f t="shared" si="253"/>
        <v>13</v>
      </c>
      <c r="AA129" s="52">
        <f t="shared" si="136"/>
        <v>50</v>
      </c>
      <c r="AB129" s="52">
        <f t="shared" si="253"/>
        <v>0</v>
      </c>
      <c r="AC129" s="52">
        <f t="shared" si="253"/>
        <v>25</v>
      </c>
      <c r="AD129" s="52">
        <f t="shared" si="253"/>
        <v>2</v>
      </c>
      <c r="AE129" s="52">
        <f t="shared" si="253"/>
        <v>8</v>
      </c>
      <c r="AF129" s="52">
        <f t="shared" si="253"/>
        <v>9</v>
      </c>
      <c r="AG129" s="52">
        <f t="shared" si="253"/>
        <v>2</v>
      </c>
      <c r="AH129" s="52">
        <f t="shared" si="253"/>
        <v>3</v>
      </c>
      <c r="AI129" s="52">
        <f t="shared" si="137"/>
        <v>24</v>
      </c>
      <c r="AJ129" s="52">
        <f t="shared" si="253"/>
        <v>0</v>
      </c>
      <c r="AK129" s="51"/>
      <c r="AL129" s="85"/>
      <c r="AM129" s="51"/>
      <c r="AN129" s="51"/>
      <c r="AO129" s="51"/>
      <c r="AP129" s="51"/>
      <c r="AQ129" s="51">
        <f>SUM(AQ128)</f>
        <v>25</v>
      </c>
      <c r="AR129" s="51">
        <f t="shared" ref="AR129:AT129" si="254">SUM(AR128)</f>
        <v>25</v>
      </c>
      <c r="AS129" s="51">
        <f t="shared" si="254"/>
        <v>0</v>
      </c>
      <c r="AT129" s="51">
        <f t="shared" si="254"/>
        <v>0</v>
      </c>
      <c r="AU129" s="51"/>
      <c r="AV129" s="51"/>
      <c r="AW129" s="51"/>
      <c r="AX129" s="51" t="s">
        <v>201</v>
      </c>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9"/>
      <c r="EA129" s="9"/>
      <c r="EB129" s="9"/>
      <c r="EC129" s="9"/>
      <c r="ED129" s="9"/>
      <c r="EE129" s="9"/>
      <c r="EF129" s="9"/>
      <c r="EG129" s="9"/>
      <c r="EH129" s="9"/>
      <c r="EI129" s="9"/>
      <c r="EJ129" s="9"/>
      <c r="EK129" s="9"/>
      <c r="EL129" s="9"/>
      <c r="EM129" s="9"/>
      <c r="EN129" s="9"/>
      <c r="EO129" s="9"/>
      <c r="EP129" s="9"/>
      <c r="EQ129" s="9"/>
      <c r="ER129" s="9"/>
      <c r="ES129" s="9"/>
      <c r="ET129" s="9"/>
      <c r="EU129" s="9"/>
      <c r="EV129" s="9"/>
      <c r="EW129" s="9"/>
      <c r="EX129" s="9"/>
      <c r="EY129" s="9"/>
      <c r="EZ129" s="9"/>
      <c r="FA129" s="9"/>
      <c r="FB129" s="9"/>
      <c r="FC129" s="9"/>
      <c r="FD129" s="9"/>
      <c r="FE129" s="9"/>
      <c r="FF129" s="9"/>
      <c r="FG129" s="9"/>
      <c r="FH129" s="9"/>
      <c r="FI129" s="9"/>
      <c r="FJ129" s="9"/>
      <c r="FK129" s="9"/>
      <c r="FL129" s="9"/>
      <c r="FM129" s="9"/>
      <c r="FN129" s="9"/>
      <c r="FO129" s="9"/>
      <c r="FP129" s="9"/>
      <c r="FQ129" s="9"/>
      <c r="FR129" s="9"/>
      <c r="FS129" s="9"/>
      <c r="FT129" s="9"/>
      <c r="FU129" s="9"/>
      <c r="FV129" s="9"/>
      <c r="FW129" s="9"/>
      <c r="FX129" s="9"/>
      <c r="FY129" s="9"/>
      <c r="FZ129" s="9"/>
      <c r="GA129" s="9"/>
      <c r="GB129" s="9"/>
      <c r="GC129" s="9"/>
      <c r="GD129" s="9"/>
      <c r="GE129" s="9"/>
      <c r="GF129" s="9"/>
      <c r="GG129" s="9"/>
      <c r="GH129" s="9"/>
      <c r="GI129" s="9"/>
      <c r="GJ129" s="9"/>
      <c r="GK129" s="9"/>
      <c r="GL129" s="9"/>
      <c r="GM129" s="9"/>
      <c r="GN129" s="9"/>
      <c r="GO129" s="9"/>
      <c r="GP129" s="9"/>
      <c r="GQ129" s="9"/>
      <c r="GR129" s="9"/>
      <c r="GS129" s="9"/>
      <c r="GT129" s="9"/>
      <c r="GU129" s="9"/>
      <c r="GV129" s="9"/>
      <c r="GW129" s="9"/>
      <c r="GX129" s="9"/>
      <c r="GY129" s="9"/>
      <c r="GZ129" s="9"/>
      <c r="HA129" s="9"/>
      <c r="HB129" s="9"/>
      <c r="HC129" s="9"/>
      <c r="HD129" s="9"/>
      <c r="HE129" s="9"/>
      <c r="HF129" s="9"/>
      <c r="HG129" s="9"/>
      <c r="HH129" s="9"/>
      <c r="HI129" s="9"/>
      <c r="HJ129" s="9"/>
      <c r="HK129" s="9"/>
      <c r="HL129" s="9"/>
      <c r="HM129" s="9"/>
      <c r="HN129" s="9"/>
      <c r="HO129" s="9"/>
      <c r="HP129" s="9"/>
      <c r="HQ129" s="9"/>
      <c r="HR129" s="9"/>
      <c r="HS129" s="9"/>
      <c r="HT129" s="9"/>
      <c r="HU129" s="9"/>
      <c r="HV129" s="9"/>
      <c r="HW129" s="9"/>
      <c r="HX129" s="9"/>
      <c r="HY129" s="9"/>
      <c r="HZ129" s="9"/>
      <c r="IA129" s="9"/>
      <c r="IB129" s="9"/>
      <c r="IC129" s="9"/>
      <c r="ID129" s="9"/>
      <c r="IE129" s="9"/>
      <c r="IF129" s="9"/>
      <c r="IG129" s="9"/>
      <c r="IH129" s="9"/>
      <c r="II129" s="9"/>
      <c r="IJ129" s="9"/>
      <c r="IK129" s="9"/>
      <c r="IL129" s="9"/>
      <c r="IM129" s="9"/>
      <c r="IN129" s="9"/>
      <c r="IO129" s="9"/>
      <c r="IP129" s="9"/>
      <c r="IQ129" s="9"/>
      <c r="IR129" s="9"/>
      <c r="IS129" s="9"/>
      <c r="IT129" s="9"/>
      <c r="IU129" s="9"/>
      <c r="IV129" s="9"/>
      <c r="IW129" s="9"/>
      <c r="IX129" s="9"/>
      <c r="IY129" s="9"/>
      <c r="IZ129" s="9"/>
      <c r="JA129" s="9"/>
      <c r="JB129" s="9"/>
      <c r="JC129" s="9"/>
      <c r="JD129" s="9"/>
      <c r="JE129" s="9"/>
      <c r="JF129" s="9"/>
      <c r="JG129" s="9"/>
      <c r="JH129" s="9"/>
      <c r="JI129" s="9"/>
      <c r="JJ129" s="9"/>
      <c r="JK129" s="9"/>
      <c r="JL129" s="9"/>
      <c r="JM129" s="9"/>
      <c r="JN129" s="9"/>
      <c r="JO129" s="9"/>
      <c r="JP129" s="9"/>
      <c r="JQ129" s="9"/>
      <c r="JR129" s="9"/>
      <c r="JS129" s="9"/>
      <c r="JT129" s="9"/>
      <c r="JU129" s="9"/>
      <c r="JV129" s="9"/>
      <c r="JW129" s="9"/>
      <c r="JX129" s="9"/>
      <c r="JY129" s="9"/>
      <c r="JZ129" s="9"/>
    </row>
    <row r="130" spans="1:286" s="9" customFormat="1" ht="82.5" customHeight="1" x14ac:dyDescent="0.25">
      <c r="A130" s="296"/>
      <c r="B130" s="30" t="s">
        <v>45</v>
      </c>
      <c r="C130" s="31" t="s">
        <v>203</v>
      </c>
      <c r="D130" s="32" t="s">
        <v>197</v>
      </c>
      <c r="E130" s="32" t="s">
        <v>70</v>
      </c>
      <c r="F130" s="203" t="s">
        <v>49</v>
      </c>
      <c r="G130" s="33" t="s">
        <v>71</v>
      </c>
      <c r="H130" s="203">
        <v>50</v>
      </c>
      <c r="I130" s="219">
        <v>2</v>
      </c>
      <c r="J130" s="220">
        <v>6</v>
      </c>
      <c r="K130" s="221">
        <v>19</v>
      </c>
      <c r="L130" s="222">
        <v>5</v>
      </c>
      <c r="M130" s="223">
        <v>13</v>
      </c>
      <c r="N130" s="215">
        <f t="shared" si="146"/>
        <v>45</v>
      </c>
      <c r="O130" s="216">
        <v>0</v>
      </c>
      <c r="P130" s="35"/>
      <c r="Q130" s="203"/>
      <c r="R130" s="203" t="s">
        <v>51</v>
      </c>
      <c r="S130" s="235" t="s">
        <v>170</v>
      </c>
      <c r="T130" s="203" t="s">
        <v>73</v>
      </c>
      <c r="U130" s="203">
        <v>50</v>
      </c>
      <c r="V130" s="247">
        <v>2</v>
      </c>
      <c r="W130" s="220">
        <v>6</v>
      </c>
      <c r="X130" s="221">
        <v>19</v>
      </c>
      <c r="Y130" s="222">
        <v>10</v>
      </c>
      <c r="Z130" s="223">
        <v>13</v>
      </c>
      <c r="AA130" s="215">
        <f t="shared" si="136"/>
        <v>50</v>
      </c>
      <c r="AB130" s="216">
        <v>0</v>
      </c>
      <c r="AC130" s="203">
        <v>25</v>
      </c>
      <c r="AD130" s="247">
        <v>2</v>
      </c>
      <c r="AE130" s="220">
        <v>8</v>
      </c>
      <c r="AF130" s="221">
        <v>9</v>
      </c>
      <c r="AG130" s="222">
        <v>2</v>
      </c>
      <c r="AH130" s="223">
        <v>3</v>
      </c>
      <c r="AI130" s="215">
        <f t="shared" si="137"/>
        <v>24</v>
      </c>
      <c r="AJ130" s="216">
        <v>0</v>
      </c>
      <c r="AK130" s="203"/>
      <c r="AL130" s="203"/>
      <c r="AM130" s="218"/>
      <c r="AN130" s="203"/>
      <c r="AO130" s="46"/>
      <c r="AP130" s="33" t="s">
        <v>204</v>
      </c>
      <c r="AQ130" s="33">
        <v>25</v>
      </c>
      <c r="AR130" s="47">
        <v>25</v>
      </c>
      <c r="AS130" s="48">
        <v>0</v>
      </c>
      <c r="AT130" s="49">
        <v>0</v>
      </c>
      <c r="AU130" s="203"/>
      <c r="AV130" s="203"/>
      <c r="AW130" s="33"/>
      <c r="AX130" s="32" t="s">
        <v>201</v>
      </c>
    </row>
    <row r="131" spans="1:286" s="9" customFormat="1" ht="82.5" customHeight="1" x14ac:dyDescent="0.25">
      <c r="A131" s="296"/>
      <c r="B131" s="30" t="s">
        <v>45</v>
      </c>
      <c r="C131" s="31" t="s">
        <v>203</v>
      </c>
      <c r="D131" s="32" t="s">
        <v>197</v>
      </c>
      <c r="E131" s="32" t="s">
        <v>70</v>
      </c>
      <c r="F131" s="203"/>
      <c r="G131" s="33" t="s">
        <v>71</v>
      </c>
      <c r="H131" s="203"/>
      <c r="I131" s="205"/>
      <c r="J131" s="207"/>
      <c r="K131" s="209"/>
      <c r="L131" s="211"/>
      <c r="M131" s="213"/>
      <c r="N131" s="215">
        <f t="shared" si="146"/>
        <v>0</v>
      </c>
      <c r="O131" s="216"/>
      <c r="P131" s="35"/>
      <c r="Q131" s="203"/>
      <c r="R131" s="203"/>
      <c r="S131" s="235"/>
      <c r="T131" s="203"/>
      <c r="U131" s="203"/>
      <c r="V131" s="248"/>
      <c r="W131" s="207"/>
      <c r="X131" s="209"/>
      <c r="Y131" s="211"/>
      <c r="Z131" s="213"/>
      <c r="AA131" s="215">
        <f t="shared" si="136"/>
        <v>0</v>
      </c>
      <c r="AB131" s="216">
        <v>0</v>
      </c>
      <c r="AC131" s="203"/>
      <c r="AD131" s="248"/>
      <c r="AE131" s="207"/>
      <c r="AF131" s="209"/>
      <c r="AG131" s="211"/>
      <c r="AH131" s="213"/>
      <c r="AI131" s="215">
        <f t="shared" si="137"/>
        <v>0</v>
      </c>
      <c r="AJ131" s="216">
        <v>0</v>
      </c>
      <c r="AK131" s="203"/>
      <c r="AL131" s="203"/>
      <c r="AM131" s="218"/>
      <c r="AN131" s="203"/>
      <c r="AO131" s="46"/>
      <c r="AP131" s="33" t="s">
        <v>127</v>
      </c>
      <c r="AQ131" s="33">
        <v>1</v>
      </c>
      <c r="AR131" s="47">
        <v>1</v>
      </c>
      <c r="AS131" s="48">
        <v>0</v>
      </c>
      <c r="AT131" s="49">
        <v>0</v>
      </c>
      <c r="AU131" s="203"/>
      <c r="AV131" s="203"/>
      <c r="AW131" s="33"/>
      <c r="AX131" s="32" t="s">
        <v>201</v>
      </c>
    </row>
    <row r="132" spans="1:286" s="110" customFormat="1" ht="82.5" customHeight="1" x14ac:dyDescent="0.25">
      <c r="A132" s="296"/>
      <c r="B132" s="30" t="s">
        <v>45</v>
      </c>
      <c r="C132" s="31" t="s">
        <v>203</v>
      </c>
      <c r="D132" s="32" t="s">
        <v>197</v>
      </c>
      <c r="E132" s="32" t="s">
        <v>70</v>
      </c>
      <c r="F132" s="51" t="s">
        <v>61</v>
      </c>
      <c r="G132" s="51"/>
      <c r="H132" s="52">
        <f>SUM(H130)</f>
        <v>50</v>
      </c>
      <c r="I132" s="52">
        <f t="shared" ref="I132" si="255">SUM(I130)</f>
        <v>2</v>
      </c>
      <c r="J132" s="52">
        <f t="shared" ref="J132:M132" si="256">SUM(J130)</f>
        <v>6</v>
      </c>
      <c r="K132" s="52">
        <f t="shared" si="256"/>
        <v>19</v>
      </c>
      <c r="L132" s="52">
        <f t="shared" si="256"/>
        <v>5</v>
      </c>
      <c r="M132" s="52">
        <f t="shared" si="256"/>
        <v>13</v>
      </c>
      <c r="N132" s="52">
        <f t="shared" si="146"/>
        <v>45</v>
      </c>
      <c r="O132" s="52">
        <f t="shared" ref="O132:P132" si="257">SUM(O130)</f>
        <v>0</v>
      </c>
      <c r="P132" s="52">
        <f t="shared" si="257"/>
        <v>0</v>
      </c>
      <c r="Q132" s="51"/>
      <c r="R132" s="85"/>
      <c r="S132" s="53"/>
      <c r="T132" s="51"/>
      <c r="U132" s="52">
        <f t="shared" ref="U132:AJ132" si="258">SUM(U130)</f>
        <v>50</v>
      </c>
      <c r="V132" s="52">
        <f t="shared" si="258"/>
        <v>2</v>
      </c>
      <c r="W132" s="52">
        <f t="shared" si="258"/>
        <v>6</v>
      </c>
      <c r="X132" s="52">
        <f t="shared" si="258"/>
        <v>19</v>
      </c>
      <c r="Y132" s="52">
        <f t="shared" si="258"/>
        <v>10</v>
      </c>
      <c r="Z132" s="52">
        <f t="shared" si="258"/>
        <v>13</v>
      </c>
      <c r="AA132" s="52">
        <f t="shared" ref="AA132:AA195" si="259">SUM(V132:Z132)</f>
        <v>50</v>
      </c>
      <c r="AB132" s="52">
        <f t="shared" si="258"/>
        <v>0</v>
      </c>
      <c r="AC132" s="52">
        <f t="shared" si="258"/>
        <v>25</v>
      </c>
      <c r="AD132" s="52">
        <f t="shared" si="258"/>
        <v>2</v>
      </c>
      <c r="AE132" s="52">
        <f t="shared" si="258"/>
        <v>8</v>
      </c>
      <c r="AF132" s="52">
        <f t="shared" si="258"/>
        <v>9</v>
      </c>
      <c r="AG132" s="52">
        <f t="shared" si="258"/>
        <v>2</v>
      </c>
      <c r="AH132" s="52">
        <f t="shared" si="258"/>
        <v>3</v>
      </c>
      <c r="AI132" s="52">
        <f t="shared" ref="AI132:AI195" si="260">SUM(AD132:AH132)</f>
        <v>24</v>
      </c>
      <c r="AJ132" s="52">
        <f t="shared" si="258"/>
        <v>0</v>
      </c>
      <c r="AK132" s="51"/>
      <c r="AL132" s="85"/>
      <c r="AM132" s="51"/>
      <c r="AN132" s="51"/>
      <c r="AO132" s="51"/>
      <c r="AP132" s="51"/>
      <c r="AQ132" s="51">
        <f>SUM(AQ130:AQ131)</f>
        <v>26</v>
      </c>
      <c r="AR132" s="51">
        <f t="shared" ref="AR132:AT132" si="261">SUM(AR130:AR131)</f>
        <v>26</v>
      </c>
      <c r="AS132" s="51">
        <f t="shared" si="261"/>
        <v>0</v>
      </c>
      <c r="AT132" s="51">
        <f t="shared" si="261"/>
        <v>0</v>
      </c>
      <c r="AU132" s="51"/>
      <c r="AV132" s="51"/>
      <c r="AW132" s="51"/>
      <c r="AX132" s="51" t="s">
        <v>201</v>
      </c>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c r="DM132" s="9"/>
      <c r="DN132" s="9"/>
      <c r="DO132" s="9"/>
      <c r="DP132" s="9"/>
      <c r="DQ132" s="9"/>
      <c r="DR132" s="9"/>
      <c r="DS132" s="9"/>
      <c r="DT132" s="9"/>
      <c r="DU132" s="9"/>
      <c r="DV132" s="9"/>
      <c r="DW132" s="9"/>
      <c r="DX132" s="9"/>
      <c r="DY132" s="9"/>
      <c r="DZ132" s="9"/>
      <c r="EA132" s="9"/>
      <c r="EB132" s="9"/>
      <c r="EC132" s="9"/>
      <c r="ED132" s="9"/>
      <c r="EE132" s="9"/>
      <c r="EF132" s="9"/>
      <c r="EG132" s="9"/>
      <c r="EH132" s="9"/>
      <c r="EI132" s="9"/>
      <c r="EJ132" s="9"/>
      <c r="EK132" s="9"/>
      <c r="EL132" s="9"/>
      <c r="EM132" s="9"/>
      <c r="EN132" s="9"/>
      <c r="EO132" s="9"/>
      <c r="EP132" s="9"/>
      <c r="EQ132" s="9"/>
      <c r="ER132" s="9"/>
      <c r="ES132" s="9"/>
      <c r="ET132" s="9"/>
      <c r="EU132" s="9"/>
      <c r="EV132" s="9"/>
      <c r="EW132" s="9"/>
      <c r="EX132" s="9"/>
      <c r="EY132" s="9"/>
      <c r="EZ132" s="9"/>
      <c r="FA132" s="9"/>
      <c r="FB132" s="9"/>
      <c r="FC132" s="9"/>
      <c r="FD132" s="9"/>
      <c r="FE132" s="9"/>
      <c r="FF132" s="9"/>
      <c r="FG132" s="9"/>
      <c r="FH132" s="9"/>
      <c r="FI132" s="9"/>
      <c r="FJ132" s="9"/>
      <c r="FK132" s="9"/>
      <c r="FL132" s="9"/>
      <c r="FM132" s="9"/>
      <c r="FN132" s="9"/>
      <c r="FO132" s="9"/>
      <c r="FP132" s="9"/>
      <c r="FQ132" s="9"/>
      <c r="FR132" s="9"/>
      <c r="FS132" s="9"/>
      <c r="FT132" s="9"/>
      <c r="FU132" s="9"/>
      <c r="FV132" s="9"/>
      <c r="FW132" s="9"/>
      <c r="FX132" s="9"/>
      <c r="FY132" s="9"/>
      <c r="FZ132" s="9"/>
      <c r="GA132" s="9"/>
      <c r="GB132" s="9"/>
      <c r="GC132" s="9"/>
      <c r="GD132" s="9"/>
      <c r="GE132" s="9"/>
      <c r="GF132" s="9"/>
      <c r="GG132" s="9"/>
      <c r="GH132" s="9"/>
      <c r="GI132" s="9"/>
      <c r="GJ132" s="9"/>
      <c r="GK132" s="9"/>
      <c r="GL132" s="9"/>
      <c r="GM132" s="9"/>
      <c r="GN132" s="9"/>
      <c r="GO132" s="9"/>
      <c r="GP132" s="9"/>
      <c r="GQ132" s="9"/>
      <c r="GR132" s="9"/>
      <c r="GS132" s="9"/>
      <c r="GT132" s="9"/>
      <c r="GU132" s="9"/>
      <c r="GV132" s="9"/>
      <c r="GW132" s="9"/>
      <c r="GX132" s="9"/>
      <c r="GY132" s="9"/>
      <c r="GZ132" s="9"/>
      <c r="HA132" s="9"/>
      <c r="HB132" s="9"/>
      <c r="HC132" s="9"/>
      <c r="HD132" s="9"/>
      <c r="HE132" s="9"/>
      <c r="HF132" s="9"/>
      <c r="HG132" s="9"/>
      <c r="HH132" s="9"/>
      <c r="HI132" s="9"/>
      <c r="HJ132" s="9"/>
      <c r="HK132" s="9"/>
      <c r="HL132" s="9"/>
      <c r="HM132" s="9"/>
      <c r="HN132" s="9"/>
      <c r="HO132" s="9"/>
      <c r="HP132" s="9"/>
      <c r="HQ132" s="9"/>
      <c r="HR132" s="9"/>
      <c r="HS132" s="9"/>
      <c r="HT132" s="9"/>
      <c r="HU132" s="9"/>
      <c r="HV132" s="9"/>
      <c r="HW132" s="9"/>
      <c r="HX132" s="9"/>
      <c r="HY132" s="9"/>
      <c r="HZ132" s="9"/>
      <c r="IA132" s="9"/>
      <c r="IB132" s="9"/>
      <c r="IC132" s="9"/>
      <c r="ID132" s="9"/>
      <c r="IE132" s="9"/>
      <c r="IF132" s="9"/>
      <c r="IG132" s="9"/>
      <c r="IH132" s="9"/>
      <c r="II132" s="9"/>
      <c r="IJ132" s="9"/>
      <c r="IK132" s="9"/>
      <c r="IL132" s="9"/>
      <c r="IM132" s="9"/>
      <c r="IN132" s="9"/>
      <c r="IO132" s="9"/>
      <c r="IP132" s="9"/>
      <c r="IQ132" s="9"/>
      <c r="IR132" s="9"/>
      <c r="IS132" s="9"/>
      <c r="IT132" s="9"/>
      <c r="IU132" s="9"/>
      <c r="IV132" s="9"/>
      <c r="IW132" s="9"/>
      <c r="IX132" s="9"/>
      <c r="IY132" s="9"/>
      <c r="IZ132" s="9"/>
      <c r="JA132" s="9"/>
      <c r="JB132" s="9"/>
      <c r="JC132" s="9"/>
      <c r="JD132" s="9"/>
      <c r="JE132" s="9"/>
      <c r="JF132" s="9"/>
      <c r="JG132" s="9"/>
      <c r="JH132" s="9"/>
      <c r="JI132" s="9"/>
      <c r="JJ132" s="9"/>
      <c r="JK132" s="9"/>
      <c r="JL132" s="9"/>
      <c r="JM132" s="9"/>
      <c r="JN132" s="9"/>
      <c r="JO132" s="9"/>
      <c r="JP132" s="9"/>
      <c r="JQ132" s="9"/>
      <c r="JR132" s="9"/>
      <c r="JS132" s="9"/>
      <c r="JT132" s="9"/>
      <c r="JU132" s="9"/>
      <c r="JV132" s="9"/>
      <c r="JW132" s="9"/>
      <c r="JX132" s="9"/>
      <c r="JY132" s="9"/>
      <c r="JZ132" s="9"/>
    </row>
    <row r="133" spans="1:286" s="9" customFormat="1" ht="82.5" customHeight="1" x14ac:dyDescent="0.25">
      <c r="A133" s="296"/>
      <c r="B133" s="30" t="s">
        <v>45</v>
      </c>
      <c r="C133" s="31" t="s">
        <v>205</v>
      </c>
      <c r="D133" s="32" t="s">
        <v>197</v>
      </c>
      <c r="E133" s="32" t="s">
        <v>70</v>
      </c>
      <c r="F133" s="203" t="s">
        <v>49</v>
      </c>
      <c r="G133" s="33" t="s">
        <v>71</v>
      </c>
      <c r="H133" s="203">
        <v>50</v>
      </c>
      <c r="I133" s="219">
        <v>2</v>
      </c>
      <c r="J133" s="220">
        <v>6</v>
      </c>
      <c r="K133" s="221">
        <v>19</v>
      </c>
      <c r="L133" s="222">
        <v>5</v>
      </c>
      <c r="M133" s="223">
        <v>13</v>
      </c>
      <c r="N133" s="215">
        <f t="shared" si="146"/>
        <v>45</v>
      </c>
      <c r="O133" s="216">
        <v>0</v>
      </c>
      <c r="P133" s="35"/>
      <c r="Q133" s="203"/>
      <c r="R133" s="203" t="s">
        <v>51</v>
      </c>
      <c r="S133" s="235" t="s">
        <v>170</v>
      </c>
      <c r="T133" s="203" t="s">
        <v>73</v>
      </c>
      <c r="U133" s="203">
        <v>50</v>
      </c>
      <c r="V133" s="247">
        <v>2</v>
      </c>
      <c r="W133" s="220">
        <v>6</v>
      </c>
      <c r="X133" s="221">
        <v>19</v>
      </c>
      <c r="Y133" s="222">
        <v>10</v>
      </c>
      <c r="Z133" s="223">
        <v>13</v>
      </c>
      <c r="AA133" s="215">
        <f t="shared" si="259"/>
        <v>50</v>
      </c>
      <c r="AB133" s="216">
        <v>0</v>
      </c>
      <c r="AC133" s="203">
        <v>25</v>
      </c>
      <c r="AD133" s="247">
        <v>2</v>
      </c>
      <c r="AE133" s="220">
        <v>8</v>
      </c>
      <c r="AF133" s="221">
        <v>9</v>
      </c>
      <c r="AG133" s="222">
        <v>2</v>
      </c>
      <c r="AH133" s="223">
        <v>3</v>
      </c>
      <c r="AI133" s="215">
        <f t="shared" si="260"/>
        <v>24</v>
      </c>
      <c r="AJ133" s="216">
        <v>0</v>
      </c>
      <c r="AK133" s="203"/>
      <c r="AL133" s="203"/>
      <c r="AM133" s="218"/>
      <c r="AN133" s="203"/>
      <c r="AO133" s="46"/>
      <c r="AP133" s="33" t="s">
        <v>204</v>
      </c>
      <c r="AQ133" s="33">
        <v>25</v>
      </c>
      <c r="AR133" s="47">
        <v>25</v>
      </c>
      <c r="AS133" s="48">
        <v>0</v>
      </c>
      <c r="AT133" s="49">
        <v>0</v>
      </c>
      <c r="AU133" s="203"/>
      <c r="AV133" s="203"/>
      <c r="AW133" s="33"/>
      <c r="AX133" s="32" t="s">
        <v>201</v>
      </c>
    </row>
    <row r="134" spans="1:286" s="9" customFormat="1" ht="82.5" customHeight="1" x14ac:dyDescent="0.25">
      <c r="A134" s="296"/>
      <c r="B134" s="30" t="s">
        <v>45</v>
      </c>
      <c r="C134" s="31" t="s">
        <v>205</v>
      </c>
      <c r="D134" s="32" t="s">
        <v>197</v>
      </c>
      <c r="E134" s="32" t="s">
        <v>70</v>
      </c>
      <c r="F134" s="203"/>
      <c r="G134" s="33" t="s">
        <v>71</v>
      </c>
      <c r="H134" s="203"/>
      <c r="I134" s="205"/>
      <c r="J134" s="207"/>
      <c r="K134" s="209"/>
      <c r="L134" s="211"/>
      <c r="M134" s="213"/>
      <c r="N134" s="215">
        <f t="shared" si="146"/>
        <v>0</v>
      </c>
      <c r="O134" s="216"/>
      <c r="P134" s="35"/>
      <c r="Q134" s="203"/>
      <c r="R134" s="203"/>
      <c r="S134" s="235"/>
      <c r="T134" s="203"/>
      <c r="U134" s="203"/>
      <c r="V134" s="248"/>
      <c r="W134" s="207"/>
      <c r="X134" s="209"/>
      <c r="Y134" s="211"/>
      <c r="Z134" s="213"/>
      <c r="AA134" s="215">
        <f t="shared" si="259"/>
        <v>0</v>
      </c>
      <c r="AB134" s="216">
        <v>0</v>
      </c>
      <c r="AC134" s="203"/>
      <c r="AD134" s="248"/>
      <c r="AE134" s="207"/>
      <c r="AF134" s="209"/>
      <c r="AG134" s="211"/>
      <c r="AH134" s="213"/>
      <c r="AI134" s="215">
        <f t="shared" si="260"/>
        <v>0</v>
      </c>
      <c r="AJ134" s="216">
        <v>0</v>
      </c>
      <c r="AK134" s="203"/>
      <c r="AL134" s="203"/>
      <c r="AM134" s="218"/>
      <c r="AN134" s="203"/>
      <c r="AO134" s="46"/>
      <c r="AP134" s="33" t="s">
        <v>127</v>
      </c>
      <c r="AQ134" s="33">
        <v>1</v>
      </c>
      <c r="AR134" s="47">
        <v>1</v>
      </c>
      <c r="AS134" s="48">
        <v>0</v>
      </c>
      <c r="AT134" s="49">
        <v>0</v>
      </c>
      <c r="AU134" s="203"/>
      <c r="AV134" s="203"/>
      <c r="AW134" s="33"/>
      <c r="AX134" s="32" t="s">
        <v>201</v>
      </c>
    </row>
    <row r="135" spans="1:286" s="110" customFormat="1" ht="82.5" customHeight="1" x14ac:dyDescent="0.25">
      <c r="A135" s="296"/>
      <c r="B135" s="30" t="s">
        <v>45</v>
      </c>
      <c r="C135" s="31" t="s">
        <v>205</v>
      </c>
      <c r="D135" s="32" t="s">
        <v>197</v>
      </c>
      <c r="E135" s="32" t="s">
        <v>70</v>
      </c>
      <c r="F135" s="51" t="s">
        <v>61</v>
      </c>
      <c r="G135" s="51"/>
      <c r="H135" s="52">
        <f>SUM(H133)</f>
        <v>50</v>
      </c>
      <c r="I135" s="52">
        <f t="shared" ref="I135" si="262">SUM(I133)</f>
        <v>2</v>
      </c>
      <c r="J135" s="52">
        <f t="shared" ref="J135:M135" si="263">SUM(J133)</f>
        <v>6</v>
      </c>
      <c r="K135" s="52">
        <f t="shared" si="263"/>
        <v>19</v>
      </c>
      <c r="L135" s="52">
        <f t="shared" si="263"/>
        <v>5</v>
      </c>
      <c r="M135" s="52">
        <f t="shared" si="263"/>
        <v>13</v>
      </c>
      <c r="N135" s="52">
        <f t="shared" si="146"/>
        <v>45</v>
      </c>
      <c r="O135" s="52">
        <f t="shared" ref="O135:P135" si="264">SUM(O133)</f>
        <v>0</v>
      </c>
      <c r="P135" s="52">
        <f t="shared" si="264"/>
        <v>0</v>
      </c>
      <c r="Q135" s="51"/>
      <c r="R135" s="85"/>
      <c r="S135" s="53"/>
      <c r="T135" s="51"/>
      <c r="U135" s="52">
        <f t="shared" ref="U135:AJ135" si="265">SUM(U133)</f>
        <v>50</v>
      </c>
      <c r="V135" s="52">
        <f t="shared" si="265"/>
        <v>2</v>
      </c>
      <c r="W135" s="52">
        <f t="shared" si="265"/>
        <v>6</v>
      </c>
      <c r="X135" s="52">
        <f t="shared" si="265"/>
        <v>19</v>
      </c>
      <c r="Y135" s="52">
        <f t="shared" si="265"/>
        <v>10</v>
      </c>
      <c r="Z135" s="52">
        <f t="shared" si="265"/>
        <v>13</v>
      </c>
      <c r="AA135" s="52">
        <f t="shared" si="259"/>
        <v>50</v>
      </c>
      <c r="AB135" s="52">
        <f t="shared" si="265"/>
        <v>0</v>
      </c>
      <c r="AC135" s="52">
        <f t="shared" si="265"/>
        <v>25</v>
      </c>
      <c r="AD135" s="52">
        <f t="shared" si="265"/>
        <v>2</v>
      </c>
      <c r="AE135" s="52">
        <f t="shared" si="265"/>
        <v>8</v>
      </c>
      <c r="AF135" s="52">
        <f t="shared" si="265"/>
        <v>9</v>
      </c>
      <c r="AG135" s="52">
        <f t="shared" si="265"/>
        <v>2</v>
      </c>
      <c r="AH135" s="52">
        <f t="shared" si="265"/>
        <v>3</v>
      </c>
      <c r="AI135" s="52">
        <f t="shared" si="260"/>
        <v>24</v>
      </c>
      <c r="AJ135" s="52">
        <f t="shared" si="265"/>
        <v>0</v>
      </c>
      <c r="AK135" s="51"/>
      <c r="AL135" s="85"/>
      <c r="AM135" s="51"/>
      <c r="AN135" s="51"/>
      <c r="AO135" s="51"/>
      <c r="AP135" s="51"/>
      <c r="AQ135" s="51">
        <f>SUM(AQ133:AQ134)</f>
        <v>26</v>
      </c>
      <c r="AR135" s="51">
        <f t="shared" ref="AR135:AT135" si="266">SUM(AR133:AR134)</f>
        <v>26</v>
      </c>
      <c r="AS135" s="51">
        <f t="shared" si="266"/>
        <v>0</v>
      </c>
      <c r="AT135" s="51">
        <f t="shared" si="266"/>
        <v>0</v>
      </c>
      <c r="AU135" s="51"/>
      <c r="AV135" s="51"/>
      <c r="AW135" s="51"/>
      <c r="AX135" s="51" t="s">
        <v>201</v>
      </c>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c r="DM135" s="9"/>
      <c r="DN135" s="9"/>
      <c r="DO135" s="9"/>
      <c r="DP135" s="9"/>
      <c r="DQ135" s="9"/>
      <c r="DR135" s="9"/>
      <c r="DS135" s="9"/>
      <c r="DT135" s="9"/>
      <c r="DU135" s="9"/>
      <c r="DV135" s="9"/>
      <c r="DW135" s="9"/>
      <c r="DX135" s="9"/>
      <c r="DY135" s="9"/>
      <c r="DZ135" s="9"/>
      <c r="EA135" s="9"/>
      <c r="EB135" s="9"/>
      <c r="EC135" s="9"/>
      <c r="ED135" s="9"/>
      <c r="EE135" s="9"/>
      <c r="EF135" s="9"/>
      <c r="EG135" s="9"/>
      <c r="EH135" s="9"/>
      <c r="EI135" s="9"/>
      <c r="EJ135" s="9"/>
      <c r="EK135" s="9"/>
      <c r="EL135" s="9"/>
      <c r="EM135" s="9"/>
      <c r="EN135" s="9"/>
      <c r="EO135" s="9"/>
      <c r="EP135" s="9"/>
      <c r="EQ135" s="9"/>
      <c r="ER135" s="9"/>
      <c r="ES135" s="9"/>
      <c r="ET135" s="9"/>
      <c r="EU135" s="9"/>
      <c r="EV135" s="9"/>
      <c r="EW135" s="9"/>
      <c r="EX135" s="9"/>
      <c r="EY135" s="9"/>
      <c r="EZ135" s="9"/>
      <c r="FA135" s="9"/>
      <c r="FB135" s="9"/>
      <c r="FC135" s="9"/>
      <c r="FD135" s="9"/>
      <c r="FE135" s="9"/>
      <c r="FF135" s="9"/>
      <c r="FG135" s="9"/>
      <c r="FH135" s="9"/>
      <c r="FI135" s="9"/>
      <c r="FJ135" s="9"/>
      <c r="FK135" s="9"/>
      <c r="FL135" s="9"/>
      <c r="FM135" s="9"/>
      <c r="FN135" s="9"/>
      <c r="FO135" s="9"/>
      <c r="FP135" s="9"/>
      <c r="FQ135" s="9"/>
      <c r="FR135" s="9"/>
      <c r="FS135" s="9"/>
      <c r="FT135" s="9"/>
      <c r="FU135" s="9"/>
      <c r="FV135" s="9"/>
      <c r="FW135" s="9"/>
      <c r="FX135" s="9"/>
      <c r="FY135" s="9"/>
      <c r="FZ135" s="9"/>
      <c r="GA135" s="9"/>
      <c r="GB135" s="9"/>
      <c r="GC135" s="9"/>
      <c r="GD135" s="9"/>
      <c r="GE135" s="9"/>
      <c r="GF135" s="9"/>
      <c r="GG135" s="9"/>
      <c r="GH135" s="9"/>
      <c r="GI135" s="9"/>
      <c r="GJ135" s="9"/>
      <c r="GK135" s="9"/>
      <c r="GL135" s="9"/>
      <c r="GM135" s="9"/>
      <c r="GN135" s="9"/>
      <c r="GO135" s="9"/>
      <c r="GP135" s="9"/>
      <c r="GQ135" s="9"/>
      <c r="GR135" s="9"/>
      <c r="GS135" s="9"/>
      <c r="GT135" s="9"/>
      <c r="GU135" s="9"/>
      <c r="GV135" s="9"/>
      <c r="GW135" s="9"/>
      <c r="GX135" s="9"/>
      <c r="GY135" s="9"/>
      <c r="GZ135" s="9"/>
      <c r="HA135" s="9"/>
      <c r="HB135" s="9"/>
      <c r="HC135" s="9"/>
      <c r="HD135" s="9"/>
      <c r="HE135" s="9"/>
      <c r="HF135" s="9"/>
      <c r="HG135" s="9"/>
      <c r="HH135" s="9"/>
      <c r="HI135" s="9"/>
      <c r="HJ135" s="9"/>
      <c r="HK135" s="9"/>
      <c r="HL135" s="9"/>
      <c r="HM135" s="9"/>
      <c r="HN135" s="9"/>
      <c r="HO135" s="9"/>
      <c r="HP135" s="9"/>
      <c r="HQ135" s="9"/>
      <c r="HR135" s="9"/>
      <c r="HS135" s="9"/>
      <c r="HT135" s="9"/>
      <c r="HU135" s="9"/>
      <c r="HV135" s="9"/>
      <c r="HW135" s="9"/>
      <c r="HX135" s="9"/>
      <c r="HY135" s="9"/>
      <c r="HZ135" s="9"/>
      <c r="IA135" s="9"/>
      <c r="IB135" s="9"/>
      <c r="IC135" s="9"/>
      <c r="ID135" s="9"/>
      <c r="IE135" s="9"/>
      <c r="IF135" s="9"/>
      <c r="IG135" s="9"/>
      <c r="IH135" s="9"/>
      <c r="II135" s="9"/>
      <c r="IJ135" s="9"/>
      <c r="IK135" s="9"/>
      <c r="IL135" s="9"/>
      <c r="IM135" s="9"/>
      <c r="IN135" s="9"/>
      <c r="IO135" s="9"/>
      <c r="IP135" s="9"/>
      <c r="IQ135" s="9"/>
      <c r="IR135" s="9"/>
      <c r="IS135" s="9"/>
      <c r="IT135" s="9"/>
      <c r="IU135" s="9"/>
      <c r="IV135" s="9"/>
      <c r="IW135" s="9"/>
      <c r="IX135" s="9"/>
      <c r="IY135" s="9"/>
      <c r="IZ135" s="9"/>
      <c r="JA135" s="9"/>
      <c r="JB135" s="9"/>
      <c r="JC135" s="9"/>
      <c r="JD135" s="9"/>
      <c r="JE135" s="9"/>
      <c r="JF135" s="9"/>
      <c r="JG135" s="9"/>
      <c r="JH135" s="9"/>
      <c r="JI135" s="9"/>
      <c r="JJ135" s="9"/>
      <c r="JK135" s="9"/>
      <c r="JL135" s="9"/>
      <c r="JM135" s="9"/>
      <c r="JN135" s="9"/>
      <c r="JO135" s="9"/>
      <c r="JP135" s="9"/>
      <c r="JQ135" s="9"/>
      <c r="JR135" s="9"/>
      <c r="JS135" s="9"/>
      <c r="JT135" s="9"/>
      <c r="JU135" s="9"/>
      <c r="JV135" s="9"/>
      <c r="JW135" s="9"/>
      <c r="JX135" s="9"/>
      <c r="JY135" s="9"/>
      <c r="JZ135" s="9"/>
    </row>
    <row r="136" spans="1:286" s="9" customFormat="1" ht="82.5" customHeight="1" x14ac:dyDescent="0.25">
      <c r="A136" s="296"/>
      <c r="B136" s="30" t="s">
        <v>45</v>
      </c>
      <c r="C136" s="31" t="s">
        <v>206</v>
      </c>
      <c r="D136" s="32" t="s">
        <v>197</v>
      </c>
      <c r="E136" s="32" t="s">
        <v>70</v>
      </c>
      <c r="F136" s="203" t="s">
        <v>49</v>
      </c>
      <c r="G136" s="33" t="s">
        <v>71</v>
      </c>
      <c r="H136" s="203">
        <v>50</v>
      </c>
      <c r="I136" s="219">
        <v>2</v>
      </c>
      <c r="J136" s="220">
        <v>6</v>
      </c>
      <c r="K136" s="221">
        <v>19</v>
      </c>
      <c r="L136" s="222">
        <v>5</v>
      </c>
      <c r="M136" s="223">
        <v>13</v>
      </c>
      <c r="N136" s="215">
        <f t="shared" si="146"/>
        <v>45</v>
      </c>
      <c r="O136" s="216">
        <v>0</v>
      </c>
      <c r="P136" s="35"/>
      <c r="Q136" s="203"/>
      <c r="R136" s="203" t="s">
        <v>51</v>
      </c>
      <c r="S136" s="235" t="s">
        <v>170</v>
      </c>
      <c r="T136" s="203" t="s">
        <v>73</v>
      </c>
      <c r="U136" s="203">
        <v>50</v>
      </c>
      <c r="V136" s="247">
        <v>2</v>
      </c>
      <c r="W136" s="220">
        <v>6</v>
      </c>
      <c r="X136" s="221">
        <v>19</v>
      </c>
      <c r="Y136" s="222">
        <v>10</v>
      </c>
      <c r="Z136" s="223">
        <v>13</v>
      </c>
      <c r="AA136" s="215">
        <f t="shared" si="259"/>
        <v>50</v>
      </c>
      <c r="AB136" s="216">
        <v>0</v>
      </c>
      <c r="AC136" s="203">
        <v>25</v>
      </c>
      <c r="AD136" s="247">
        <v>2</v>
      </c>
      <c r="AE136" s="220">
        <v>8</v>
      </c>
      <c r="AF136" s="221">
        <v>9</v>
      </c>
      <c r="AG136" s="222">
        <v>2</v>
      </c>
      <c r="AH136" s="223">
        <v>3</v>
      </c>
      <c r="AI136" s="215">
        <f t="shared" si="260"/>
        <v>24</v>
      </c>
      <c r="AJ136" s="216">
        <v>0</v>
      </c>
      <c r="AK136" s="203"/>
      <c r="AL136" s="203"/>
      <c r="AM136" s="218"/>
      <c r="AN136" s="203"/>
      <c r="AO136" s="46"/>
      <c r="AP136" s="33" t="s">
        <v>204</v>
      </c>
      <c r="AQ136" s="33">
        <v>25</v>
      </c>
      <c r="AR136" s="47">
        <v>25</v>
      </c>
      <c r="AS136" s="48">
        <v>0</v>
      </c>
      <c r="AT136" s="49">
        <v>0</v>
      </c>
      <c r="AU136" s="203"/>
      <c r="AV136" s="203"/>
      <c r="AW136" s="33"/>
      <c r="AX136" s="32" t="s">
        <v>201</v>
      </c>
    </row>
    <row r="137" spans="1:286" s="9" customFormat="1" ht="82.5" customHeight="1" x14ac:dyDescent="0.25">
      <c r="A137" s="296"/>
      <c r="B137" s="30" t="s">
        <v>45</v>
      </c>
      <c r="C137" s="31" t="s">
        <v>206</v>
      </c>
      <c r="D137" s="32" t="s">
        <v>197</v>
      </c>
      <c r="E137" s="32" t="s">
        <v>70</v>
      </c>
      <c r="F137" s="203"/>
      <c r="G137" s="33" t="s">
        <v>71</v>
      </c>
      <c r="H137" s="203"/>
      <c r="I137" s="205"/>
      <c r="J137" s="207"/>
      <c r="K137" s="209"/>
      <c r="L137" s="211"/>
      <c r="M137" s="213"/>
      <c r="N137" s="215">
        <f t="shared" ref="N137:N200" si="267">SUM(I137:M137)</f>
        <v>0</v>
      </c>
      <c r="O137" s="216"/>
      <c r="P137" s="35"/>
      <c r="Q137" s="203"/>
      <c r="R137" s="203"/>
      <c r="S137" s="235"/>
      <c r="T137" s="203"/>
      <c r="U137" s="203"/>
      <c r="V137" s="248"/>
      <c r="W137" s="207"/>
      <c r="X137" s="209"/>
      <c r="Y137" s="211"/>
      <c r="Z137" s="213"/>
      <c r="AA137" s="215">
        <f t="shared" si="259"/>
        <v>0</v>
      </c>
      <c r="AB137" s="216">
        <v>0</v>
      </c>
      <c r="AC137" s="203"/>
      <c r="AD137" s="248"/>
      <c r="AE137" s="207"/>
      <c r="AF137" s="209"/>
      <c r="AG137" s="211"/>
      <c r="AH137" s="213"/>
      <c r="AI137" s="215">
        <f t="shared" si="260"/>
        <v>0</v>
      </c>
      <c r="AJ137" s="216">
        <v>0</v>
      </c>
      <c r="AK137" s="203"/>
      <c r="AL137" s="203"/>
      <c r="AM137" s="218"/>
      <c r="AN137" s="203"/>
      <c r="AO137" s="46"/>
      <c r="AP137" s="33" t="s">
        <v>127</v>
      </c>
      <c r="AQ137" s="33">
        <v>1</v>
      </c>
      <c r="AR137" s="47">
        <v>1</v>
      </c>
      <c r="AS137" s="48">
        <v>0</v>
      </c>
      <c r="AT137" s="49">
        <v>0</v>
      </c>
      <c r="AU137" s="203"/>
      <c r="AV137" s="203"/>
      <c r="AW137" s="33"/>
      <c r="AX137" s="32" t="s">
        <v>201</v>
      </c>
    </row>
    <row r="138" spans="1:286" s="110" customFormat="1" ht="82.5" customHeight="1" x14ac:dyDescent="0.25">
      <c r="A138" s="296"/>
      <c r="B138" s="30" t="s">
        <v>45</v>
      </c>
      <c r="C138" s="31" t="s">
        <v>206</v>
      </c>
      <c r="D138" s="32" t="s">
        <v>197</v>
      </c>
      <c r="E138" s="32" t="s">
        <v>70</v>
      </c>
      <c r="F138" s="51" t="s">
        <v>61</v>
      </c>
      <c r="G138" s="85"/>
      <c r="H138" s="52">
        <f>SUM(H136)</f>
        <v>50</v>
      </c>
      <c r="I138" s="52">
        <f t="shared" ref="I138" si="268">SUM(I136)</f>
        <v>2</v>
      </c>
      <c r="J138" s="52">
        <f t="shared" ref="J138:M138" si="269">SUM(J136)</f>
        <v>6</v>
      </c>
      <c r="K138" s="52">
        <f t="shared" si="269"/>
        <v>19</v>
      </c>
      <c r="L138" s="52">
        <f t="shared" si="269"/>
        <v>5</v>
      </c>
      <c r="M138" s="52">
        <f t="shared" si="269"/>
        <v>13</v>
      </c>
      <c r="N138" s="52">
        <f t="shared" si="267"/>
        <v>45</v>
      </c>
      <c r="O138" s="52">
        <f t="shared" ref="O138:P138" si="270">SUM(O136)</f>
        <v>0</v>
      </c>
      <c r="P138" s="52">
        <f t="shared" si="270"/>
        <v>0</v>
      </c>
      <c r="Q138" s="85"/>
      <c r="R138" s="85"/>
      <c r="S138" s="111"/>
      <c r="T138" s="85"/>
      <c r="U138" s="52">
        <f t="shared" ref="U138:AJ138" si="271">SUM(U136)</f>
        <v>50</v>
      </c>
      <c r="V138" s="52">
        <f t="shared" si="271"/>
        <v>2</v>
      </c>
      <c r="W138" s="52">
        <f t="shared" si="271"/>
        <v>6</v>
      </c>
      <c r="X138" s="52">
        <f t="shared" si="271"/>
        <v>19</v>
      </c>
      <c r="Y138" s="52">
        <f t="shared" si="271"/>
        <v>10</v>
      </c>
      <c r="Z138" s="52">
        <f t="shared" si="271"/>
        <v>13</v>
      </c>
      <c r="AA138" s="52">
        <f t="shared" si="259"/>
        <v>50</v>
      </c>
      <c r="AB138" s="52">
        <f t="shared" si="271"/>
        <v>0</v>
      </c>
      <c r="AC138" s="52">
        <f t="shared" si="271"/>
        <v>25</v>
      </c>
      <c r="AD138" s="52">
        <f t="shared" si="271"/>
        <v>2</v>
      </c>
      <c r="AE138" s="52">
        <f t="shared" si="271"/>
        <v>8</v>
      </c>
      <c r="AF138" s="52">
        <f t="shared" si="271"/>
        <v>9</v>
      </c>
      <c r="AG138" s="52">
        <f t="shared" si="271"/>
        <v>2</v>
      </c>
      <c r="AH138" s="52">
        <f t="shared" si="271"/>
        <v>3</v>
      </c>
      <c r="AI138" s="52">
        <f t="shared" si="260"/>
        <v>24</v>
      </c>
      <c r="AJ138" s="52">
        <f t="shared" si="271"/>
        <v>0</v>
      </c>
      <c r="AK138" s="51"/>
      <c r="AL138" s="85"/>
      <c r="AM138" s="51"/>
      <c r="AN138" s="51"/>
      <c r="AO138" s="51"/>
      <c r="AP138" s="51"/>
      <c r="AQ138" s="51">
        <f>SUM(AQ136:AQ137)</f>
        <v>26</v>
      </c>
      <c r="AR138" s="51">
        <f t="shared" ref="AR138:AT138" si="272">SUM(AR136:AR137)</f>
        <v>26</v>
      </c>
      <c r="AS138" s="51">
        <f t="shared" si="272"/>
        <v>0</v>
      </c>
      <c r="AT138" s="51">
        <f t="shared" si="272"/>
        <v>0</v>
      </c>
      <c r="AU138" s="85"/>
      <c r="AV138" s="51"/>
      <c r="AW138" s="51"/>
      <c r="AX138" s="51" t="s">
        <v>201</v>
      </c>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c r="DN138" s="9"/>
      <c r="DO138" s="9"/>
      <c r="DP138" s="9"/>
      <c r="DQ138" s="9"/>
      <c r="DR138" s="9"/>
      <c r="DS138" s="9"/>
      <c r="DT138" s="9"/>
      <c r="DU138" s="9"/>
      <c r="DV138" s="9"/>
      <c r="DW138" s="9"/>
      <c r="DX138" s="9"/>
      <c r="DY138" s="9"/>
      <c r="DZ138" s="9"/>
      <c r="EA138" s="9"/>
      <c r="EB138" s="9"/>
      <c r="EC138" s="9"/>
      <c r="ED138" s="9"/>
      <c r="EE138" s="9"/>
      <c r="EF138" s="9"/>
      <c r="EG138" s="9"/>
      <c r="EH138" s="9"/>
      <c r="EI138" s="9"/>
      <c r="EJ138" s="9"/>
      <c r="EK138" s="9"/>
      <c r="EL138" s="9"/>
      <c r="EM138" s="9"/>
      <c r="EN138" s="9"/>
      <c r="EO138" s="9"/>
      <c r="EP138" s="9"/>
      <c r="EQ138" s="9"/>
      <c r="ER138" s="9"/>
      <c r="ES138" s="9"/>
      <c r="ET138" s="9"/>
      <c r="EU138" s="9"/>
      <c r="EV138" s="9"/>
      <c r="EW138" s="9"/>
      <c r="EX138" s="9"/>
      <c r="EY138" s="9"/>
      <c r="EZ138" s="9"/>
      <c r="FA138" s="9"/>
      <c r="FB138" s="9"/>
      <c r="FC138" s="9"/>
      <c r="FD138" s="9"/>
      <c r="FE138" s="9"/>
      <c r="FF138" s="9"/>
      <c r="FG138" s="9"/>
      <c r="FH138" s="9"/>
      <c r="FI138" s="9"/>
      <c r="FJ138" s="9"/>
      <c r="FK138" s="9"/>
      <c r="FL138" s="9"/>
      <c r="FM138" s="9"/>
      <c r="FN138" s="9"/>
      <c r="FO138" s="9"/>
      <c r="FP138" s="9"/>
      <c r="FQ138" s="9"/>
      <c r="FR138" s="9"/>
      <c r="FS138" s="9"/>
      <c r="FT138" s="9"/>
      <c r="FU138" s="9"/>
      <c r="FV138" s="9"/>
      <c r="FW138" s="9"/>
      <c r="FX138" s="9"/>
      <c r="FY138" s="9"/>
      <c r="FZ138" s="9"/>
      <c r="GA138" s="9"/>
      <c r="GB138" s="9"/>
      <c r="GC138" s="9"/>
      <c r="GD138" s="9"/>
      <c r="GE138" s="9"/>
      <c r="GF138" s="9"/>
      <c r="GG138" s="9"/>
      <c r="GH138" s="9"/>
      <c r="GI138" s="9"/>
      <c r="GJ138" s="9"/>
      <c r="GK138" s="9"/>
      <c r="GL138" s="9"/>
      <c r="GM138" s="9"/>
      <c r="GN138" s="9"/>
      <c r="GO138" s="9"/>
      <c r="GP138" s="9"/>
      <c r="GQ138" s="9"/>
      <c r="GR138" s="9"/>
      <c r="GS138" s="9"/>
      <c r="GT138" s="9"/>
      <c r="GU138" s="9"/>
      <c r="GV138" s="9"/>
      <c r="GW138" s="9"/>
      <c r="GX138" s="9"/>
      <c r="GY138" s="9"/>
      <c r="GZ138" s="9"/>
      <c r="HA138" s="9"/>
      <c r="HB138" s="9"/>
      <c r="HC138" s="9"/>
      <c r="HD138" s="9"/>
      <c r="HE138" s="9"/>
      <c r="HF138" s="9"/>
      <c r="HG138" s="9"/>
      <c r="HH138" s="9"/>
      <c r="HI138" s="9"/>
      <c r="HJ138" s="9"/>
      <c r="HK138" s="9"/>
      <c r="HL138" s="9"/>
      <c r="HM138" s="9"/>
      <c r="HN138" s="9"/>
      <c r="HO138" s="9"/>
      <c r="HP138" s="9"/>
      <c r="HQ138" s="9"/>
      <c r="HR138" s="9"/>
      <c r="HS138" s="9"/>
      <c r="HT138" s="9"/>
      <c r="HU138" s="9"/>
      <c r="HV138" s="9"/>
      <c r="HW138" s="9"/>
      <c r="HX138" s="9"/>
      <c r="HY138" s="9"/>
      <c r="HZ138" s="9"/>
      <c r="IA138" s="9"/>
      <c r="IB138" s="9"/>
      <c r="IC138" s="9"/>
      <c r="ID138" s="9"/>
      <c r="IE138" s="9"/>
      <c r="IF138" s="9"/>
      <c r="IG138" s="9"/>
      <c r="IH138" s="9"/>
      <c r="II138" s="9"/>
      <c r="IJ138" s="9"/>
      <c r="IK138" s="9"/>
      <c r="IL138" s="9"/>
      <c r="IM138" s="9"/>
      <c r="IN138" s="9"/>
      <c r="IO138" s="9"/>
      <c r="IP138" s="9"/>
      <c r="IQ138" s="9"/>
      <c r="IR138" s="9"/>
      <c r="IS138" s="9"/>
      <c r="IT138" s="9"/>
      <c r="IU138" s="9"/>
      <c r="IV138" s="9"/>
      <c r="IW138" s="9"/>
      <c r="IX138" s="9"/>
      <c r="IY138" s="9"/>
      <c r="IZ138" s="9"/>
      <c r="JA138" s="9"/>
      <c r="JB138" s="9"/>
      <c r="JC138" s="9"/>
      <c r="JD138" s="9"/>
      <c r="JE138" s="9"/>
      <c r="JF138" s="9"/>
      <c r="JG138" s="9"/>
      <c r="JH138" s="9"/>
      <c r="JI138" s="9"/>
      <c r="JJ138" s="9"/>
      <c r="JK138" s="9"/>
      <c r="JL138" s="9"/>
      <c r="JM138" s="9"/>
      <c r="JN138" s="9"/>
      <c r="JO138" s="9"/>
      <c r="JP138" s="9"/>
      <c r="JQ138" s="9"/>
      <c r="JR138" s="9"/>
      <c r="JS138" s="9"/>
      <c r="JT138" s="9"/>
      <c r="JU138" s="9"/>
      <c r="JV138" s="9"/>
      <c r="JW138" s="9"/>
      <c r="JX138" s="9"/>
      <c r="JY138" s="9"/>
      <c r="JZ138" s="9"/>
    </row>
    <row r="139" spans="1:286" s="9" customFormat="1" ht="82.5" customHeight="1" x14ac:dyDescent="0.25">
      <c r="A139" s="299"/>
      <c r="B139" s="30" t="s">
        <v>45</v>
      </c>
      <c r="C139" s="31" t="s">
        <v>207</v>
      </c>
      <c r="D139" s="32" t="s">
        <v>208</v>
      </c>
      <c r="E139" s="32" t="s">
        <v>75</v>
      </c>
      <c r="F139" s="203" t="s">
        <v>49</v>
      </c>
      <c r="G139" s="33" t="s">
        <v>50</v>
      </c>
      <c r="H139" s="33">
        <v>50</v>
      </c>
      <c r="I139" s="37">
        <v>0</v>
      </c>
      <c r="J139" s="38">
        <v>7</v>
      </c>
      <c r="K139" s="39">
        <v>21</v>
      </c>
      <c r="L139" s="40">
        <v>3</v>
      </c>
      <c r="M139" s="41">
        <v>12</v>
      </c>
      <c r="N139" s="42">
        <f t="shared" si="267"/>
        <v>43</v>
      </c>
      <c r="O139" s="35">
        <v>0</v>
      </c>
      <c r="P139" s="35"/>
      <c r="Q139" s="33"/>
      <c r="R139" s="33" t="s">
        <v>51</v>
      </c>
      <c r="S139" s="36" t="s">
        <v>52</v>
      </c>
      <c r="T139" s="33" t="s">
        <v>53</v>
      </c>
      <c r="U139" s="33">
        <v>50</v>
      </c>
      <c r="V139" s="195">
        <v>0</v>
      </c>
      <c r="W139" s="38">
        <v>7</v>
      </c>
      <c r="X139" s="39">
        <v>21</v>
      </c>
      <c r="Y139" s="40">
        <v>10</v>
      </c>
      <c r="Z139" s="41">
        <v>12</v>
      </c>
      <c r="AA139" s="42">
        <f t="shared" si="259"/>
        <v>50</v>
      </c>
      <c r="AB139" s="35">
        <v>0</v>
      </c>
      <c r="AC139" s="33">
        <v>50</v>
      </c>
      <c r="AD139" s="195">
        <v>0</v>
      </c>
      <c r="AE139" s="38">
        <v>7</v>
      </c>
      <c r="AF139" s="39">
        <v>21</v>
      </c>
      <c r="AG139" s="40">
        <v>3</v>
      </c>
      <c r="AH139" s="41">
        <v>12</v>
      </c>
      <c r="AI139" s="42">
        <f t="shared" si="260"/>
        <v>43</v>
      </c>
      <c r="AJ139" s="35">
        <v>0</v>
      </c>
      <c r="AK139" s="33"/>
      <c r="AL139" s="33"/>
      <c r="AM139" s="46"/>
      <c r="AN139" s="33"/>
      <c r="AO139" s="46"/>
      <c r="AP139" s="33" t="s">
        <v>99</v>
      </c>
      <c r="AQ139" s="33">
        <v>50</v>
      </c>
      <c r="AR139" s="47">
        <v>50</v>
      </c>
      <c r="AS139" s="48">
        <v>0</v>
      </c>
      <c r="AT139" s="49">
        <v>0</v>
      </c>
      <c r="AU139" s="33"/>
      <c r="AV139" s="33"/>
      <c r="AW139" s="33"/>
      <c r="AX139" s="32" t="s">
        <v>55</v>
      </c>
    </row>
    <row r="140" spans="1:286" s="82" customFormat="1" ht="82.5" customHeight="1" x14ac:dyDescent="0.25">
      <c r="A140" s="299"/>
      <c r="B140" s="30" t="s">
        <v>45</v>
      </c>
      <c r="C140" s="31" t="s">
        <v>207</v>
      </c>
      <c r="D140" s="32" t="s">
        <v>208</v>
      </c>
      <c r="E140" s="32" t="s">
        <v>75</v>
      </c>
      <c r="F140" s="203"/>
      <c r="G140" s="33" t="s">
        <v>60</v>
      </c>
      <c r="H140" s="33">
        <v>20</v>
      </c>
      <c r="I140" s="37">
        <v>0</v>
      </c>
      <c r="J140" s="38">
        <v>0</v>
      </c>
      <c r="K140" s="39">
        <v>5</v>
      </c>
      <c r="L140" s="40">
        <v>5</v>
      </c>
      <c r="M140" s="41">
        <v>5</v>
      </c>
      <c r="N140" s="42">
        <f t="shared" si="267"/>
        <v>15</v>
      </c>
      <c r="O140" s="35">
        <v>0</v>
      </c>
      <c r="P140" s="35"/>
      <c r="Q140" s="33"/>
      <c r="R140" s="33" t="s">
        <v>51</v>
      </c>
      <c r="S140" s="36" t="s">
        <v>100</v>
      </c>
      <c r="T140" s="33" t="s">
        <v>53</v>
      </c>
      <c r="U140" s="33">
        <v>20</v>
      </c>
      <c r="V140" s="195">
        <v>0</v>
      </c>
      <c r="W140" s="38">
        <v>0</v>
      </c>
      <c r="X140" s="39">
        <v>5</v>
      </c>
      <c r="Y140" s="40">
        <v>10</v>
      </c>
      <c r="Z140" s="41">
        <v>5</v>
      </c>
      <c r="AA140" s="42">
        <f t="shared" si="259"/>
        <v>20</v>
      </c>
      <c r="AB140" s="35">
        <v>0</v>
      </c>
      <c r="AC140" s="33">
        <v>10</v>
      </c>
      <c r="AD140" s="195">
        <v>0</v>
      </c>
      <c r="AE140" s="38">
        <v>0</v>
      </c>
      <c r="AF140" s="39">
        <v>5</v>
      </c>
      <c r="AG140" s="40">
        <v>5</v>
      </c>
      <c r="AH140" s="41">
        <v>5</v>
      </c>
      <c r="AI140" s="42">
        <f t="shared" si="260"/>
        <v>15</v>
      </c>
      <c r="AJ140" s="35">
        <v>0</v>
      </c>
      <c r="AK140" s="33"/>
      <c r="AL140" s="33"/>
      <c r="AM140" s="46"/>
      <c r="AN140" s="33"/>
      <c r="AO140" s="46"/>
      <c r="AP140" s="33" t="s">
        <v>99</v>
      </c>
      <c r="AQ140" s="33">
        <v>10</v>
      </c>
      <c r="AR140" s="47">
        <v>10</v>
      </c>
      <c r="AS140" s="48">
        <v>0</v>
      </c>
      <c r="AT140" s="49">
        <v>0</v>
      </c>
      <c r="AU140" s="33"/>
      <c r="AV140" s="33"/>
      <c r="AW140" s="33"/>
      <c r="AX140" s="32" t="s">
        <v>55</v>
      </c>
    </row>
    <row r="141" spans="1:286" s="97" customFormat="1" ht="82.5" customHeight="1" x14ac:dyDescent="0.25">
      <c r="A141" s="299"/>
      <c r="B141" s="30" t="s">
        <v>45</v>
      </c>
      <c r="C141" s="31" t="s">
        <v>207</v>
      </c>
      <c r="D141" s="32" t="s">
        <v>208</v>
      </c>
      <c r="E141" s="32" t="s">
        <v>75</v>
      </c>
      <c r="F141" s="51" t="s">
        <v>61</v>
      </c>
      <c r="G141" s="85"/>
      <c r="H141" s="84">
        <f>SUM(H139:H140)</f>
        <v>70</v>
      </c>
      <c r="I141" s="84">
        <f t="shared" ref="I141" si="273">SUM(I139:I140)</f>
        <v>0</v>
      </c>
      <c r="J141" s="84">
        <f t="shared" ref="J141:M141" si="274">SUM(J139:J140)</f>
        <v>7</v>
      </c>
      <c r="K141" s="84">
        <f t="shared" si="274"/>
        <v>26</v>
      </c>
      <c r="L141" s="84">
        <f t="shared" si="274"/>
        <v>8</v>
      </c>
      <c r="M141" s="84">
        <f t="shared" si="274"/>
        <v>17</v>
      </c>
      <c r="N141" s="84">
        <f t="shared" si="267"/>
        <v>58</v>
      </c>
      <c r="O141" s="84">
        <f t="shared" ref="O141" si="275">SUM(O139:O140)</f>
        <v>0</v>
      </c>
      <c r="P141" s="84">
        <v>0</v>
      </c>
      <c r="Q141" s="96"/>
      <c r="R141" s="85"/>
      <c r="S141" s="86"/>
      <c r="T141" s="51"/>
      <c r="U141" s="84">
        <f t="shared" ref="U141:AJ141" si="276">SUM(U139:U140)</f>
        <v>70</v>
      </c>
      <c r="V141" s="84">
        <f t="shared" si="276"/>
        <v>0</v>
      </c>
      <c r="W141" s="84">
        <f t="shared" si="276"/>
        <v>7</v>
      </c>
      <c r="X141" s="84">
        <f t="shared" si="276"/>
        <v>26</v>
      </c>
      <c r="Y141" s="84">
        <f t="shared" si="276"/>
        <v>20</v>
      </c>
      <c r="Z141" s="84">
        <f t="shared" si="276"/>
        <v>17</v>
      </c>
      <c r="AA141" s="84">
        <f t="shared" si="259"/>
        <v>70</v>
      </c>
      <c r="AB141" s="84">
        <f t="shared" si="276"/>
        <v>0</v>
      </c>
      <c r="AC141" s="84">
        <f t="shared" si="276"/>
        <v>60</v>
      </c>
      <c r="AD141" s="84">
        <f t="shared" si="276"/>
        <v>0</v>
      </c>
      <c r="AE141" s="84">
        <f t="shared" si="276"/>
        <v>7</v>
      </c>
      <c r="AF141" s="84">
        <f t="shared" si="276"/>
        <v>26</v>
      </c>
      <c r="AG141" s="84">
        <f t="shared" si="276"/>
        <v>8</v>
      </c>
      <c r="AH141" s="84">
        <f t="shared" si="276"/>
        <v>17</v>
      </c>
      <c r="AI141" s="84">
        <f t="shared" si="260"/>
        <v>58</v>
      </c>
      <c r="AJ141" s="84">
        <f t="shared" si="276"/>
        <v>0</v>
      </c>
      <c r="AK141" s="96"/>
      <c r="AL141" s="85"/>
      <c r="AM141" s="96"/>
      <c r="AN141" s="96"/>
      <c r="AO141" s="96"/>
      <c r="AP141" s="51"/>
      <c r="AQ141" s="83">
        <f>SUM(AQ139:AQ140)</f>
        <v>60</v>
      </c>
      <c r="AR141" s="83">
        <f t="shared" ref="AR141:AT141" si="277">SUM(AR139:AR140)</f>
        <v>60</v>
      </c>
      <c r="AS141" s="83">
        <f t="shared" si="277"/>
        <v>0</v>
      </c>
      <c r="AT141" s="83">
        <f t="shared" si="277"/>
        <v>0</v>
      </c>
      <c r="AU141" s="87"/>
      <c r="AV141" s="96"/>
      <c r="AW141" s="51"/>
      <c r="AX141" s="51" t="s">
        <v>55</v>
      </c>
      <c r="AY141" s="95"/>
      <c r="AZ141" s="95"/>
      <c r="BA141" s="95"/>
      <c r="BB141" s="95"/>
      <c r="BC141" s="95"/>
      <c r="BD141" s="95"/>
      <c r="BE141" s="95"/>
      <c r="BF141" s="95"/>
      <c r="BG141" s="95"/>
      <c r="BH141" s="95"/>
      <c r="BI141" s="95"/>
      <c r="BJ141" s="95"/>
      <c r="BK141" s="95"/>
      <c r="BL141" s="95"/>
      <c r="BM141" s="95"/>
      <c r="BN141" s="95"/>
      <c r="BO141" s="95"/>
      <c r="BP141" s="95"/>
      <c r="BQ141" s="95"/>
      <c r="BR141" s="95"/>
      <c r="BS141" s="95"/>
      <c r="BT141" s="95"/>
      <c r="BU141" s="95"/>
      <c r="BV141" s="95"/>
      <c r="BW141" s="95"/>
      <c r="BX141" s="95"/>
      <c r="BY141" s="95"/>
      <c r="BZ141" s="95"/>
      <c r="CA141" s="95"/>
      <c r="CB141" s="95"/>
      <c r="CC141" s="95"/>
      <c r="CD141" s="95"/>
      <c r="CE141" s="95"/>
      <c r="CF141" s="95"/>
      <c r="CG141" s="95"/>
      <c r="CH141" s="95"/>
      <c r="CI141" s="95"/>
      <c r="CJ141" s="95"/>
      <c r="CK141" s="95"/>
      <c r="CL141" s="95"/>
      <c r="CM141" s="95"/>
      <c r="CN141" s="95"/>
      <c r="CO141" s="95"/>
      <c r="CP141" s="95"/>
      <c r="CQ141" s="95"/>
      <c r="CR141" s="95"/>
      <c r="CS141" s="95"/>
      <c r="CT141" s="95"/>
      <c r="CU141" s="95"/>
      <c r="CV141" s="95"/>
      <c r="CW141" s="95"/>
      <c r="CX141" s="95"/>
      <c r="CY141" s="95"/>
      <c r="CZ141" s="95"/>
      <c r="DA141" s="95"/>
      <c r="DB141" s="95"/>
      <c r="DC141" s="95"/>
      <c r="DD141" s="95"/>
      <c r="DE141" s="95"/>
      <c r="DF141" s="95"/>
      <c r="DG141" s="95"/>
      <c r="DH141" s="95"/>
      <c r="DI141" s="95"/>
      <c r="DJ141" s="95"/>
      <c r="DK141" s="95"/>
      <c r="DL141" s="95"/>
      <c r="DM141" s="95"/>
      <c r="DN141" s="95"/>
      <c r="DO141" s="95"/>
      <c r="DP141" s="95"/>
      <c r="DQ141" s="95"/>
      <c r="DR141" s="95"/>
      <c r="DS141" s="95"/>
      <c r="DT141" s="95"/>
      <c r="DU141" s="95"/>
      <c r="DV141" s="95"/>
      <c r="DW141" s="95"/>
      <c r="DX141" s="95"/>
      <c r="DY141" s="95"/>
      <c r="DZ141" s="95"/>
      <c r="EA141" s="95"/>
      <c r="EB141" s="95"/>
      <c r="EC141" s="95"/>
      <c r="ED141" s="95"/>
      <c r="EE141" s="95"/>
      <c r="EF141" s="95"/>
      <c r="EG141" s="95"/>
      <c r="EH141" s="95"/>
      <c r="EI141" s="95"/>
      <c r="EJ141" s="95"/>
      <c r="EK141" s="95"/>
      <c r="EL141" s="95"/>
      <c r="EM141" s="95"/>
      <c r="EN141" s="95"/>
      <c r="EO141" s="95"/>
      <c r="EP141" s="95"/>
      <c r="EQ141" s="95"/>
      <c r="ER141" s="95"/>
      <c r="ES141" s="95"/>
      <c r="ET141" s="95"/>
      <c r="EU141" s="95"/>
      <c r="EV141" s="95"/>
      <c r="EW141" s="95"/>
      <c r="EX141" s="95"/>
      <c r="EY141" s="95"/>
      <c r="EZ141" s="95"/>
      <c r="FA141" s="95"/>
      <c r="FB141" s="95"/>
      <c r="FC141" s="95"/>
      <c r="FD141" s="95"/>
      <c r="FE141" s="95"/>
      <c r="FF141" s="95"/>
      <c r="FG141" s="95"/>
      <c r="FH141" s="95"/>
      <c r="FI141" s="95"/>
      <c r="FJ141" s="95"/>
      <c r="FK141" s="95"/>
      <c r="FL141" s="95"/>
      <c r="FM141" s="95"/>
      <c r="FN141" s="95"/>
      <c r="FO141" s="95"/>
      <c r="FP141" s="95"/>
      <c r="FQ141" s="95"/>
      <c r="FR141" s="95"/>
      <c r="FS141" s="95"/>
      <c r="FT141" s="95"/>
      <c r="FU141" s="95"/>
      <c r="FV141" s="95"/>
      <c r="FW141" s="95"/>
      <c r="FX141" s="95"/>
      <c r="FY141" s="95"/>
      <c r="FZ141" s="95"/>
      <c r="GA141" s="95"/>
      <c r="GB141" s="95"/>
      <c r="GC141" s="95"/>
      <c r="GD141" s="95"/>
      <c r="GE141" s="95"/>
      <c r="GF141" s="95"/>
      <c r="GG141" s="95"/>
      <c r="GH141" s="95"/>
      <c r="GI141" s="95"/>
      <c r="GJ141" s="95"/>
      <c r="GK141" s="95"/>
      <c r="GL141" s="95"/>
      <c r="GM141" s="95"/>
      <c r="GN141" s="95"/>
      <c r="GO141" s="95"/>
      <c r="GP141" s="95"/>
      <c r="GQ141" s="95"/>
      <c r="GR141" s="95"/>
      <c r="GS141" s="95"/>
      <c r="GT141" s="95"/>
      <c r="GU141" s="95"/>
      <c r="GV141" s="95"/>
      <c r="GW141" s="95"/>
      <c r="GX141" s="95"/>
      <c r="GY141" s="95"/>
      <c r="GZ141" s="95"/>
      <c r="HA141" s="95"/>
      <c r="HB141" s="95"/>
      <c r="HC141" s="95"/>
      <c r="HD141" s="95"/>
      <c r="HE141" s="95"/>
      <c r="HF141" s="95"/>
      <c r="HG141" s="95"/>
      <c r="HH141" s="95"/>
      <c r="HI141" s="95"/>
      <c r="HJ141" s="95"/>
      <c r="HK141" s="95"/>
      <c r="HL141" s="95"/>
      <c r="HM141" s="95"/>
      <c r="HN141" s="95"/>
      <c r="HO141" s="95"/>
      <c r="HP141" s="95"/>
      <c r="HQ141" s="95"/>
      <c r="HR141" s="95"/>
      <c r="HS141" s="95"/>
      <c r="HT141" s="95"/>
      <c r="HU141" s="95"/>
      <c r="HV141" s="95"/>
      <c r="HW141" s="95"/>
      <c r="HX141" s="95"/>
      <c r="HY141" s="95"/>
      <c r="HZ141" s="95"/>
      <c r="IA141" s="95"/>
      <c r="IB141" s="95"/>
      <c r="IC141" s="95"/>
      <c r="ID141" s="95"/>
      <c r="IE141" s="95"/>
      <c r="IF141" s="95"/>
      <c r="IG141" s="95"/>
      <c r="IH141" s="95"/>
      <c r="II141" s="95"/>
      <c r="IJ141" s="95"/>
      <c r="IK141" s="95"/>
      <c r="IL141" s="95"/>
      <c r="IM141" s="95"/>
      <c r="IN141" s="95"/>
      <c r="IO141" s="95"/>
      <c r="IP141" s="95"/>
      <c r="IQ141" s="95"/>
      <c r="IR141" s="95"/>
      <c r="IS141" s="95"/>
      <c r="IT141" s="95"/>
      <c r="IU141" s="95"/>
      <c r="IV141" s="95"/>
      <c r="IW141" s="95"/>
      <c r="IX141" s="95"/>
      <c r="IY141" s="95"/>
      <c r="IZ141" s="95"/>
      <c r="JA141" s="95"/>
      <c r="JB141" s="95"/>
      <c r="JC141" s="95"/>
      <c r="JD141" s="95"/>
      <c r="JE141" s="95"/>
      <c r="JF141" s="95"/>
      <c r="JG141" s="95"/>
      <c r="JH141" s="95"/>
      <c r="JI141" s="95"/>
      <c r="JJ141" s="95"/>
      <c r="JK141" s="95"/>
      <c r="JL141" s="95"/>
      <c r="JM141" s="95"/>
      <c r="JN141" s="95"/>
      <c r="JO141" s="95"/>
      <c r="JP141" s="95"/>
      <c r="JQ141" s="95"/>
      <c r="JR141" s="95"/>
      <c r="JS141" s="95"/>
      <c r="JT141" s="95"/>
      <c r="JU141" s="95"/>
      <c r="JV141" s="95"/>
      <c r="JW141" s="95"/>
      <c r="JX141" s="95"/>
      <c r="JY141" s="95"/>
      <c r="JZ141" s="95"/>
    </row>
    <row r="142" spans="1:286" s="95" customFormat="1" ht="82.5" customHeight="1" x14ac:dyDescent="0.25">
      <c r="A142" s="299"/>
      <c r="B142" s="30" t="s">
        <v>45</v>
      </c>
      <c r="C142" s="31" t="s">
        <v>209</v>
      </c>
      <c r="D142" s="32" t="s">
        <v>208</v>
      </c>
      <c r="E142" s="32" t="s">
        <v>70</v>
      </c>
      <c r="F142" s="65" t="s">
        <v>49</v>
      </c>
      <c r="G142" s="33" t="s">
        <v>50</v>
      </c>
      <c r="H142" s="65">
        <v>7</v>
      </c>
      <c r="I142" s="37">
        <v>0</v>
      </c>
      <c r="J142" s="38">
        <v>0</v>
      </c>
      <c r="K142" s="39">
        <v>5</v>
      </c>
      <c r="L142" s="40">
        <v>1</v>
      </c>
      <c r="M142" s="41">
        <v>0</v>
      </c>
      <c r="N142" s="70">
        <f t="shared" si="267"/>
        <v>6</v>
      </c>
      <c r="O142" s="35">
        <v>0</v>
      </c>
      <c r="P142" s="35"/>
      <c r="Q142" s="93"/>
      <c r="R142" s="33" t="s">
        <v>51</v>
      </c>
      <c r="S142" s="36" t="s">
        <v>210</v>
      </c>
      <c r="T142" s="33" t="s">
        <v>211</v>
      </c>
      <c r="U142" s="65">
        <v>7</v>
      </c>
      <c r="V142" s="195">
        <v>1</v>
      </c>
      <c r="W142" s="38">
        <v>0</v>
      </c>
      <c r="X142" s="39">
        <v>5</v>
      </c>
      <c r="Y142" s="40">
        <v>1</v>
      </c>
      <c r="Z142" s="41">
        <v>0</v>
      </c>
      <c r="AA142" s="70">
        <f t="shared" si="259"/>
        <v>7</v>
      </c>
      <c r="AB142" s="35">
        <v>0</v>
      </c>
      <c r="AC142" s="65">
        <v>7</v>
      </c>
      <c r="AD142" s="195">
        <v>0</v>
      </c>
      <c r="AE142" s="38">
        <v>0</v>
      </c>
      <c r="AF142" s="39">
        <v>3</v>
      </c>
      <c r="AG142" s="40">
        <v>1</v>
      </c>
      <c r="AH142" s="41">
        <v>0</v>
      </c>
      <c r="AI142" s="70">
        <f t="shared" si="260"/>
        <v>4</v>
      </c>
      <c r="AJ142" s="35">
        <v>0</v>
      </c>
      <c r="AK142" s="93"/>
      <c r="AL142" s="33"/>
      <c r="AM142" s="94"/>
      <c r="AN142" s="93"/>
      <c r="AO142" s="94"/>
      <c r="AP142" s="33" t="s">
        <v>99</v>
      </c>
      <c r="AQ142" s="65">
        <v>7</v>
      </c>
      <c r="AR142" s="73">
        <v>7</v>
      </c>
      <c r="AS142" s="74">
        <v>0</v>
      </c>
      <c r="AT142" s="75">
        <v>0</v>
      </c>
      <c r="AU142" s="76"/>
      <c r="AV142" s="93"/>
      <c r="AW142" s="33"/>
      <c r="AX142" s="32" t="s">
        <v>87</v>
      </c>
    </row>
    <row r="143" spans="1:286" s="97" customFormat="1" ht="82.5" customHeight="1" x14ac:dyDescent="0.25">
      <c r="A143" s="299"/>
      <c r="B143" s="30" t="s">
        <v>45</v>
      </c>
      <c r="C143" s="31" t="s">
        <v>209</v>
      </c>
      <c r="D143" s="32" t="s">
        <v>208</v>
      </c>
      <c r="E143" s="32" t="s">
        <v>70</v>
      </c>
      <c r="F143" s="51" t="s">
        <v>61</v>
      </c>
      <c r="G143" s="83"/>
      <c r="H143" s="84">
        <f>SUM(H142)</f>
        <v>7</v>
      </c>
      <c r="I143" s="84">
        <f t="shared" ref="I143" si="278">SUM(I142)</f>
        <v>0</v>
      </c>
      <c r="J143" s="84">
        <f t="shared" ref="J143:M143" si="279">SUM(J142)</f>
        <v>0</v>
      </c>
      <c r="K143" s="84">
        <f t="shared" si="279"/>
        <v>5</v>
      </c>
      <c r="L143" s="84">
        <f t="shared" si="279"/>
        <v>1</v>
      </c>
      <c r="M143" s="84">
        <f t="shared" si="279"/>
        <v>0</v>
      </c>
      <c r="N143" s="84">
        <f t="shared" si="267"/>
        <v>6</v>
      </c>
      <c r="O143" s="84">
        <f t="shared" ref="O143:P143" si="280">SUM(O142)</f>
        <v>0</v>
      </c>
      <c r="P143" s="84">
        <f t="shared" si="280"/>
        <v>0</v>
      </c>
      <c r="Q143" s="83"/>
      <c r="R143" s="85"/>
      <c r="S143" s="86"/>
      <c r="T143" s="51"/>
      <c r="U143" s="84">
        <f t="shared" ref="U143:AJ143" si="281">SUM(U142)</f>
        <v>7</v>
      </c>
      <c r="V143" s="84">
        <f t="shared" si="281"/>
        <v>1</v>
      </c>
      <c r="W143" s="84">
        <f t="shared" si="281"/>
        <v>0</v>
      </c>
      <c r="X143" s="84">
        <f t="shared" si="281"/>
        <v>5</v>
      </c>
      <c r="Y143" s="84">
        <f t="shared" si="281"/>
        <v>1</v>
      </c>
      <c r="Z143" s="84">
        <f t="shared" si="281"/>
        <v>0</v>
      </c>
      <c r="AA143" s="84">
        <f t="shared" si="259"/>
        <v>7</v>
      </c>
      <c r="AB143" s="84">
        <f t="shared" si="281"/>
        <v>0</v>
      </c>
      <c r="AC143" s="84">
        <f t="shared" si="281"/>
        <v>7</v>
      </c>
      <c r="AD143" s="84">
        <f t="shared" si="281"/>
        <v>0</v>
      </c>
      <c r="AE143" s="84">
        <f t="shared" si="281"/>
        <v>0</v>
      </c>
      <c r="AF143" s="84">
        <f t="shared" si="281"/>
        <v>3</v>
      </c>
      <c r="AG143" s="84">
        <f t="shared" si="281"/>
        <v>1</v>
      </c>
      <c r="AH143" s="84">
        <f t="shared" si="281"/>
        <v>0</v>
      </c>
      <c r="AI143" s="84">
        <f t="shared" si="260"/>
        <v>4</v>
      </c>
      <c r="AJ143" s="84">
        <f t="shared" si="281"/>
        <v>0</v>
      </c>
      <c r="AK143" s="96"/>
      <c r="AL143" s="85"/>
      <c r="AM143" s="96"/>
      <c r="AN143" s="96"/>
      <c r="AO143" s="96"/>
      <c r="AP143" s="51"/>
      <c r="AQ143" s="83">
        <f>SUM(AQ142)</f>
        <v>7</v>
      </c>
      <c r="AR143" s="83">
        <f t="shared" ref="AR143:AT143" si="282">SUM(AR142)</f>
        <v>7</v>
      </c>
      <c r="AS143" s="83">
        <f t="shared" si="282"/>
        <v>0</v>
      </c>
      <c r="AT143" s="83">
        <f t="shared" si="282"/>
        <v>0</v>
      </c>
      <c r="AU143" s="87"/>
      <c r="AV143" s="96"/>
      <c r="AW143" s="51"/>
      <c r="AX143" s="51" t="s">
        <v>87</v>
      </c>
      <c r="AY143" s="95"/>
      <c r="AZ143" s="95"/>
      <c r="BA143" s="95"/>
      <c r="BB143" s="95"/>
      <c r="BC143" s="95"/>
      <c r="BD143" s="95"/>
      <c r="BE143" s="95"/>
      <c r="BF143" s="95"/>
      <c r="BG143" s="95"/>
      <c r="BH143" s="95"/>
      <c r="BI143" s="95"/>
      <c r="BJ143" s="95"/>
      <c r="BK143" s="95"/>
      <c r="BL143" s="95"/>
      <c r="BM143" s="95"/>
      <c r="BN143" s="95"/>
      <c r="BO143" s="95"/>
      <c r="BP143" s="95"/>
      <c r="BQ143" s="95"/>
      <c r="BR143" s="95"/>
      <c r="BS143" s="95"/>
      <c r="BT143" s="95"/>
      <c r="BU143" s="95"/>
      <c r="BV143" s="95"/>
      <c r="BW143" s="95"/>
      <c r="BX143" s="95"/>
      <c r="BY143" s="95"/>
      <c r="BZ143" s="95"/>
      <c r="CA143" s="95"/>
      <c r="CB143" s="95"/>
      <c r="CC143" s="95"/>
      <c r="CD143" s="95"/>
      <c r="CE143" s="95"/>
      <c r="CF143" s="95"/>
      <c r="CG143" s="95"/>
      <c r="CH143" s="95"/>
      <c r="CI143" s="95"/>
      <c r="CJ143" s="95"/>
      <c r="CK143" s="95"/>
      <c r="CL143" s="95"/>
      <c r="CM143" s="95"/>
      <c r="CN143" s="95"/>
      <c r="CO143" s="95"/>
      <c r="CP143" s="95"/>
      <c r="CQ143" s="95"/>
      <c r="CR143" s="95"/>
      <c r="CS143" s="95"/>
      <c r="CT143" s="95"/>
      <c r="CU143" s="95"/>
      <c r="CV143" s="95"/>
      <c r="CW143" s="95"/>
      <c r="CX143" s="95"/>
      <c r="CY143" s="95"/>
      <c r="CZ143" s="95"/>
      <c r="DA143" s="95"/>
      <c r="DB143" s="95"/>
      <c r="DC143" s="95"/>
      <c r="DD143" s="95"/>
      <c r="DE143" s="95"/>
      <c r="DF143" s="95"/>
      <c r="DG143" s="95"/>
      <c r="DH143" s="95"/>
      <c r="DI143" s="95"/>
      <c r="DJ143" s="95"/>
      <c r="DK143" s="95"/>
      <c r="DL143" s="95"/>
      <c r="DM143" s="95"/>
      <c r="DN143" s="95"/>
      <c r="DO143" s="95"/>
      <c r="DP143" s="95"/>
      <c r="DQ143" s="95"/>
      <c r="DR143" s="95"/>
      <c r="DS143" s="95"/>
      <c r="DT143" s="95"/>
      <c r="DU143" s="95"/>
      <c r="DV143" s="95"/>
      <c r="DW143" s="95"/>
      <c r="DX143" s="95"/>
      <c r="DY143" s="95"/>
      <c r="DZ143" s="95"/>
      <c r="EA143" s="95"/>
      <c r="EB143" s="95"/>
      <c r="EC143" s="95"/>
      <c r="ED143" s="95"/>
      <c r="EE143" s="95"/>
      <c r="EF143" s="95"/>
      <c r="EG143" s="95"/>
      <c r="EH143" s="95"/>
      <c r="EI143" s="95"/>
      <c r="EJ143" s="95"/>
      <c r="EK143" s="95"/>
      <c r="EL143" s="95"/>
      <c r="EM143" s="95"/>
      <c r="EN143" s="95"/>
      <c r="EO143" s="95"/>
      <c r="EP143" s="95"/>
      <c r="EQ143" s="95"/>
      <c r="ER143" s="95"/>
      <c r="ES143" s="95"/>
      <c r="ET143" s="95"/>
      <c r="EU143" s="95"/>
      <c r="EV143" s="95"/>
      <c r="EW143" s="95"/>
      <c r="EX143" s="95"/>
      <c r="EY143" s="95"/>
      <c r="EZ143" s="95"/>
      <c r="FA143" s="95"/>
      <c r="FB143" s="95"/>
      <c r="FC143" s="95"/>
      <c r="FD143" s="95"/>
      <c r="FE143" s="95"/>
      <c r="FF143" s="95"/>
      <c r="FG143" s="95"/>
      <c r="FH143" s="95"/>
      <c r="FI143" s="95"/>
      <c r="FJ143" s="95"/>
      <c r="FK143" s="95"/>
      <c r="FL143" s="95"/>
      <c r="FM143" s="95"/>
      <c r="FN143" s="95"/>
      <c r="FO143" s="95"/>
      <c r="FP143" s="95"/>
      <c r="FQ143" s="95"/>
      <c r="FR143" s="95"/>
      <c r="FS143" s="95"/>
      <c r="FT143" s="95"/>
      <c r="FU143" s="95"/>
      <c r="FV143" s="95"/>
      <c r="FW143" s="95"/>
      <c r="FX143" s="95"/>
      <c r="FY143" s="95"/>
      <c r="FZ143" s="95"/>
      <c r="GA143" s="95"/>
      <c r="GB143" s="95"/>
      <c r="GC143" s="95"/>
      <c r="GD143" s="95"/>
      <c r="GE143" s="95"/>
      <c r="GF143" s="95"/>
      <c r="GG143" s="95"/>
      <c r="GH143" s="95"/>
      <c r="GI143" s="95"/>
      <c r="GJ143" s="95"/>
      <c r="GK143" s="95"/>
      <c r="GL143" s="95"/>
      <c r="GM143" s="95"/>
      <c r="GN143" s="95"/>
      <c r="GO143" s="95"/>
      <c r="GP143" s="95"/>
      <c r="GQ143" s="95"/>
      <c r="GR143" s="95"/>
      <c r="GS143" s="95"/>
      <c r="GT143" s="95"/>
      <c r="GU143" s="95"/>
      <c r="GV143" s="95"/>
      <c r="GW143" s="95"/>
      <c r="GX143" s="95"/>
      <c r="GY143" s="95"/>
      <c r="GZ143" s="95"/>
      <c r="HA143" s="95"/>
      <c r="HB143" s="95"/>
      <c r="HC143" s="95"/>
      <c r="HD143" s="95"/>
      <c r="HE143" s="95"/>
      <c r="HF143" s="95"/>
      <c r="HG143" s="95"/>
      <c r="HH143" s="95"/>
      <c r="HI143" s="95"/>
      <c r="HJ143" s="95"/>
      <c r="HK143" s="95"/>
      <c r="HL143" s="95"/>
      <c r="HM143" s="95"/>
      <c r="HN143" s="95"/>
      <c r="HO143" s="95"/>
      <c r="HP143" s="95"/>
      <c r="HQ143" s="95"/>
      <c r="HR143" s="95"/>
      <c r="HS143" s="95"/>
      <c r="HT143" s="95"/>
      <c r="HU143" s="95"/>
      <c r="HV143" s="95"/>
      <c r="HW143" s="95"/>
      <c r="HX143" s="95"/>
      <c r="HY143" s="95"/>
      <c r="HZ143" s="95"/>
      <c r="IA143" s="95"/>
      <c r="IB143" s="95"/>
      <c r="IC143" s="95"/>
      <c r="ID143" s="95"/>
      <c r="IE143" s="95"/>
      <c r="IF143" s="95"/>
      <c r="IG143" s="95"/>
      <c r="IH143" s="95"/>
      <c r="II143" s="95"/>
      <c r="IJ143" s="95"/>
      <c r="IK143" s="95"/>
      <c r="IL143" s="95"/>
      <c r="IM143" s="95"/>
      <c r="IN143" s="95"/>
      <c r="IO143" s="95"/>
      <c r="IP143" s="95"/>
      <c r="IQ143" s="95"/>
      <c r="IR143" s="95"/>
      <c r="IS143" s="95"/>
      <c r="IT143" s="95"/>
      <c r="IU143" s="95"/>
      <c r="IV143" s="95"/>
      <c r="IW143" s="95"/>
      <c r="IX143" s="95"/>
      <c r="IY143" s="95"/>
      <c r="IZ143" s="95"/>
      <c r="JA143" s="95"/>
      <c r="JB143" s="95"/>
      <c r="JC143" s="95"/>
      <c r="JD143" s="95"/>
      <c r="JE143" s="95"/>
      <c r="JF143" s="95"/>
      <c r="JG143" s="95"/>
      <c r="JH143" s="95"/>
      <c r="JI143" s="95"/>
      <c r="JJ143" s="95"/>
      <c r="JK143" s="95"/>
      <c r="JL143" s="95"/>
      <c r="JM143" s="95"/>
      <c r="JN143" s="95"/>
      <c r="JO143" s="95"/>
      <c r="JP143" s="95"/>
      <c r="JQ143" s="95"/>
      <c r="JR143" s="95"/>
      <c r="JS143" s="95"/>
      <c r="JT143" s="95"/>
      <c r="JU143" s="95"/>
      <c r="JV143" s="95"/>
      <c r="JW143" s="95"/>
      <c r="JX143" s="95"/>
      <c r="JY143" s="95"/>
      <c r="JZ143" s="95"/>
    </row>
    <row r="144" spans="1:286" s="95" customFormat="1" ht="54" x14ac:dyDescent="0.25">
      <c r="A144" s="299"/>
      <c r="B144" s="30" t="s">
        <v>45</v>
      </c>
      <c r="C144" s="31" t="s">
        <v>212</v>
      </c>
      <c r="D144" s="32" t="s">
        <v>208</v>
      </c>
      <c r="E144" s="32" t="s">
        <v>70</v>
      </c>
      <c r="F144" s="65" t="s">
        <v>49</v>
      </c>
      <c r="G144" s="33" t="s">
        <v>71</v>
      </c>
      <c r="H144" s="65">
        <v>50</v>
      </c>
      <c r="I144" s="37">
        <v>2</v>
      </c>
      <c r="J144" s="38">
        <v>6</v>
      </c>
      <c r="K144" s="39">
        <v>19</v>
      </c>
      <c r="L144" s="40">
        <v>5</v>
      </c>
      <c r="M144" s="41">
        <v>13</v>
      </c>
      <c r="N144" s="70">
        <f t="shared" si="267"/>
        <v>45</v>
      </c>
      <c r="O144" s="35">
        <v>0</v>
      </c>
      <c r="P144" s="35"/>
      <c r="Q144" s="93"/>
      <c r="R144" s="33" t="s">
        <v>51</v>
      </c>
      <c r="S144" s="36" t="s">
        <v>170</v>
      </c>
      <c r="T144" s="33" t="s">
        <v>73</v>
      </c>
      <c r="U144" s="65">
        <v>50</v>
      </c>
      <c r="V144" s="195">
        <v>2</v>
      </c>
      <c r="W144" s="38">
        <v>6</v>
      </c>
      <c r="X144" s="39">
        <v>19</v>
      </c>
      <c r="Y144" s="40">
        <v>10</v>
      </c>
      <c r="Z144" s="41">
        <v>13</v>
      </c>
      <c r="AA144" s="70">
        <f t="shared" si="259"/>
        <v>50</v>
      </c>
      <c r="AB144" s="35">
        <v>0</v>
      </c>
      <c r="AC144" s="65">
        <v>25</v>
      </c>
      <c r="AD144" s="195">
        <v>2</v>
      </c>
      <c r="AE144" s="38">
        <v>8</v>
      </c>
      <c r="AF144" s="39">
        <v>9</v>
      </c>
      <c r="AG144" s="40">
        <v>2</v>
      </c>
      <c r="AH144" s="41">
        <v>3</v>
      </c>
      <c r="AI144" s="70">
        <f t="shared" si="260"/>
        <v>24</v>
      </c>
      <c r="AJ144" s="35">
        <v>0</v>
      </c>
      <c r="AK144" s="93"/>
      <c r="AL144" s="33"/>
      <c r="AM144" s="94"/>
      <c r="AN144" s="93"/>
      <c r="AO144" s="94"/>
      <c r="AP144" s="33" t="s">
        <v>213</v>
      </c>
      <c r="AQ144" s="65">
        <v>25</v>
      </c>
      <c r="AR144" s="73">
        <v>0</v>
      </c>
      <c r="AS144" s="74">
        <v>0</v>
      </c>
      <c r="AT144" s="75">
        <v>25</v>
      </c>
      <c r="AU144" s="76"/>
      <c r="AV144" s="93"/>
      <c r="AW144" s="33"/>
      <c r="AX144" s="32" t="s">
        <v>214</v>
      </c>
    </row>
    <row r="145" spans="1:286" s="97" customFormat="1" ht="54" x14ac:dyDescent="0.25">
      <c r="A145" s="299"/>
      <c r="B145" s="30" t="s">
        <v>45</v>
      </c>
      <c r="C145" s="31" t="s">
        <v>212</v>
      </c>
      <c r="D145" s="32" t="s">
        <v>208</v>
      </c>
      <c r="E145" s="32" t="s">
        <v>70</v>
      </c>
      <c r="F145" s="51" t="s">
        <v>61</v>
      </c>
      <c r="G145" s="83"/>
      <c r="H145" s="84">
        <f>SUM(H144)</f>
        <v>50</v>
      </c>
      <c r="I145" s="84">
        <f t="shared" ref="I145" si="283">SUM(I144)</f>
        <v>2</v>
      </c>
      <c r="J145" s="84">
        <f t="shared" ref="J145:M145" si="284">SUM(J144)</f>
        <v>6</v>
      </c>
      <c r="K145" s="84">
        <f t="shared" si="284"/>
        <v>19</v>
      </c>
      <c r="L145" s="84">
        <f t="shared" si="284"/>
        <v>5</v>
      </c>
      <c r="M145" s="84">
        <f t="shared" si="284"/>
        <v>13</v>
      </c>
      <c r="N145" s="84">
        <f t="shared" si="267"/>
        <v>45</v>
      </c>
      <c r="O145" s="84">
        <f t="shared" ref="O145:P145" si="285">SUM(O144)</f>
        <v>0</v>
      </c>
      <c r="P145" s="84">
        <f t="shared" si="285"/>
        <v>0</v>
      </c>
      <c r="Q145" s="83"/>
      <c r="R145" s="85"/>
      <c r="S145" s="86"/>
      <c r="T145" s="51"/>
      <c r="U145" s="84">
        <f>SUM(U144)</f>
        <v>50</v>
      </c>
      <c r="V145" s="84">
        <f t="shared" ref="V145" si="286">SUM(V144)</f>
        <v>2</v>
      </c>
      <c r="W145" s="84">
        <f t="shared" ref="W145:AJ145" si="287">SUM(W144)</f>
        <v>6</v>
      </c>
      <c r="X145" s="84">
        <f t="shared" si="287"/>
        <v>19</v>
      </c>
      <c r="Y145" s="84">
        <f t="shared" si="287"/>
        <v>10</v>
      </c>
      <c r="Z145" s="84">
        <f t="shared" si="287"/>
        <v>13</v>
      </c>
      <c r="AA145" s="84">
        <f t="shared" si="259"/>
        <v>50</v>
      </c>
      <c r="AB145" s="84">
        <f t="shared" si="287"/>
        <v>0</v>
      </c>
      <c r="AC145" s="84">
        <f t="shared" si="287"/>
        <v>25</v>
      </c>
      <c r="AD145" s="84"/>
      <c r="AE145" s="84"/>
      <c r="AF145" s="84"/>
      <c r="AG145" s="84"/>
      <c r="AH145" s="84"/>
      <c r="AI145" s="84">
        <f t="shared" si="260"/>
        <v>0</v>
      </c>
      <c r="AJ145" s="84">
        <f t="shared" si="287"/>
        <v>0</v>
      </c>
      <c r="AK145" s="96"/>
      <c r="AL145" s="85"/>
      <c r="AM145" s="96"/>
      <c r="AN145" s="96"/>
      <c r="AO145" s="96"/>
      <c r="AP145" s="51"/>
      <c r="AQ145" s="83">
        <f>SUM(AQ144)</f>
        <v>25</v>
      </c>
      <c r="AR145" s="83">
        <f t="shared" ref="AR145:AT145" si="288">SUM(AR144)</f>
        <v>0</v>
      </c>
      <c r="AS145" s="83">
        <f t="shared" si="288"/>
        <v>0</v>
      </c>
      <c r="AT145" s="83">
        <f t="shared" si="288"/>
        <v>25</v>
      </c>
      <c r="AU145" s="87"/>
      <c r="AV145" s="96"/>
      <c r="AW145" s="51"/>
      <c r="AX145" s="51" t="s">
        <v>214</v>
      </c>
      <c r="AY145" s="95"/>
      <c r="AZ145" s="95"/>
      <c r="BA145" s="95"/>
      <c r="BB145" s="95"/>
      <c r="BC145" s="95"/>
      <c r="BD145" s="95"/>
      <c r="BE145" s="95"/>
      <c r="BF145" s="95"/>
      <c r="BG145" s="95"/>
      <c r="BH145" s="95"/>
      <c r="BI145" s="95"/>
      <c r="BJ145" s="95"/>
      <c r="BK145" s="95"/>
      <c r="BL145" s="95"/>
      <c r="BM145" s="95"/>
      <c r="BN145" s="95"/>
      <c r="BO145" s="95"/>
      <c r="BP145" s="95"/>
      <c r="BQ145" s="95"/>
      <c r="BR145" s="95"/>
      <c r="BS145" s="95"/>
      <c r="BT145" s="95"/>
      <c r="BU145" s="95"/>
      <c r="BV145" s="95"/>
      <c r="BW145" s="95"/>
      <c r="BX145" s="95"/>
      <c r="BY145" s="95"/>
      <c r="BZ145" s="95"/>
      <c r="CA145" s="95"/>
      <c r="CB145" s="95"/>
      <c r="CC145" s="95"/>
      <c r="CD145" s="95"/>
      <c r="CE145" s="95"/>
      <c r="CF145" s="95"/>
      <c r="CG145" s="95"/>
      <c r="CH145" s="95"/>
      <c r="CI145" s="95"/>
      <c r="CJ145" s="95"/>
      <c r="CK145" s="95"/>
      <c r="CL145" s="95"/>
      <c r="CM145" s="95"/>
      <c r="CN145" s="95"/>
      <c r="CO145" s="95"/>
      <c r="CP145" s="95"/>
      <c r="CQ145" s="95"/>
      <c r="CR145" s="95"/>
      <c r="CS145" s="95"/>
      <c r="CT145" s="95"/>
      <c r="CU145" s="95"/>
      <c r="CV145" s="95"/>
      <c r="CW145" s="95"/>
      <c r="CX145" s="95"/>
      <c r="CY145" s="95"/>
      <c r="CZ145" s="95"/>
      <c r="DA145" s="95"/>
      <c r="DB145" s="95"/>
      <c r="DC145" s="95"/>
      <c r="DD145" s="95"/>
      <c r="DE145" s="95"/>
      <c r="DF145" s="95"/>
      <c r="DG145" s="95"/>
      <c r="DH145" s="95"/>
      <c r="DI145" s="95"/>
      <c r="DJ145" s="95"/>
      <c r="DK145" s="95"/>
      <c r="DL145" s="95"/>
      <c r="DM145" s="95"/>
      <c r="DN145" s="95"/>
      <c r="DO145" s="95"/>
      <c r="DP145" s="95"/>
      <c r="DQ145" s="95"/>
      <c r="DR145" s="95"/>
      <c r="DS145" s="95"/>
      <c r="DT145" s="95"/>
      <c r="DU145" s="95"/>
      <c r="DV145" s="95"/>
      <c r="DW145" s="95"/>
      <c r="DX145" s="95"/>
      <c r="DY145" s="95"/>
      <c r="DZ145" s="95"/>
      <c r="EA145" s="95"/>
      <c r="EB145" s="95"/>
      <c r="EC145" s="95"/>
      <c r="ED145" s="95"/>
      <c r="EE145" s="95"/>
      <c r="EF145" s="95"/>
      <c r="EG145" s="95"/>
      <c r="EH145" s="95"/>
      <c r="EI145" s="95"/>
      <c r="EJ145" s="95"/>
      <c r="EK145" s="95"/>
      <c r="EL145" s="95"/>
      <c r="EM145" s="95"/>
      <c r="EN145" s="95"/>
      <c r="EO145" s="95"/>
      <c r="EP145" s="95"/>
      <c r="EQ145" s="95"/>
      <c r="ER145" s="95"/>
      <c r="ES145" s="95"/>
      <c r="ET145" s="95"/>
      <c r="EU145" s="95"/>
      <c r="EV145" s="95"/>
      <c r="EW145" s="95"/>
      <c r="EX145" s="95"/>
      <c r="EY145" s="95"/>
      <c r="EZ145" s="95"/>
      <c r="FA145" s="95"/>
      <c r="FB145" s="95"/>
      <c r="FC145" s="95"/>
      <c r="FD145" s="95"/>
      <c r="FE145" s="95"/>
      <c r="FF145" s="95"/>
      <c r="FG145" s="95"/>
      <c r="FH145" s="95"/>
      <c r="FI145" s="95"/>
      <c r="FJ145" s="95"/>
      <c r="FK145" s="95"/>
      <c r="FL145" s="95"/>
      <c r="FM145" s="95"/>
      <c r="FN145" s="95"/>
      <c r="FO145" s="95"/>
      <c r="FP145" s="95"/>
      <c r="FQ145" s="95"/>
      <c r="FR145" s="95"/>
      <c r="FS145" s="95"/>
      <c r="FT145" s="95"/>
      <c r="FU145" s="95"/>
      <c r="FV145" s="95"/>
      <c r="FW145" s="95"/>
      <c r="FX145" s="95"/>
      <c r="FY145" s="95"/>
      <c r="FZ145" s="95"/>
      <c r="GA145" s="95"/>
      <c r="GB145" s="95"/>
      <c r="GC145" s="95"/>
      <c r="GD145" s="95"/>
      <c r="GE145" s="95"/>
      <c r="GF145" s="95"/>
      <c r="GG145" s="95"/>
      <c r="GH145" s="95"/>
      <c r="GI145" s="95"/>
      <c r="GJ145" s="95"/>
      <c r="GK145" s="95"/>
      <c r="GL145" s="95"/>
      <c r="GM145" s="95"/>
      <c r="GN145" s="95"/>
      <c r="GO145" s="95"/>
      <c r="GP145" s="95"/>
      <c r="GQ145" s="95"/>
      <c r="GR145" s="95"/>
      <c r="GS145" s="95"/>
      <c r="GT145" s="95"/>
      <c r="GU145" s="95"/>
      <c r="GV145" s="95"/>
      <c r="GW145" s="95"/>
      <c r="GX145" s="95"/>
      <c r="GY145" s="95"/>
      <c r="GZ145" s="95"/>
      <c r="HA145" s="95"/>
      <c r="HB145" s="95"/>
      <c r="HC145" s="95"/>
      <c r="HD145" s="95"/>
      <c r="HE145" s="95"/>
      <c r="HF145" s="95"/>
      <c r="HG145" s="95"/>
      <c r="HH145" s="95"/>
      <c r="HI145" s="95"/>
      <c r="HJ145" s="95"/>
      <c r="HK145" s="95"/>
      <c r="HL145" s="95"/>
      <c r="HM145" s="95"/>
      <c r="HN145" s="95"/>
      <c r="HO145" s="95"/>
      <c r="HP145" s="95"/>
      <c r="HQ145" s="95"/>
      <c r="HR145" s="95"/>
      <c r="HS145" s="95"/>
      <c r="HT145" s="95"/>
      <c r="HU145" s="95"/>
      <c r="HV145" s="95"/>
      <c r="HW145" s="95"/>
      <c r="HX145" s="95"/>
      <c r="HY145" s="95"/>
      <c r="HZ145" s="95"/>
      <c r="IA145" s="95"/>
      <c r="IB145" s="95"/>
      <c r="IC145" s="95"/>
      <c r="ID145" s="95"/>
      <c r="IE145" s="95"/>
      <c r="IF145" s="95"/>
      <c r="IG145" s="95"/>
      <c r="IH145" s="95"/>
      <c r="II145" s="95"/>
      <c r="IJ145" s="95"/>
      <c r="IK145" s="95"/>
      <c r="IL145" s="95"/>
      <c r="IM145" s="95"/>
      <c r="IN145" s="95"/>
      <c r="IO145" s="95"/>
      <c r="IP145" s="95"/>
      <c r="IQ145" s="95"/>
      <c r="IR145" s="95"/>
      <c r="IS145" s="95"/>
      <c r="IT145" s="95"/>
      <c r="IU145" s="95"/>
      <c r="IV145" s="95"/>
      <c r="IW145" s="95"/>
      <c r="IX145" s="95"/>
      <c r="IY145" s="95"/>
      <c r="IZ145" s="95"/>
      <c r="JA145" s="95"/>
      <c r="JB145" s="95"/>
      <c r="JC145" s="95"/>
      <c r="JD145" s="95"/>
      <c r="JE145" s="95"/>
      <c r="JF145" s="95"/>
      <c r="JG145" s="95"/>
      <c r="JH145" s="95"/>
      <c r="JI145" s="95"/>
      <c r="JJ145" s="95"/>
      <c r="JK145" s="95"/>
      <c r="JL145" s="95"/>
      <c r="JM145" s="95"/>
      <c r="JN145" s="95"/>
      <c r="JO145" s="95"/>
      <c r="JP145" s="95"/>
      <c r="JQ145" s="95"/>
      <c r="JR145" s="95"/>
      <c r="JS145" s="95"/>
      <c r="JT145" s="95"/>
      <c r="JU145" s="95"/>
      <c r="JV145" s="95"/>
      <c r="JW145" s="95"/>
      <c r="JX145" s="95"/>
      <c r="JY145" s="95"/>
      <c r="JZ145" s="95"/>
    </row>
    <row r="146" spans="1:286" s="95" customFormat="1" ht="56.25" x14ac:dyDescent="0.25">
      <c r="A146" s="299"/>
      <c r="B146" s="30" t="s">
        <v>45</v>
      </c>
      <c r="C146" s="31" t="s">
        <v>215</v>
      </c>
      <c r="D146" s="32" t="s">
        <v>208</v>
      </c>
      <c r="E146" s="32" t="s">
        <v>70</v>
      </c>
      <c r="F146" s="65" t="s">
        <v>49</v>
      </c>
      <c r="G146" s="33" t="s">
        <v>71</v>
      </c>
      <c r="H146" s="65">
        <v>50</v>
      </c>
      <c r="I146" s="37">
        <v>2</v>
      </c>
      <c r="J146" s="38">
        <v>6</v>
      </c>
      <c r="K146" s="39">
        <v>19</v>
      </c>
      <c r="L146" s="40">
        <v>5</v>
      </c>
      <c r="M146" s="41">
        <v>13</v>
      </c>
      <c r="N146" s="70">
        <f t="shared" si="267"/>
        <v>45</v>
      </c>
      <c r="O146" s="35">
        <v>0</v>
      </c>
      <c r="P146" s="35"/>
      <c r="Q146" s="93"/>
      <c r="R146" s="33" t="s">
        <v>51</v>
      </c>
      <c r="S146" s="36" t="s">
        <v>216</v>
      </c>
      <c r="T146" s="33" t="s">
        <v>73</v>
      </c>
      <c r="U146" s="65">
        <v>50</v>
      </c>
      <c r="V146" s="195">
        <v>2</v>
      </c>
      <c r="W146" s="38">
        <v>6</v>
      </c>
      <c r="X146" s="39">
        <v>19</v>
      </c>
      <c r="Y146" s="40">
        <v>10</v>
      </c>
      <c r="Z146" s="41">
        <v>13</v>
      </c>
      <c r="AA146" s="70">
        <f t="shared" si="259"/>
        <v>50</v>
      </c>
      <c r="AB146" s="35">
        <v>0</v>
      </c>
      <c r="AC146" s="65">
        <v>25</v>
      </c>
      <c r="AD146" s="195">
        <v>2</v>
      </c>
      <c r="AE146" s="38">
        <v>8</v>
      </c>
      <c r="AF146" s="39">
        <v>9</v>
      </c>
      <c r="AG146" s="40">
        <v>2</v>
      </c>
      <c r="AH146" s="41">
        <v>3</v>
      </c>
      <c r="AI146" s="70">
        <f t="shared" si="260"/>
        <v>24</v>
      </c>
      <c r="AJ146" s="35">
        <v>0</v>
      </c>
      <c r="AK146" s="93"/>
      <c r="AL146" s="33"/>
      <c r="AM146" s="94"/>
      <c r="AN146" s="93"/>
      <c r="AO146" s="94"/>
      <c r="AP146" s="33" t="s">
        <v>217</v>
      </c>
      <c r="AQ146" s="65">
        <v>25</v>
      </c>
      <c r="AR146" s="73">
        <v>0</v>
      </c>
      <c r="AS146" s="74">
        <v>0</v>
      </c>
      <c r="AT146" s="75">
        <v>25</v>
      </c>
      <c r="AU146" s="76"/>
      <c r="AV146" s="93"/>
      <c r="AW146" s="33"/>
      <c r="AX146" s="32" t="s">
        <v>214</v>
      </c>
    </row>
    <row r="147" spans="1:286" s="97" customFormat="1" ht="54" x14ac:dyDescent="0.25">
      <c r="A147" s="299"/>
      <c r="B147" s="30" t="s">
        <v>45</v>
      </c>
      <c r="C147" s="31" t="s">
        <v>215</v>
      </c>
      <c r="D147" s="32" t="s">
        <v>208</v>
      </c>
      <c r="E147" s="32" t="s">
        <v>70</v>
      </c>
      <c r="F147" s="51" t="s">
        <v>61</v>
      </c>
      <c r="G147" s="83"/>
      <c r="H147" s="84">
        <f>SUM(H146)</f>
        <v>50</v>
      </c>
      <c r="I147" s="84">
        <f t="shared" ref="I147" si="289">SUM(I146)</f>
        <v>2</v>
      </c>
      <c r="J147" s="84">
        <f t="shared" ref="J147:M147" si="290">SUM(J146)</f>
        <v>6</v>
      </c>
      <c r="K147" s="84">
        <f t="shared" si="290"/>
        <v>19</v>
      </c>
      <c r="L147" s="84">
        <f t="shared" si="290"/>
        <v>5</v>
      </c>
      <c r="M147" s="84">
        <f t="shared" si="290"/>
        <v>13</v>
      </c>
      <c r="N147" s="84">
        <f t="shared" si="267"/>
        <v>45</v>
      </c>
      <c r="O147" s="84">
        <f t="shared" ref="O147:P147" si="291">SUM(O146)</f>
        <v>0</v>
      </c>
      <c r="P147" s="84">
        <f t="shared" si="291"/>
        <v>0</v>
      </c>
      <c r="Q147" s="83"/>
      <c r="R147" s="85"/>
      <c r="S147" s="86"/>
      <c r="T147" s="83"/>
      <c r="U147" s="84">
        <f t="shared" ref="U147:AJ147" si="292">SUM(U146)</f>
        <v>50</v>
      </c>
      <c r="V147" s="84">
        <f t="shared" si="292"/>
        <v>2</v>
      </c>
      <c r="W147" s="84">
        <f t="shared" si="292"/>
        <v>6</v>
      </c>
      <c r="X147" s="84">
        <f t="shared" si="292"/>
        <v>19</v>
      </c>
      <c r="Y147" s="84">
        <f t="shared" si="292"/>
        <v>10</v>
      </c>
      <c r="Z147" s="84">
        <f t="shared" si="292"/>
        <v>13</v>
      </c>
      <c r="AA147" s="84">
        <f t="shared" si="259"/>
        <v>50</v>
      </c>
      <c r="AB147" s="84">
        <f t="shared" si="292"/>
        <v>0</v>
      </c>
      <c r="AC147" s="84">
        <f t="shared" si="292"/>
        <v>25</v>
      </c>
      <c r="AD147" s="84"/>
      <c r="AE147" s="84"/>
      <c r="AF147" s="84"/>
      <c r="AG147" s="84"/>
      <c r="AH147" s="84"/>
      <c r="AI147" s="84">
        <f t="shared" si="260"/>
        <v>0</v>
      </c>
      <c r="AJ147" s="84">
        <f t="shared" si="292"/>
        <v>0</v>
      </c>
      <c r="AK147" s="96"/>
      <c r="AL147" s="85"/>
      <c r="AM147" s="96"/>
      <c r="AN147" s="96"/>
      <c r="AO147" s="96"/>
      <c r="AP147" s="51"/>
      <c r="AQ147" s="83">
        <f t="shared" ref="AQ147:AT147" si="293">SUM(AQ146)</f>
        <v>25</v>
      </c>
      <c r="AR147" s="83">
        <f t="shared" si="293"/>
        <v>0</v>
      </c>
      <c r="AS147" s="83">
        <f t="shared" si="293"/>
        <v>0</v>
      </c>
      <c r="AT147" s="83">
        <f t="shared" si="293"/>
        <v>25</v>
      </c>
      <c r="AU147" s="87"/>
      <c r="AV147" s="96"/>
      <c r="AW147" s="51"/>
      <c r="AX147" s="51" t="s">
        <v>214</v>
      </c>
      <c r="AY147" s="95"/>
      <c r="AZ147" s="95"/>
      <c r="BA147" s="95"/>
      <c r="BB147" s="95"/>
      <c r="BC147" s="95"/>
      <c r="BD147" s="95"/>
      <c r="BE147" s="95"/>
      <c r="BF147" s="95"/>
      <c r="BG147" s="95"/>
      <c r="BH147" s="95"/>
      <c r="BI147" s="95"/>
      <c r="BJ147" s="95"/>
      <c r="BK147" s="95"/>
      <c r="BL147" s="95"/>
      <c r="BM147" s="95"/>
      <c r="BN147" s="95"/>
      <c r="BO147" s="95"/>
      <c r="BP147" s="95"/>
      <c r="BQ147" s="95"/>
      <c r="BR147" s="95"/>
      <c r="BS147" s="95"/>
      <c r="BT147" s="95"/>
      <c r="BU147" s="95"/>
      <c r="BV147" s="95"/>
      <c r="BW147" s="95"/>
      <c r="BX147" s="95"/>
      <c r="BY147" s="95"/>
      <c r="BZ147" s="95"/>
      <c r="CA147" s="95"/>
      <c r="CB147" s="95"/>
      <c r="CC147" s="95"/>
      <c r="CD147" s="95"/>
      <c r="CE147" s="95"/>
      <c r="CF147" s="95"/>
      <c r="CG147" s="95"/>
      <c r="CH147" s="95"/>
      <c r="CI147" s="95"/>
      <c r="CJ147" s="95"/>
      <c r="CK147" s="95"/>
      <c r="CL147" s="95"/>
      <c r="CM147" s="95"/>
      <c r="CN147" s="95"/>
      <c r="CO147" s="95"/>
      <c r="CP147" s="95"/>
      <c r="CQ147" s="95"/>
      <c r="CR147" s="95"/>
      <c r="CS147" s="95"/>
      <c r="CT147" s="95"/>
      <c r="CU147" s="95"/>
      <c r="CV147" s="95"/>
      <c r="CW147" s="95"/>
      <c r="CX147" s="95"/>
      <c r="CY147" s="95"/>
      <c r="CZ147" s="95"/>
      <c r="DA147" s="95"/>
      <c r="DB147" s="95"/>
      <c r="DC147" s="95"/>
      <c r="DD147" s="95"/>
      <c r="DE147" s="95"/>
      <c r="DF147" s="95"/>
      <c r="DG147" s="95"/>
      <c r="DH147" s="95"/>
      <c r="DI147" s="95"/>
      <c r="DJ147" s="95"/>
      <c r="DK147" s="95"/>
      <c r="DL147" s="95"/>
      <c r="DM147" s="95"/>
      <c r="DN147" s="95"/>
      <c r="DO147" s="95"/>
      <c r="DP147" s="95"/>
      <c r="DQ147" s="95"/>
      <c r="DR147" s="95"/>
      <c r="DS147" s="95"/>
      <c r="DT147" s="95"/>
      <c r="DU147" s="95"/>
      <c r="DV147" s="95"/>
      <c r="DW147" s="95"/>
      <c r="DX147" s="95"/>
      <c r="DY147" s="95"/>
      <c r="DZ147" s="95"/>
      <c r="EA147" s="95"/>
      <c r="EB147" s="95"/>
      <c r="EC147" s="95"/>
      <c r="ED147" s="95"/>
      <c r="EE147" s="95"/>
      <c r="EF147" s="95"/>
      <c r="EG147" s="95"/>
      <c r="EH147" s="95"/>
      <c r="EI147" s="95"/>
      <c r="EJ147" s="95"/>
      <c r="EK147" s="95"/>
      <c r="EL147" s="95"/>
      <c r="EM147" s="95"/>
      <c r="EN147" s="95"/>
      <c r="EO147" s="95"/>
      <c r="EP147" s="95"/>
      <c r="EQ147" s="95"/>
      <c r="ER147" s="95"/>
      <c r="ES147" s="95"/>
      <c r="ET147" s="95"/>
      <c r="EU147" s="95"/>
      <c r="EV147" s="95"/>
      <c r="EW147" s="95"/>
      <c r="EX147" s="95"/>
      <c r="EY147" s="95"/>
      <c r="EZ147" s="95"/>
      <c r="FA147" s="95"/>
      <c r="FB147" s="95"/>
      <c r="FC147" s="95"/>
      <c r="FD147" s="95"/>
      <c r="FE147" s="95"/>
      <c r="FF147" s="95"/>
      <c r="FG147" s="95"/>
      <c r="FH147" s="95"/>
      <c r="FI147" s="95"/>
      <c r="FJ147" s="95"/>
      <c r="FK147" s="95"/>
      <c r="FL147" s="95"/>
      <c r="FM147" s="95"/>
      <c r="FN147" s="95"/>
      <c r="FO147" s="95"/>
      <c r="FP147" s="95"/>
      <c r="FQ147" s="95"/>
      <c r="FR147" s="95"/>
      <c r="FS147" s="95"/>
      <c r="FT147" s="95"/>
      <c r="FU147" s="95"/>
      <c r="FV147" s="95"/>
      <c r="FW147" s="95"/>
      <c r="FX147" s="95"/>
      <c r="FY147" s="95"/>
      <c r="FZ147" s="95"/>
      <c r="GA147" s="95"/>
      <c r="GB147" s="95"/>
      <c r="GC147" s="95"/>
      <c r="GD147" s="95"/>
      <c r="GE147" s="95"/>
      <c r="GF147" s="95"/>
      <c r="GG147" s="95"/>
      <c r="GH147" s="95"/>
      <c r="GI147" s="95"/>
      <c r="GJ147" s="95"/>
      <c r="GK147" s="95"/>
      <c r="GL147" s="95"/>
      <c r="GM147" s="95"/>
      <c r="GN147" s="95"/>
      <c r="GO147" s="95"/>
      <c r="GP147" s="95"/>
      <c r="GQ147" s="95"/>
      <c r="GR147" s="95"/>
      <c r="GS147" s="95"/>
      <c r="GT147" s="95"/>
      <c r="GU147" s="95"/>
      <c r="GV147" s="95"/>
      <c r="GW147" s="95"/>
      <c r="GX147" s="95"/>
      <c r="GY147" s="95"/>
      <c r="GZ147" s="95"/>
      <c r="HA147" s="95"/>
      <c r="HB147" s="95"/>
      <c r="HC147" s="95"/>
      <c r="HD147" s="95"/>
      <c r="HE147" s="95"/>
      <c r="HF147" s="95"/>
      <c r="HG147" s="95"/>
      <c r="HH147" s="95"/>
      <c r="HI147" s="95"/>
      <c r="HJ147" s="95"/>
      <c r="HK147" s="95"/>
      <c r="HL147" s="95"/>
      <c r="HM147" s="95"/>
      <c r="HN147" s="95"/>
      <c r="HO147" s="95"/>
      <c r="HP147" s="95"/>
      <c r="HQ147" s="95"/>
      <c r="HR147" s="95"/>
      <c r="HS147" s="95"/>
      <c r="HT147" s="95"/>
      <c r="HU147" s="95"/>
      <c r="HV147" s="95"/>
      <c r="HW147" s="95"/>
      <c r="HX147" s="95"/>
      <c r="HY147" s="95"/>
      <c r="HZ147" s="95"/>
      <c r="IA147" s="95"/>
      <c r="IB147" s="95"/>
      <c r="IC147" s="95"/>
      <c r="ID147" s="95"/>
      <c r="IE147" s="95"/>
      <c r="IF147" s="95"/>
      <c r="IG147" s="95"/>
      <c r="IH147" s="95"/>
      <c r="II147" s="95"/>
      <c r="IJ147" s="95"/>
      <c r="IK147" s="95"/>
      <c r="IL147" s="95"/>
      <c r="IM147" s="95"/>
      <c r="IN147" s="95"/>
      <c r="IO147" s="95"/>
      <c r="IP147" s="95"/>
      <c r="IQ147" s="95"/>
      <c r="IR147" s="95"/>
      <c r="IS147" s="95"/>
      <c r="IT147" s="95"/>
      <c r="IU147" s="95"/>
      <c r="IV147" s="95"/>
      <c r="IW147" s="95"/>
      <c r="IX147" s="95"/>
      <c r="IY147" s="95"/>
      <c r="IZ147" s="95"/>
      <c r="JA147" s="95"/>
      <c r="JB147" s="95"/>
      <c r="JC147" s="95"/>
      <c r="JD147" s="95"/>
      <c r="JE147" s="95"/>
      <c r="JF147" s="95"/>
      <c r="JG147" s="95"/>
      <c r="JH147" s="95"/>
      <c r="JI147" s="95"/>
      <c r="JJ147" s="95"/>
      <c r="JK147" s="95"/>
      <c r="JL147" s="95"/>
      <c r="JM147" s="95"/>
      <c r="JN147" s="95"/>
      <c r="JO147" s="95"/>
      <c r="JP147" s="95"/>
      <c r="JQ147" s="95"/>
      <c r="JR147" s="95"/>
      <c r="JS147" s="95"/>
      <c r="JT147" s="95"/>
      <c r="JU147" s="95"/>
      <c r="JV147" s="95"/>
      <c r="JW147" s="95"/>
      <c r="JX147" s="95"/>
      <c r="JY147" s="95"/>
      <c r="JZ147" s="95"/>
    </row>
    <row r="148" spans="1:286" s="95" customFormat="1" ht="54" customHeight="1" x14ac:dyDescent="0.25">
      <c r="A148" s="299"/>
      <c r="B148" s="30" t="s">
        <v>45</v>
      </c>
      <c r="C148" s="31" t="s">
        <v>218</v>
      </c>
      <c r="D148" s="32" t="s">
        <v>208</v>
      </c>
      <c r="E148" s="32" t="s">
        <v>70</v>
      </c>
      <c r="F148" s="217" t="s">
        <v>49</v>
      </c>
      <c r="G148" s="33" t="s">
        <v>50</v>
      </c>
      <c r="H148" s="217">
        <v>20</v>
      </c>
      <c r="I148" s="219">
        <v>0</v>
      </c>
      <c r="J148" s="220">
        <v>5</v>
      </c>
      <c r="K148" s="221">
        <v>5</v>
      </c>
      <c r="L148" s="222">
        <v>2</v>
      </c>
      <c r="M148" s="223">
        <v>4</v>
      </c>
      <c r="N148" s="234">
        <f t="shared" si="267"/>
        <v>16</v>
      </c>
      <c r="O148" s="216">
        <v>0</v>
      </c>
      <c r="P148" s="35"/>
      <c r="Q148" s="217"/>
      <c r="R148" s="33" t="s">
        <v>51</v>
      </c>
      <c r="S148" s="36" t="s">
        <v>219</v>
      </c>
      <c r="T148" s="203" t="s">
        <v>77</v>
      </c>
      <c r="U148" s="217">
        <v>20</v>
      </c>
      <c r="V148" s="195">
        <v>2</v>
      </c>
      <c r="W148" s="38">
        <v>5</v>
      </c>
      <c r="X148" s="39">
        <v>5</v>
      </c>
      <c r="Y148" s="40">
        <v>4</v>
      </c>
      <c r="Z148" s="41">
        <v>4</v>
      </c>
      <c r="AA148" s="234">
        <f t="shared" si="259"/>
        <v>20</v>
      </c>
      <c r="AB148" s="35">
        <v>0</v>
      </c>
      <c r="AC148" s="217">
        <v>5</v>
      </c>
      <c r="AD148" s="195">
        <v>0</v>
      </c>
      <c r="AE148" s="38">
        <v>0</v>
      </c>
      <c r="AF148" s="39">
        <v>3</v>
      </c>
      <c r="AG148" s="40">
        <v>0</v>
      </c>
      <c r="AH148" s="41">
        <v>1</v>
      </c>
      <c r="AI148" s="234">
        <f t="shared" si="260"/>
        <v>4</v>
      </c>
      <c r="AJ148" s="35">
        <v>0</v>
      </c>
      <c r="AK148" s="217"/>
      <c r="AL148" s="217"/>
      <c r="AM148" s="243"/>
      <c r="AN148" s="217"/>
      <c r="AO148" s="72"/>
      <c r="AP148" s="33" t="s">
        <v>220</v>
      </c>
      <c r="AQ148" s="65">
        <v>5</v>
      </c>
      <c r="AR148" s="73">
        <v>0</v>
      </c>
      <c r="AS148" s="74">
        <v>0</v>
      </c>
      <c r="AT148" s="75">
        <v>5</v>
      </c>
      <c r="AU148" s="217"/>
      <c r="AV148" s="217"/>
      <c r="AW148" s="217"/>
      <c r="AX148" s="108" t="s">
        <v>221</v>
      </c>
    </row>
    <row r="149" spans="1:286" s="95" customFormat="1" ht="54.75" x14ac:dyDescent="0.25">
      <c r="A149" s="299"/>
      <c r="B149" s="30" t="s">
        <v>45</v>
      </c>
      <c r="C149" s="31" t="s">
        <v>218</v>
      </c>
      <c r="D149" s="32" t="s">
        <v>208</v>
      </c>
      <c r="E149" s="32" t="s">
        <v>70</v>
      </c>
      <c r="F149" s="217"/>
      <c r="G149" s="33" t="s">
        <v>50</v>
      </c>
      <c r="H149" s="217"/>
      <c r="I149" s="205"/>
      <c r="J149" s="207"/>
      <c r="K149" s="209"/>
      <c r="L149" s="211"/>
      <c r="M149" s="213"/>
      <c r="N149" s="234">
        <f t="shared" si="267"/>
        <v>0</v>
      </c>
      <c r="O149" s="216"/>
      <c r="P149" s="35"/>
      <c r="Q149" s="217"/>
      <c r="R149" s="33" t="s">
        <v>56</v>
      </c>
      <c r="S149" s="36" t="s">
        <v>222</v>
      </c>
      <c r="T149" s="203"/>
      <c r="U149" s="217"/>
      <c r="V149" s="195">
        <v>2</v>
      </c>
      <c r="W149" s="38">
        <v>5</v>
      </c>
      <c r="X149" s="39">
        <v>5</v>
      </c>
      <c r="Y149" s="40">
        <v>4</v>
      </c>
      <c r="Z149" s="41">
        <v>4</v>
      </c>
      <c r="AA149" s="234">
        <f t="shared" si="259"/>
        <v>20</v>
      </c>
      <c r="AB149" s="35">
        <v>0</v>
      </c>
      <c r="AC149" s="217"/>
      <c r="AD149" s="195">
        <v>0</v>
      </c>
      <c r="AE149" s="112">
        <v>0</v>
      </c>
      <c r="AF149" s="113">
        <v>3</v>
      </c>
      <c r="AG149" s="200">
        <v>0</v>
      </c>
      <c r="AH149" s="114">
        <v>1</v>
      </c>
      <c r="AI149" s="234">
        <f t="shared" si="260"/>
        <v>4</v>
      </c>
      <c r="AJ149" s="72">
        <v>0</v>
      </c>
      <c r="AK149" s="217"/>
      <c r="AL149" s="217"/>
      <c r="AM149" s="243"/>
      <c r="AN149" s="217"/>
      <c r="AO149" s="72"/>
      <c r="AP149" s="33" t="s">
        <v>58</v>
      </c>
      <c r="AQ149" s="65">
        <v>5</v>
      </c>
      <c r="AR149" s="73">
        <v>0</v>
      </c>
      <c r="AS149" s="74">
        <v>0</v>
      </c>
      <c r="AT149" s="75">
        <v>5</v>
      </c>
      <c r="AU149" s="217"/>
      <c r="AV149" s="217"/>
      <c r="AW149" s="217"/>
      <c r="AX149" s="108" t="s">
        <v>147</v>
      </c>
    </row>
    <row r="150" spans="1:286" s="97" customFormat="1" ht="54.75" x14ac:dyDescent="0.25">
      <c r="A150" s="300"/>
      <c r="B150" s="30" t="s">
        <v>45</v>
      </c>
      <c r="C150" s="31" t="s">
        <v>218</v>
      </c>
      <c r="D150" s="32" t="s">
        <v>208</v>
      </c>
      <c r="E150" s="32" t="s">
        <v>70</v>
      </c>
      <c r="F150" s="51" t="s">
        <v>61</v>
      </c>
      <c r="G150" s="83"/>
      <c r="H150" s="84">
        <f>SUM(H148)</f>
        <v>20</v>
      </c>
      <c r="I150" s="84">
        <f t="shared" ref="I150" si="294">SUM(I148)</f>
        <v>0</v>
      </c>
      <c r="J150" s="84">
        <f t="shared" ref="J150:M150" si="295">SUM(J148)</f>
        <v>5</v>
      </c>
      <c r="K150" s="84">
        <f t="shared" si="295"/>
        <v>5</v>
      </c>
      <c r="L150" s="84">
        <f t="shared" si="295"/>
        <v>2</v>
      </c>
      <c r="M150" s="84">
        <f t="shared" si="295"/>
        <v>4</v>
      </c>
      <c r="N150" s="84">
        <f t="shared" si="267"/>
        <v>16</v>
      </c>
      <c r="O150" s="84">
        <f t="shared" ref="O150:P150" si="296">SUM(O148)</f>
        <v>0</v>
      </c>
      <c r="P150" s="84">
        <f t="shared" si="296"/>
        <v>0</v>
      </c>
      <c r="Q150" s="83"/>
      <c r="R150" s="85"/>
      <c r="S150" s="86"/>
      <c r="T150" s="83"/>
      <c r="U150" s="84">
        <f t="shared" ref="U150:AJ150" si="297">SUM(U148)</f>
        <v>20</v>
      </c>
      <c r="V150" s="84"/>
      <c r="W150" s="84"/>
      <c r="X150" s="84"/>
      <c r="Y150" s="84"/>
      <c r="Z150" s="84"/>
      <c r="AA150" s="84">
        <f t="shared" si="259"/>
        <v>0</v>
      </c>
      <c r="AB150" s="84">
        <f t="shared" si="297"/>
        <v>0</v>
      </c>
      <c r="AC150" s="84">
        <f t="shared" si="297"/>
        <v>5</v>
      </c>
      <c r="AD150" s="84">
        <f t="shared" si="297"/>
        <v>0</v>
      </c>
      <c r="AE150" s="84">
        <f t="shared" si="297"/>
        <v>0</v>
      </c>
      <c r="AF150" s="84">
        <f t="shared" si="297"/>
        <v>3</v>
      </c>
      <c r="AG150" s="84">
        <f t="shared" si="297"/>
        <v>0</v>
      </c>
      <c r="AH150" s="84">
        <f t="shared" si="297"/>
        <v>1</v>
      </c>
      <c r="AI150" s="84">
        <f t="shared" si="260"/>
        <v>4</v>
      </c>
      <c r="AJ150" s="84">
        <f t="shared" si="297"/>
        <v>0</v>
      </c>
      <c r="AK150" s="96"/>
      <c r="AL150" s="85"/>
      <c r="AM150" s="96"/>
      <c r="AN150" s="96"/>
      <c r="AO150" s="96"/>
      <c r="AP150" s="51"/>
      <c r="AQ150" s="83">
        <f>SUM(AQ148)</f>
        <v>5</v>
      </c>
      <c r="AR150" s="83">
        <f>SUM(AR148)</f>
        <v>0</v>
      </c>
      <c r="AS150" s="83">
        <f t="shared" ref="AS150:AT150" si="298">SUM(AS148)</f>
        <v>0</v>
      </c>
      <c r="AT150" s="83">
        <f t="shared" si="298"/>
        <v>5</v>
      </c>
      <c r="AU150" s="87"/>
      <c r="AV150" s="96"/>
      <c r="AW150" s="51"/>
      <c r="AX150" s="51" t="s">
        <v>223</v>
      </c>
      <c r="AY150" s="95"/>
      <c r="AZ150" s="95"/>
      <c r="BA150" s="95"/>
      <c r="BB150" s="95"/>
      <c r="BC150" s="95"/>
      <c r="BD150" s="95"/>
      <c r="BE150" s="95"/>
      <c r="BF150" s="95"/>
      <c r="BG150" s="95"/>
      <c r="BH150" s="95"/>
      <c r="BI150" s="95"/>
      <c r="BJ150" s="95"/>
      <c r="BK150" s="95"/>
      <c r="BL150" s="95"/>
      <c r="BM150" s="95"/>
      <c r="BN150" s="95"/>
      <c r="BO150" s="95"/>
      <c r="BP150" s="95"/>
      <c r="BQ150" s="95"/>
      <c r="BR150" s="95"/>
      <c r="BS150" s="95"/>
      <c r="BT150" s="95"/>
      <c r="BU150" s="95"/>
      <c r="BV150" s="95"/>
      <c r="BW150" s="95"/>
      <c r="BX150" s="95"/>
      <c r="BY150" s="95"/>
      <c r="BZ150" s="95"/>
      <c r="CA150" s="95"/>
      <c r="CB150" s="95"/>
      <c r="CC150" s="95"/>
      <c r="CD150" s="95"/>
      <c r="CE150" s="95"/>
      <c r="CF150" s="95"/>
      <c r="CG150" s="95"/>
      <c r="CH150" s="95"/>
      <c r="CI150" s="95"/>
      <c r="CJ150" s="95"/>
      <c r="CK150" s="95"/>
      <c r="CL150" s="95"/>
      <c r="CM150" s="95"/>
      <c r="CN150" s="95"/>
      <c r="CO150" s="95"/>
      <c r="CP150" s="95"/>
      <c r="CQ150" s="95"/>
      <c r="CR150" s="95"/>
      <c r="CS150" s="95"/>
      <c r="CT150" s="95"/>
      <c r="CU150" s="95"/>
      <c r="CV150" s="95"/>
      <c r="CW150" s="95"/>
      <c r="CX150" s="95"/>
      <c r="CY150" s="95"/>
      <c r="CZ150" s="95"/>
      <c r="DA150" s="95"/>
      <c r="DB150" s="95"/>
      <c r="DC150" s="95"/>
      <c r="DD150" s="95"/>
      <c r="DE150" s="95"/>
      <c r="DF150" s="95"/>
      <c r="DG150" s="95"/>
      <c r="DH150" s="95"/>
      <c r="DI150" s="95"/>
      <c r="DJ150" s="95"/>
      <c r="DK150" s="95"/>
      <c r="DL150" s="95"/>
      <c r="DM150" s="95"/>
      <c r="DN150" s="95"/>
      <c r="DO150" s="95"/>
      <c r="DP150" s="95"/>
      <c r="DQ150" s="95"/>
      <c r="DR150" s="95"/>
      <c r="DS150" s="95"/>
      <c r="DT150" s="95"/>
      <c r="DU150" s="95"/>
      <c r="DV150" s="95"/>
      <c r="DW150" s="95"/>
      <c r="DX150" s="95"/>
      <c r="DY150" s="95"/>
      <c r="DZ150" s="95"/>
      <c r="EA150" s="95"/>
      <c r="EB150" s="95"/>
      <c r="EC150" s="95"/>
      <c r="ED150" s="95"/>
      <c r="EE150" s="95"/>
      <c r="EF150" s="95"/>
      <c r="EG150" s="95"/>
      <c r="EH150" s="95"/>
      <c r="EI150" s="95"/>
      <c r="EJ150" s="95"/>
      <c r="EK150" s="95"/>
      <c r="EL150" s="95"/>
      <c r="EM150" s="95"/>
      <c r="EN150" s="95"/>
      <c r="EO150" s="95"/>
      <c r="EP150" s="95"/>
      <c r="EQ150" s="95"/>
      <c r="ER150" s="95"/>
      <c r="ES150" s="95"/>
      <c r="ET150" s="95"/>
      <c r="EU150" s="95"/>
      <c r="EV150" s="95"/>
      <c r="EW150" s="95"/>
      <c r="EX150" s="95"/>
      <c r="EY150" s="95"/>
      <c r="EZ150" s="95"/>
      <c r="FA150" s="95"/>
      <c r="FB150" s="95"/>
      <c r="FC150" s="95"/>
      <c r="FD150" s="95"/>
      <c r="FE150" s="95"/>
      <c r="FF150" s="95"/>
      <c r="FG150" s="95"/>
      <c r="FH150" s="95"/>
      <c r="FI150" s="95"/>
      <c r="FJ150" s="95"/>
      <c r="FK150" s="95"/>
      <c r="FL150" s="95"/>
      <c r="FM150" s="95"/>
      <c r="FN150" s="95"/>
      <c r="FO150" s="95"/>
      <c r="FP150" s="95"/>
      <c r="FQ150" s="95"/>
      <c r="FR150" s="95"/>
      <c r="FS150" s="95"/>
      <c r="FT150" s="95"/>
      <c r="FU150" s="95"/>
      <c r="FV150" s="95"/>
      <c r="FW150" s="95"/>
      <c r="FX150" s="95"/>
      <c r="FY150" s="95"/>
      <c r="FZ150" s="95"/>
      <c r="GA150" s="95"/>
      <c r="GB150" s="95"/>
      <c r="GC150" s="95"/>
      <c r="GD150" s="95"/>
      <c r="GE150" s="95"/>
      <c r="GF150" s="95"/>
      <c r="GG150" s="95"/>
      <c r="GH150" s="95"/>
      <c r="GI150" s="95"/>
      <c r="GJ150" s="95"/>
      <c r="GK150" s="95"/>
      <c r="GL150" s="95"/>
      <c r="GM150" s="95"/>
      <c r="GN150" s="95"/>
      <c r="GO150" s="95"/>
      <c r="GP150" s="95"/>
      <c r="GQ150" s="95"/>
      <c r="GR150" s="95"/>
      <c r="GS150" s="95"/>
      <c r="GT150" s="95"/>
      <c r="GU150" s="95"/>
      <c r="GV150" s="95"/>
      <c r="GW150" s="95"/>
      <c r="GX150" s="95"/>
      <c r="GY150" s="95"/>
      <c r="GZ150" s="95"/>
      <c r="HA150" s="95"/>
      <c r="HB150" s="95"/>
      <c r="HC150" s="95"/>
      <c r="HD150" s="95"/>
      <c r="HE150" s="95"/>
      <c r="HF150" s="95"/>
      <c r="HG150" s="95"/>
      <c r="HH150" s="95"/>
      <c r="HI150" s="95"/>
      <c r="HJ150" s="95"/>
      <c r="HK150" s="95"/>
      <c r="HL150" s="95"/>
      <c r="HM150" s="95"/>
      <c r="HN150" s="95"/>
      <c r="HO150" s="95"/>
      <c r="HP150" s="95"/>
      <c r="HQ150" s="95"/>
      <c r="HR150" s="95"/>
      <c r="HS150" s="95"/>
      <c r="HT150" s="95"/>
      <c r="HU150" s="95"/>
      <c r="HV150" s="95"/>
      <c r="HW150" s="95"/>
      <c r="HX150" s="95"/>
      <c r="HY150" s="95"/>
      <c r="HZ150" s="95"/>
      <c r="IA150" s="95"/>
      <c r="IB150" s="95"/>
      <c r="IC150" s="95"/>
      <c r="ID150" s="95"/>
      <c r="IE150" s="95"/>
      <c r="IF150" s="95"/>
      <c r="IG150" s="95"/>
      <c r="IH150" s="95"/>
      <c r="II150" s="95"/>
      <c r="IJ150" s="95"/>
      <c r="IK150" s="95"/>
      <c r="IL150" s="95"/>
      <c r="IM150" s="95"/>
      <c r="IN150" s="95"/>
      <c r="IO150" s="95"/>
      <c r="IP150" s="95"/>
      <c r="IQ150" s="95"/>
      <c r="IR150" s="95"/>
      <c r="IS150" s="95"/>
      <c r="IT150" s="95"/>
      <c r="IU150" s="95"/>
      <c r="IV150" s="95"/>
      <c r="IW150" s="95"/>
      <c r="IX150" s="95"/>
      <c r="IY150" s="95"/>
      <c r="IZ150" s="95"/>
      <c r="JA150" s="95"/>
      <c r="JB150" s="95"/>
      <c r="JC150" s="95"/>
      <c r="JD150" s="95"/>
      <c r="JE150" s="95"/>
      <c r="JF150" s="95"/>
      <c r="JG150" s="95"/>
      <c r="JH150" s="95"/>
      <c r="JI150" s="95"/>
      <c r="JJ150" s="95"/>
      <c r="JK150" s="95"/>
      <c r="JL150" s="95"/>
      <c r="JM150" s="95"/>
      <c r="JN150" s="95"/>
      <c r="JO150" s="95"/>
      <c r="JP150" s="95"/>
      <c r="JQ150" s="95"/>
      <c r="JR150" s="95"/>
      <c r="JS150" s="95"/>
      <c r="JT150" s="95"/>
      <c r="JU150" s="95"/>
      <c r="JV150" s="95"/>
      <c r="JW150" s="95"/>
      <c r="JX150" s="95"/>
      <c r="JY150" s="95"/>
      <c r="JZ150" s="95"/>
    </row>
    <row r="151" spans="1:286" s="9" customFormat="1" ht="36" customHeight="1" x14ac:dyDescent="0.25">
      <c r="A151" s="301"/>
      <c r="B151" s="115" t="s">
        <v>224</v>
      </c>
      <c r="C151" s="116" t="s">
        <v>225</v>
      </c>
      <c r="D151" s="117" t="s">
        <v>47</v>
      </c>
      <c r="E151" s="117" t="s">
        <v>48</v>
      </c>
      <c r="F151" s="249" t="s">
        <v>49</v>
      </c>
      <c r="G151" s="119" t="s">
        <v>178</v>
      </c>
      <c r="H151" s="251">
        <v>60</v>
      </c>
      <c r="I151" s="240">
        <v>0</v>
      </c>
      <c r="J151" s="230">
        <v>0</v>
      </c>
      <c r="K151" s="224">
        <v>8</v>
      </c>
      <c r="L151" s="226">
        <v>2</v>
      </c>
      <c r="M151" s="232">
        <v>0</v>
      </c>
      <c r="N151" s="214">
        <f t="shared" si="267"/>
        <v>10</v>
      </c>
      <c r="O151" s="216">
        <v>50</v>
      </c>
      <c r="P151" s="35"/>
      <c r="Q151" s="251"/>
      <c r="R151" s="119" t="s">
        <v>51</v>
      </c>
      <c r="S151" s="120" t="s">
        <v>226</v>
      </c>
      <c r="T151" s="249" t="s">
        <v>53</v>
      </c>
      <c r="U151" s="121">
        <v>100</v>
      </c>
      <c r="V151" s="238">
        <v>0</v>
      </c>
      <c r="W151" s="230">
        <v>0</v>
      </c>
      <c r="X151" s="224">
        <v>8</v>
      </c>
      <c r="Y151" s="226">
        <v>2</v>
      </c>
      <c r="Z151" s="232">
        <v>0</v>
      </c>
      <c r="AA151" s="293">
        <f>SUM(V151:Z153)</f>
        <v>10</v>
      </c>
      <c r="AB151" s="35">
        <v>90</v>
      </c>
      <c r="AC151" s="121">
        <v>70</v>
      </c>
      <c r="AD151" s="196">
        <v>0</v>
      </c>
      <c r="AE151" s="67">
        <v>0</v>
      </c>
      <c r="AF151" s="68">
        <v>8</v>
      </c>
      <c r="AG151" s="69">
        <v>0</v>
      </c>
      <c r="AH151" s="62">
        <v>0</v>
      </c>
      <c r="AI151" s="34">
        <f t="shared" si="260"/>
        <v>8</v>
      </c>
      <c r="AJ151" s="35">
        <v>60</v>
      </c>
      <c r="AK151" s="251"/>
      <c r="AL151" s="251"/>
      <c r="AM151" s="218"/>
      <c r="AN151" s="251"/>
      <c r="AO151" s="35"/>
      <c r="AP151" s="119" t="s">
        <v>54</v>
      </c>
      <c r="AQ151" s="121">
        <v>70</v>
      </c>
      <c r="AR151" s="122">
        <v>0</v>
      </c>
      <c r="AS151" s="123">
        <v>70</v>
      </c>
      <c r="AT151" s="124">
        <v>0</v>
      </c>
      <c r="AU151" s="251"/>
      <c r="AV151" s="251"/>
      <c r="AW151" s="119"/>
      <c r="AX151" s="117" t="s">
        <v>55</v>
      </c>
    </row>
    <row r="152" spans="1:286" s="9" customFormat="1" ht="36" x14ac:dyDescent="0.25">
      <c r="A152" s="302"/>
      <c r="B152" s="115" t="s">
        <v>224</v>
      </c>
      <c r="C152" s="115" t="s">
        <v>225</v>
      </c>
      <c r="D152" s="117" t="s">
        <v>47</v>
      </c>
      <c r="E152" s="117" t="s">
        <v>48</v>
      </c>
      <c r="F152" s="250"/>
      <c r="G152" s="119" t="s">
        <v>178</v>
      </c>
      <c r="H152" s="251"/>
      <c r="I152" s="252"/>
      <c r="J152" s="253"/>
      <c r="K152" s="254"/>
      <c r="L152" s="255"/>
      <c r="M152" s="258"/>
      <c r="N152" s="214">
        <f t="shared" si="267"/>
        <v>0</v>
      </c>
      <c r="O152" s="216"/>
      <c r="P152" s="35"/>
      <c r="Q152" s="251"/>
      <c r="R152" s="119" t="s">
        <v>56</v>
      </c>
      <c r="S152" s="120" t="s">
        <v>57</v>
      </c>
      <c r="T152" s="250"/>
      <c r="U152" s="256">
        <v>60</v>
      </c>
      <c r="V152" s="257"/>
      <c r="W152" s="253"/>
      <c r="X152" s="254"/>
      <c r="Y152" s="255"/>
      <c r="Z152" s="258"/>
      <c r="AA152" s="294"/>
      <c r="AB152" s="216">
        <v>50</v>
      </c>
      <c r="AC152" s="256">
        <v>5</v>
      </c>
      <c r="AD152" s="238">
        <v>0</v>
      </c>
      <c r="AE152" s="230">
        <v>0</v>
      </c>
      <c r="AF152" s="224">
        <v>0</v>
      </c>
      <c r="AG152" s="226">
        <v>0</v>
      </c>
      <c r="AH152" s="232">
        <v>0</v>
      </c>
      <c r="AI152" s="214">
        <f t="shared" si="260"/>
        <v>0</v>
      </c>
      <c r="AJ152" s="216">
        <v>5</v>
      </c>
      <c r="AK152" s="251"/>
      <c r="AL152" s="251"/>
      <c r="AM152" s="218"/>
      <c r="AN152" s="251"/>
      <c r="AO152" s="216"/>
      <c r="AP152" s="119" t="s">
        <v>58</v>
      </c>
      <c r="AQ152" s="121">
        <v>5</v>
      </c>
      <c r="AR152" s="122">
        <v>0</v>
      </c>
      <c r="AS152" s="123">
        <v>5</v>
      </c>
      <c r="AT152" s="124">
        <v>0</v>
      </c>
      <c r="AU152" s="251"/>
      <c r="AV152" s="251"/>
      <c r="AW152" s="119"/>
      <c r="AX152" s="117" t="s">
        <v>59</v>
      </c>
    </row>
    <row r="153" spans="1:286" s="9" customFormat="1" ht="36" x14ac:dyDescent="0.25">
      <c r="A153" s="302"/>
      <c r="B153" s="115" t="s">
        <v>224</v>
      </c>
      <c r="C153" s="115" t="s">
        <v>225</v>
      </c>
      <c r="D153" s="117" t="s">
        <v>47</v>
      </c>
      <c r="E153" s="117" t="s">
        <v>48</v>
      </c>
      <c r="F153" s="250"/>
      <c r="G153" s="119" t="s">
        <v>178</v>
      </c>
      <c r="H153" s="251"/>
      <c r="I153" s="241"/>
      <c r="J153" s="231"/>
      <c r="K153" s="225"/>
      <c r="L153" s="227"/>
      <c r="M153" s="233"/>
      <c r="N153" s="214">
        <f t="shared" si="267"/>
        <v>0</v>
      </c>
      <c r="O153" s="216"/>
      <c r="P153" s="35"/>
      <c r="Q153" s="251"/>
      <c r="R153" s="119" t="s">
        <v>56</v>
      </c>
      <c r="S153" s="120" t="s">
        <v>57</v>
      </c>
      <c r="T153" s="250"/>
      <c r="U153" s="256"/>
      <c r="V153" s="239"/>
      <c r="W153" s="231"/>
      <c r="X153" s="225"/>
      <c r="Y153" s="227"/>
      <c r="Z153" s="233"/>
      <c r="AA153" s="295"/>
      <c r="AB153" s="216">
        <f>U153/4*3</f>
        <v>0</v>
      </c>
      <c r="AC153" s="256"/>
      <c r="AD153" s="239"/>
      <c r="AE153" s="231"/>
      <c r="AF153" s="225"/>
      <c r="AG153" s="227"/>
      <c r="AH153" s="233"/>
      <c r="AI153" s="214">
        <f t="shared" si="260"/>
        <v>0</v>
      </c>
      <c r="AJ153" s="216">
        <f>AC153/4*3</f>
        <v>0</v>
      </c>
      <c r="AK153" s="251"/>
      <c r="AL153" s="251"/>
      <c r="AM153" s="218"/>
      <c r="AN153" s="251"/>
      <c r="AO153" s="216"/>
      <c r="AP153" s="119" t="s">
        <v>127</v>
      </c>
      <c r="AQ153" s="121">
        <v>1</v>
      </c>
      <c r="AR153" s="122">
        <v>0</v>
      </c>
      <c r="AS153" s="123">
        <v>1</v>
      </c>
      <c r="AT153" s="124">
        <v>0</v>
      </c>
      <c r="AU153" s="251"/>
      <c r="AV153" s="251"/>
      <c r="AW153" s="119"/>
      <c r="AX153" s="117" t="s">
        <v>59</v>
      </c>
    </row>
    <row r="154" spans="1:286" s="9" customFormat="1" ht="36" customHeight="1" x14ac:dyDescent="0.25">
      <c r="A154" s="302"/>
      <c r="B154" s="115" t="s">
        <v>224</v>
      </c>
      <c r="C154" s="115" t="s">
        <v>225</v>
      </c>
      <c r="D154" s="117" t="s">
        <v>47</v>
      </c>
      <c r="E154" s="117" t="s">
        <v>48</v>
      </c>
      <c r="F154" s="250"/>
      <c r="G154" s="119" t="s">
        <v>227</v>
      </c>
      <c r="H154" s="251">
        <v>100</v>
      </c>
      <c r="I154" s="240">
        <v>0</v>
      </c>
      <c r="J154" s="230">
        <v>1</v>
      </c>
      <c r="K154" s="224">
        <v>6</v>
      </c>
      <c r="L154" s="226">
        <v>2</v>
      </c>
      <c r="M154" s="232">
        <v>0</v>
      </c>
      <c r="N154" s="214">
        <f t="shared" si="267"/>
        <v>9</v>
      </c>
      <c r="O154" s="216">
        <v>90</v>
      </c>
      <c r="P154" s="35"/>
      <c r="Q154" s="251"/>
      <c r="R154" s="119" t="s">
        <v>51</v>
      </c>
      <c r="S154" s="120" t="s">
        <v>226</v>
      </c>
      <c r="T154" s="250"/>
      <c r="U154" s="121">
        <v>155</v>
      </c>
      <c r="V154" s="238">
        <v>1</v>
      </c>
      <c r="W154" s="230">
        <v>1</v>
      </c>
      <c r="X154" s="224">
        <v>6</v>
      </c>
      <c r="Y154" s="226">
        <v>2</v>
      </c>
      <c r="Z154" s="232">
        <v>0</v>
      </c>
      <c r="AA154" s="293">
        <f t="shared" ref="AA154" si="299">SUM(V154:Z156)</f>
        <v>12</v>
      </c>
      <c r="AB154" s="35">
        <v>145</v>
      </c>
      <c r="AC154" s="121">
        <v>60</v>
      </c>
      <c r="AD154" s="197">
        <v>0</v>
      </c>
      <c r="AE154" s="90">
        <v>0</v>
      </c>
      <c r="AF154" s="91">
        <v>0</v>
      </c>
      <c r="AG154" s="92">
        <v>0</v>
      </c>
      <c r="AH154" s="81">
        <v>0</v>
      </c>
      <c r="AI154" s="34">
        <f t="shared" si="260"/>
        <v>0</v>
      </c>
      <c r="AJ154" s="35">
        <v>60</v>
      </c>
      <c r="AK154" s="251"/>
      <c r="AL154" s="251"/>
      <c r="AM154" s="218"/>
      <c r="AN154" s="251"/>
      <c r="AO154" s="35"/>
      <c r="AP154" s="119" t="s">
        <v>54</v>
      </c>
      <c r="AQ154" s="121">
        <v>60</v>
      </c>
      <c r="AR154" s="122">
        <v>0</v>
      </c>
      <c r="AS154" s="123">
        <v>100</v>
      </c>
      <c r="AT154" s="124">
        <v>0</v>
      </c>
      <c r="AU154" s="251"/>
      <c r="AV154" s="251"/>
      <c r="AW154" s="119"/>
      <c r="AX154" s="117" t="s">
        <v>55</v>
      </c>
    </row>
    <row r="155" spans="1:286" s="9" customFormat="1" ht="36" x14ac:dyDescent="0.25">
      <c r="A155" s="302"/>
      <c r="B155" s="115" t="s">
        <v>224</v>
      </c>
      <c r="C155" s="115" t="s">
        <v>225</v>
      </c>
      <c r="D155" s="117" t="s">
        <v>47</v>
      </c>
      <c r="E155" s="117" t="s">
        <v>48</v>
      </c>
      <c r="F155" s="250"/>
      <c r="G155" s="119" t="s">
        <v>227</v>
      </c>
      <c r="H155" s="251"/>
      <c r="I155" s="252"/>
      <c r="J155" s="253"/>
      <c r="K155" s="254"/>
      <c r="L155" s="255"/>
      <c r="M155" s="258"/>
      <c r="N155" s="214">
        <f t="shared" si="267"/>
        <v>0</v>
      </c>
      <c r="O155" s="216"/>
      <c r="P155" s="35"/>
      <c r="Q155" s="251"/>
      <c r="R155" s="119" t="s">
        <v>56</v>
      </c>
      <c r="S155" s="120" t="s">
        <v>57</v>
      </c>
      <c r="T155" s="250"/>
      <c r="U155" s="256">
        <v>105</v>
      </c>
      <c r="V155" s="257">
        <v>1</v>
      </c>
      <c r="W155" s="253">
        <v>1</v>
      </c>
      <c r="X155" s="254"/>
      <c r="Y155" s="255">
        <v>0</v>
      </c>
      <c r="Z155" s="258">
        <v>0</v>
      </c>
      <c r="AA155" s="294"/>
      <c r="AB155" s="216">
        <v>95</v>
      </c>
      <c r="AC155" s="256">
        <v>5</v>
      </c>
      <c r="AD155" s="238">
        <v>0</v>
      </c>
      <c r="AE155" s="230">
        <v>0</v>
      </c>
      <c r="AF155" s="224">
        <v>0</v>
      </c>
      <c r="AG155" s="226">
        <v>0</v>
      </c>
      <c r="AH155" s="232">
        <v>0</v>
      </c>
      <c r="AI155" s="214">
        <f t="shared" si="260"/>
        <v>0</v>
      </c>
      <c r="AJ155" s="216">
        <v>5</v>
      </c>
      <c r="AK155" s="251"/>
      <c r="AL155" s="251"/>
      <c r="AM155" s="218"/>
      <c r="AN155" s="251"/>
      <c r="AO155" s="216"/>
      <c r="AP155" s="119" t="s">
        <v>58</v>
      </c>
      <c r="AQ155" s="121">
        <v>5</v>
      </c>
      <c r="AR155" s="122">
        <v>0</v>
      </c>
      <c r="AS155" s="123">
        <v>5</v>
      </c>
      <c r="AT155" s="124">
        <v>0</v>
      </c>
      <c r="AU155" s="251"/>
      <c r="AV155" s="251"/>
      <c r="AW155" s="119"/>
      <c r="AX155" s="117" t="s">
        <v>59</v>
      </c>
    </row>
    <row r="156" spans="1:286" s="9" customFormat="1" ht="36" x14ac:dyDescent="0.25">
      <c r="A156" s="302"/>
      <c r="B156" s="115" t="s">
        <v>224</v>
      </c>
      <c r="C156" s="115" t="s">
        <v>225</v>
      </c>
      <c r="D156" s="117" t="s">
        <v>47</v>
      </c>
      <c r="E156" s="117" t="s">
        <v>48</v>
      </c>
      <c r="F156" s="250"/>
      <c r="G156" s="119" t="s">
        <v>227</v>
      </c>
      <c r="H156" s="251"/>
      <c r="I156" s="241"/>
      <c r="J156" s="231"/>
      <c r="K156" s="225"/>
      <c r="L156" s="227"/>
      <c r="M156" s="233"/>
      <c r="N156" s="214">
        <f t="shared" si="267"/>
        <v>0</v>
      </c>
      <c r="O156" s="216"/>
      <c r="P156" s="35"/>
      <c r="Q156" s="251"/>
      <c r="R156" s="119" t="s">
        <v>56</v>
      </c>
      <c r="S156" s="120" t="s">
        <v>57</v>
      </c>
      <c r="T156" s="250"/>
      <c r="U156" s="256"/>
      <c r="V156" s="239"/>
      <c r="W156" s="231"/>
      <c r="X156" s="225"/>
      <c r="Y156" s="227"/>
      <c r="Z156" s="233"/>
      <c r="AA156" s="295"/>
      <c r="AB156" s="216">
        <f>U156/4*3</f>
        <v>0</v>
      </c>
      <c r="AC156" s="256"/>
      <c r="AD156" s="239"/>
      <c r="AE156" s="231"/>
      <c r="AF156" s="225"/>
      <c r="AG156" s="227"/>
      <c r="AH156" s="233"/>
      <c r="AI156" s="214">
        <f t="shared" si="260"/>
        <v>0</v>
      </c>
      <c r="AJ156" s="216">
        <f>AC156/4*3</f>
        <v>0</v>
      </c>
      <c r="AK156" s="251"/>
      <c r="AL156" s="251"/>
      <c r="AM156" s="218"/>
      <c r="AN156" s="251"/>
      <c r="AO156" s="216"/>
      <c r="AP156" s="119" t="s">
        <v>127</v>
      </c>
      <c r="AQ156" s="121">
        <v>1</v>
      </c>
      <c r="AR156" s="122">
        <v>0</v>
      </c>
      <c r="AS156" s="123">
        <v>1</v>
      </c>
      <c r="AT156" s="124">
        <v>0</v>
      </c>
      <c r="AU156" s="251"/>
      <c r="AV156" s="251"/>
      <c r="AW156" s="119"/>
      <c r="AX156" s="117" t="s">
        <v>59</v>
      </c>
    </row>
    <row r="157" spans="1:286" s="9" customFormat="1" ht="36" customHeight="1" x14ac:dyDescent="0.25">
      <c r="A157" s="302"/>
      <c r="B157" s="115" t="s">
        <v>224</v>
      </c>
      <c r="C157" s="115" t="s">
        <v>225</v>
      </c>
      <c r="D157" s="117" t="s">
        <v>47</v>
      </c>
      <c r="E157" s="117" t="s">
        <v>48</v>
      </c>
      <c r="F157" s="250"/>
      <c r="G157" s="119" t="s">
        <v>228</v>
      </c>
      <c r="H157" s="251">
        <v>5</v>
      </c>
      <c r="I157" s="240">
        <v>0</v>
      </c>
      <c r="J157" s="230">
        <v>0</v>
      </c>
      <c r="K157" s="224">
        <v>0</v>
      </c>
      <c r="L157" s="226">
        <v>0</v>
      </c>
      <c r="M157" s="232">
        <v>0</v>
      </c>
      <c r="N157" s="214">
        <f t="shared" si="267"/>
        <v>0</v>
      </c>
      <c r="O157" s="216">
        <v>5</v>
      </c>
      <c r="P157" s="35"/>
      <c r="Q157" s="251"/>
      <c r="R157" s="119" t="s">
        <v>51</v>
      </c>
      <c r="S157" s="120" t="s">
        <v>226</v>
      </c>
      <c r="T157" s="250"/>
      <c r="U157" s="121">
        <v>20</v>
      </c>
      <c r="V157" s="238">
        <v>0</v>
      </c>
      <c r="W157" s="230">
        <v>0</v>
      </c>
      <c r="X157" s="224">
        <v>0</v>
      </c>
      <c r="Y157" s="226">
        <v>0</v>
      </c>
      <c r="Z157" s="232">
        <v>0</v>
      </c>
      <c r="AA157" s="293">
        <f t="shared" ref="AA157" si="300">SUM(V157:Z159)</f>
        <v>0</v>
      </c>
      <c r="AB157" s="35">
        <v>20</v>
      </c>
      <c r="AC157" s="121">
        <v>5</v>
      </c>
      <c r="AD157" s="197">
        <v>0</v>
      </c>
      <c r="AE157" s="90">
        <v>0</v>
      </c>
      <c r="AF157" s="91">
        <v>0</v>
      </c>
      <c r="AG157" s="92">
        <v>0</v>
      </c>
      <c r="AH157" s="81">
        <v>0</v>
      </c>
      <c r="AI157" s="34">
        <f t="shared" si="260"/>
        <v>0</v>
      </c>
      <c r="AJ157" s="35">
        <v>5</v>
      </c>
      <c r="AK157" s="251"/>
      <c r="AL157" s="251"/>
      <c r="AM157" s="218"/>
      <c r="AN157" s="251"/>
      <c r="AO157" s="35"/>
      <c r="AP157" s="119" t="s">
        <v>54</v>
      </c>
      <c r="AQ157" s="121">
        <v>5</v>
      </c>
      <c r="AR157" s="122">
        <v>0</v>
      </c>
      <c r="AS157" s="123">
        <v>5</v>
      </c>
      <c r="AT157" s="124">
        <v>0</v>
      </c>
      <c r="AU157" s="251"/>
      <c r="AV157" s="251"/>
      <c r="AW157" s="119"/>
      <c r="AX157" s="117" t="s">
        <v>55</v>
      </c>
    </row>
    <row r="158" spans="1:286" s="9" customFormat="1" ht="36" x14ac:dyDescent="0.25">
      <c r="A158" s="302"/>
      <c r="B158" s="115" t="s">
        <v>224</v>
      </c>
      <c r="C158" s="115" t="s">
        <v>225</v>
      </c>
      <c r="D158" s="117" t="s">
        <v>47</v>
      </c>
      <c r="E158" s="117" t="s">
        <v>48</v>
      </c>
      <c r="F158" s="250"/>
      <c r="G158" s="119" t="s">
        <v>228</v>
      </c>
      <c r="H158" s="251"/>
      <c r="I158" s="252"/>
      <c r="J158" s="253"/>
      <c r="K158" s="254"/>
      <c r="L158" s="255"/>
      <c r="M158" s="258"/>
      <c r="N158" s="214">
        <f t="shared" si="267"/>
        <v>0</v>
      </c>
      <c r="O158" s="216"/>
      <c r="P158" s="35"/>
      <c r="Q158" s="251"/>
      <c r="R158" s="119" t="s">
        <v>56</v>
      </c>
      <c r="S158" s="120" t="s">
        <v>57</v>
      </c>
      <c r="T158" s="250"/>
      <c r="U158" s="256">
        <v>5</v>
      </c>
      <c r="V158" s="257">
        <v>0</v>
      </c>
      <c r="W158" s="253">
        <v>0</v>
      </c>
      <c r="X158" s="254"/>
      <c r="Y158" s="255">
        <v>0</v>
      </c>
      <c r="Z158" s="258">
        <v>0</v>
      </c>
      <c r="AA158" s="294"/>
      <c r="AB158" s="216">
        <v>5</v>
      </c>
      <c r="AC158" s="256">
        <v>5</v>
      </c>
      <c r="AD158" s="238">
        <v>0</v>
      </c>
      <c r="AE158" s="230">
        <v>0</v>
      </c>
      <c r="AF158" s="224">
        <v>0</v>
      </c>
      <c r="AG158" s="226">
        <v>0</v>
      </c>
      <c r="AH158" s="232">
        <v>0</v>
      </c>
      <c r="AI158" s="214">
        <f t="shared" si="260"/>
        <v>0</v>
      </c>
      <c r="AJ158" s="216">
        <v>5</v>
      </c>
      <c r="AK158" s="251"/>
      <c r="AL158" s="251"/>
      <c r="AM158" s="218"/>
      <c r="AN158" s="251"/>
      <c r="AO158" s="216"/>
      <c r="AP158" s="119" t="s">
        <v>58</v>
      </c>
      <c r="AQ158" s="121">
        <v>5</v>
      </c>
      <c r="AR158" s="122">
        <v>0</v>
      </c>
      <c r="AS158" s="123">
        <v>5</v>
      </c>
      <c r="AT158" s="124">
        <v>0</v>
      </c>
      <c r="AU158" s="251"/>
      <c r="AV158" s="251"/>
      <c r="AW158" s="119"/>
      <c r="AX158" s="117" t="s">
        <v>59</v>
      </c>
    </row>
    <row r="159" spans="1:286" s="9" customFormat="1" ht="36" x14ac:dyDescent="0.25">
      <c r="A159" s="302"/>
      <c r="B159" s="115" t="s">
        <v>224</v>
      </c>
      <c r="C159" s="115" t="s">
        <v>225</v>
      </c>
      <c r="D159" s="117" t="s">
        <v>47</v>
      </c>
      <c r="E159" s="117" t="s">
        <v>48</v>
      </c>
      <c r="F159" s="250"/>
      <c r="G159" s="119" t="s">
        <v>228</v>
      </c>
      <c r="H159" s="251"/>
      <c r="I159" s="241"/>
      <c r="J159" s="231"/>
      <c r="K159" s="225"/>
      <c r="L159" s="227"/>
      <c r="M159" s="233"/>
      <c r="N159" s="214">
        <f t="shared" si="267"/>
        <v>0</v>
      </c>
      <c r="O159" s="216"/>
      <c r="P159" s="35"/>
      <c r="Q159" s="251"/>
      <c r="R159" s="119" t="s">
        <v>56</v>
      </c>
      <c r="S159" s="120" t="s">
        <v>57</v>
      </c>
      <c r="T159" s="250"/>
      <c r="U159" s="256"/>
      <c r="V159" s="239"/>
      <c r="W159" s="231"/>
      <c r="X159" s="225"/>
      <c r="Y159" s="227"/>
      <c r="Z159" s="233"/>
      <c r="AA159" s="295"/>
      <c r="AB159" s="216">
        <f>U159/4*3</f>
        <v>0</v>
      </c>
      <c r="AC159" s="256"/>
      <c r="AD159" s="239"/>
      <c r="AE159" s="231"/>
      <c r="AF159" s="225"/>
      <c r="AG159" s="227"/>
      <c r="AH159" s="233"/>
      <c r="AI159" s="214">
        <f t="shared" si="260"/>
        <v>0</v>
      </c>
      <c r="AJ159" s="216">
        <f>AC159/4*3</f>
        <v>0</v>
      </c>
      <c r="AK159" s="251"/>
      <c r="AL159" s="251"/>
      <c r="AM159" s="218"/>
      <c r="AN159" s="251"/>
      <c r="AO159" s="216"/>
      <c r="AP159" s="119" t="s">
        <v>127</v>
      </c>
      <c r="AQ159" s="121">
        <v>1</v>
      </c>
      <c r="AR159" s="122">
        <v>0</v>
      </c>
      <c r="AS159" s="123">
        <v>1</v>
      </c>
      <c r="AT159" s="124">
        <v>0</v>
      </c>
      <c r="AU159" s="251"/>
      <c r="AV159" s="251"/>
      <c r="AW159" s="119"/>
      <c r="AX159" s="117" t="s">
        <v>59</v>
      </c>
    </row>
    <row r="160" spans="1:286" s="9" customFormat="1" ht="36" customHeight="1" x14ac:dyDescent="0.25">
      <c r="A160" s="302"/>
      <c r="B160" s="115" t="s">
        <v>224</v>
      </c>
      <c r="C160" s="115" t="s">
        <v>225</v>
      </c>
      <c r="D160" s="117" t="s">
        <v>47</v>
      </c>
      <c r="E160" s="117" t="s">
        <v>48</v>
      </c>
      <c r="F160" s="250"/>
      <c r="G160" s="119" t="s">
        <v>229</v>
      </c>
      <c r="H160" s="251">
        <v>10</v>
      </c>
      <c r="I160" s="240">
        <v>0</v>
      </c>
      <c r="J160" s="230">
        <v>1</v>
      </c>
      <c r="K160" s="224">
        <v>5</v>
      </c>
      <c r="L160" s="226">
        <v>1</v>
      </c>
      <c r="M160" s="232">
        <v>2</v>
      </c>
      <c r="N160" s="214">
        <f t="shared" si="267"/>
        <v>9</v>
      </c>
      <c r="O160" s="216">
        <v>5</v>
      </c>
      <c r="P160" s="35"/>
      <c r="Q160" s="251"/>
      <c r="R160" s="119" t="s">
        <v>51</v>
      </c>
      <c r="S160" s="120" t="s">
        <v>226</v>
      </c>
      <c r="T160" s="250"/>
      <c r="U160" s="121">
        <v>15</v>
      </c>
      <c r="V160" s="238">
        <v>1</v>
      </c>
      <c r="W160" s="230">
        <v>1</v>
      </c>
      <c r="X160" s="224">
        <v>5</v>
      </c>
      <c r="Y160" s="226">
        <v>1</v>
      </c>
      <c r="Z160" s="232">
        <v>2</v>
      </c>
      <c r="AA160" s="293">
        <f t="shared" ref="AA160" si="301">SUM(V160:Z162)</f>
        <v>14</v>
      </c>
      <c r="AB160" s="35">
        <v>15</v>
      </c>
      <c r="AC160" s="121">
        <v>5</v>
      </c>
      <c r="AD160" s="197">
        <v>0</v>
      </c>
      <c r="AE160" s="90">
        <v>1</v>
      </c>
      <c r="AF160" s="91">
        <v>5</v>
      </c>
      <c r="AG160" s="92">
        <v>0</v>
      </c>
      <c r="AH160" s="81">
        <v>2</v>
      </c>
      <c r="AI160" s="34">
        <f t="shared" si="260"/>
        <v>8</v>
      </c>
      <c r="AJ160" s="35">
        <v>0</v>
      </c>
      <c r="AK160" s="251"/>
      <c r="AL160" s="251"/>
      <c r="AM160" s="218"/>
      <c r="AN160" s="251"/>
      <c r="AO160" s="35"/>
      <c r="AP160" s="119" t="s">
        <v>54</v>
      </c>
      <c r="AQ160" s="121">
        <v>5</v>
      </c>
      <c r="AR160" s="122">
        <v>0</v>
      </c>
      <c r="AS160" s="123">
        <v>5</v>
      </c>
      <c r="AT160" s="124">
        <v>0</v>
      </c>
      <c r="AU160" s="251"/>
      <c r="AV160" s="251"/>
      <c r="AW160" s="119"/>
      <c r="AX160" s="117" t="s">
        <v>55</v>
      </c>
    </row>
    <row r="161" spans="1:50" s="9" customFormat="1" ht="36" x14ac:dyDescent="0.25">
      <c r="A161" s="302"/>
      <c r="B161" s="115" t="s">
        <v>224</v>
      </c>
      <c r="C161" s="115" t="s">
        <v>225</v>
      </c>
      <c r="D161" s="117" t="s">
        <v>47</v>
      </c>
      <c r="E161" s="117" t="s">
        <v>48</v>
      </c>
      <c r="F161" s="250"/>
      <c r="G161" s="119" t="s">
        <v>229</v>
      </c>
      <c r="H161" s="251"/>
      <c r="I161" s="252"/>
      <c r="J161" s="253"/>
      <c r="K161" s="254"/>
      <c r="L161" s="255"/>
      <c r="M161" s="258"/>
      <c r="N161" s="214">
        <f t="shared" si="267"/>
        <v>0</v>
      </c>
      <c r="O161" s="216"/>
      <c r="P161" s="35"/>
      <c r="Q161" s="251"/>
      <c r="R161" s="119" t="s">
        <v>56</v>
      </c>
      <c r="S161" s="120" t="s">
        <v>57</v>
      </c>
      <c r="T161" s="250"/>
      <c r="U161" s="256">
        <v>5</v>
      </c>
      <c r="V161" s="257">
        <v>1</v>
      </c>
      <c r="W161" s="253">
        <v>1</v>
      </c>
      <c r="X161" s="254"/>
      <c r="Y161" s="255">
        <v>0</v>
      </c>
      <c r="Z161" s="258">
        <v>2</v>
      </c>
      <c r="AA161" s="294"/>
      <c r="AB161" s="216">
        <v>0</v>
      </c>
      <c r="AC161" s="256">
        <v>5</v>
      </c>
      <c r="AD161" s="238">
        <v>0</v>
      </c>
      <c r="AE161" s="230">
        <v>0</v>
      </c>
      <c r="AF161" s="224">
        <v>0</v>
      </c>
      <c r="AG161" s="226">
        <v>0</v>
      </c>
      <c r="AH161" s="232">
        <v>0</v>
      </c>
      <c r="AI161" s="214">
        <f t="shared" si="260"/>
        <v>0</v>
      </c>
      <c r="AJ161" s="216">
        <v>4</v>
      </c>
      <c r="AK161" s="251"/>
      <c r="AL161" s="251"/>
      <c r="AM161" s="218"/>
      <c r="AN161" s="251"/>
      <c r="AO161" s="216"/>
      <c r="AP161" s="119" t="s">
        <v>58</v>
      </c>
      <c r="AQ161" s="121">
        <v>5</v>
      </c>
      <c r="AR161" s="122">
        <v>0</v>
      </c>
      <c r="AS161" s="123">
        <v>5</v>
      </c>
      <c r="AT161" s="124">
        <v>0</v>
      </c>
      <c r="AU161" s="251"/>
      <c r="AV161" s="251"/>
      <c r="AW161" s="119"/>
      <c r="AX161" s="117" t="s">
        <v>59</v>
      </c>
    </row>
    <row r="162" spans="1:50" s="9" customFormat="1" ht="36" x14ac:dyDescent="0.25">
      <c r="A162" s="302"/>
      <c r="B162" s="115" t="s">
        <v>224</v>
      </c>
      <c r="C162" s="115" t="s">
        <v>225</v>
      </c>
      <c r="D162" s="117" t="s">
        <v>47</v>
      </c>
      <c r="E162" s="117" t="s">
        <v>48</v>
      </c>
      <c r="F162" s="250"/>
      <c r="G162" s="119" t="s">
        <v>229</v>
      </c>
      <c r="H162" s="251"/>
      <c r="I162" s="241"/>
      <c r="J162" s="231"/>
      <c r="K162" s="225"/>
      <c r="L162" s="227"/>
      <c r="M162" s="233"/>
      <c r="N162" s="214">
        <f t="shared" si="267"/>
        <v>0</v>
      </c>
      <c r="O162" s="216"/>
      <c r="P162" s="35"/>
      <c r="Q162" s="251"/>
      <c r="R162" s="119" t="s">
        <v>56</v>
      </c>
      <c r="S162" s="120" t="s">
        <v>57</v>
      </c>
      <c r="T162" s="250"/>
      <c r="U162" s="256"/>
      <c r="V162" s="239"/>
      <c r="W162" s="231"/>
      <c r="X162" s="225"/>
      <c r="Y162" s="227"/>
      <c r="Z162" s="233"/>
      <c r="AA162" s="295"/>
      <c r="AB162" s="216">
        <f>U162/4*3</f>
        <v>0</v>
      </c>
      <c r="AC162" s="256"/>
      <c r="AD162" s="239"/>
      <c r="AE162" s="231"/>
      <c r="AF162" s="225"/>
      <c r="AG162" s="227"/>
      <c r="AH162" s="233"/>
      <c r="AI162" s="214">
        <f t="shared" si="260"/>
        <v>0</v>
      </c>
      <c r="AJ162" s="216">
        <f>AC162/4*3</f>
        <v>0</v>
      </c>
      <c r="AK162" s="251"/>
      <c r="AL162" s="251"/>
      <c r="AM162" s="218"/>
      <c r="AN162" s="251"/>
      <c r="AO162" s="216"/>
      <c r="AP162" s="119" t="s">
        <v>127</v>
      </c>
      <c r="AQ162" s="121">
        <v>1</v>
      </c>
      <c r="AR162" s="122">
        <v>0</v>
      </c>
      <c r="AS162" s="123">
        <v>1</v>
      </c>
      <c r="AT162" s="124">
        <v>0</v>
      </c>
      <c r="AU162" s="251"/>
      <c r="AV162" s="251"/>
      <c r="AW162" s="119"/>
      <c r="AX162" s="117" t="s">
        <v>59</v>
      </c>
    </row>
    <row r="163" spans="1:50" s="9" customFormat="1" ht="37.5" x14ac:dyDescent="0.25">
      <c r="A163" s="302"/>
      <c r="B163" s="115" t="s">
        <v>224</v>
      </c>
      <c r="C163" s="115" t="s">
        <v>225</v>
      </c>
      <c r="D163" s="117" t="s">
        <v>47</v>
      </c>
      <c r="E163" s="117" t="s">
        <v>48</v>
      </c>
      <c r="F163" s="250"/>
      <c r="G163" s="119" t="s">
        <v>172</v>
      </c>
      <c r="H163" s="118">
        <v>15</v>
      </c>
      <c r="I163" s="107">
        <v>0</v>
      </c>
      <c r="J163" s="103">
        <v>0</v>
      </c>
      <c r="K163" s="104">
        <v>0</v>
      </c>
      <c r="L163" s="105">
        <v>0</v>
      </c>
      <c r="M163" s="106">
        <v>0</v>
      </c>
      <c r="N163" s="125">
        <f t="shared" si="267"/>
        <v>0</v>
      </c>
      <c r="O163" s="126">
        <v>0</v>
      </c>
      <c r="P163" s="35"/>
      <c r="Q163" s="119"/>
      <c r="R163" s="119" t="s">
        <v>51</v>
      </c>
      <c r="S163" s="120" t="s">
        <v>226</v>
      </c>
      <c r="T163" s="250"/>
      <c r="U163" s="121">
        <v>15</v>
      </c>
      <c r="V163" s="199">
        <v>0</v>
      </c>
      <c r="W163" s="103">
        <v>0</v>
      </c>
      <c r="X163" s="104">
        <v>0</v>
      </c>
      <c r="Y163" s="105">
        <v>0</v>
      </c>
      <c r="Z163" s="106">
        <v>0</v>
      </c>
      <c r="AA163" s="34">
        <f t="shared" si="259"/>
        <v>0</v>
      </c>
      <c r="AB163" s="35">
        <v>0</v>
      </c>
      <c r="AC163" s="121">
        <v>5</v>
      </c>
      <c r="AD163" s="199">
        <v>0</v>
      </c>
      <c r="AE163" s="103">
        <v>0</v>
      </c>
      <c r="AF163" s="104">
        <v>0</v>
      </c>
      <c r="AG163" s="105">
        <v>0</v>
      </c>
      <c r="AH163" s="106">
        <v>0</v>
      </c>
      <c r="AI163" s="34">
        <f t="shared" si="260"/>
        <v>0</v>
      </c>
      <c r="AJ163" s="35">
        <v>0</v>
      </c>
      <c r="AK163" s="119"/>
      <c r="AL163" s="119"/>
      <c r="AM163" s="46"/>
      <c r="AN163" s="119"/>
      <c r="AO163" s="35"/>
      <c r="AP163" s="119" t="s">
        <v>54</v>
      </c>
      <c r="AQ163" s="121">
        <v>5</v>
      </c>
      <c r="AR163" s="122">
        <v>0</v>
      </c>
      <c r="AS163" s="123">
        <v>5</v>
      </c>
      <c r="AT163" s="124">
        <v>0</v>
      </c>
      <c r="AU163" s="119"/>
      <c r="AV163" s="119"/>
      <c r="AW163" s="119"/>
      <c r="AX163" s="117" t="s">
        <v>55</v>
      </c>
    </row>
    <row r="164" spans="1:50" s="9" customFormat="1" ht="36" x14ac:dyDescent="0.25">
      <c r="A164" s="302"/>
      <c r="B164" s="115" t="s">
        <v>224</v>
      </c>
      <c r="C164" s="115" t="s">
        <v>225</v>
      </c>
      <c r="D164" s="117" t="s">
        <v>47</v>
      </c>
      <c r="E164" s="117" t="s">
        <v>48</v>
      </c>
      <c r="F164" s="127" t="s">
        <v>61</v>
      </c>
      <c r="G164" s="127"/>
      <c r="H164" s="127">
        <f>SUM(H151:H163)</f>
        <v>190</v>
      </c>
      <c r="I164" s="127">
        <f t="shared" ref="I164" si="302">SUM(I151:I163)</f>
        <v>0</v>
      </c>
      <c r="J164" s="127">
        <f t="shared" ref="J164:M164" si="303">SUM(J151:J163)</f>
        <v>2</v>
      </c>
      <c r="K164" s="127">
        <f t="shared" si="303"/>
        <v>19</v>
      </c>
      <c r="L164" s="127">
        <f t="shared" si="303"/>
        <v>5</v>
      </c>
      <c r="M164" s="127">
        <f t="shared" si="303"/>
        <v>2</v>
      </c>
      <c r="N164" s="128">
        <f t="shared" si="267"/>
        <v>28</v>
      </c>
      <c r="O164" s="128">
        <f>SUM(O151:O163)</f>
        <v>150</v>
      </c>
      <c r="P164" s="128"/>
      <c r="Q164" s="127"/>
      <c r="R164" s="129"/>
      <c r="S164" s="127"/>
      <c r="T164" s="130"/>
      <c r="U164" s="128">
        <f>SUBTOTAL(9,U151:U163)</f>
        <v>480</v>
      </c>
      <c r="V164" s="128">
        <f t="shared" ref="V164" si="304">SUBTOTAL(9,V151:V163)</f>
        <v>4</v>
      </c>
      <c r="W164" s="128">
        <f t="shared" ref="W164:AJ164" si="305">SUBTOTAL(9,W151:W163)</f>
        <v>4</v>
      </c>
      <c r="X164" s="128">
        <f t="shared" si="305"/>
        <v>19</v>
      </c>
      <c r="Y164" s="128">
        <f t="shared" si="305"/>
        <v>5</v>
      </c>
      <c r="Z164" s="128">
        <f t="shared" si="305"/>
        <v>4</v>
      </c>
      <c r="AA164" s="128">
        <f t="shared" si="259"/>
        <v>36</v>
      </c>
      <c r="AB164" s="128">
        <f t="shared" si="305"/>
        <v>420</v>
      </c>
      <c r="AC164" s="128">
        <f t="shared" si="305"/>
        <v>165</v>
      </c>
      <c r="AD164" s="128">
        <f t="shared" si="305"/>
        <v>0</v>
      </c>
      <c r="AE164" s="128">
        <f t="shared" si="305"/>
        <v>1</v>
      </c>
      <c r="AF164" s="128">
        <f t="shared" si="305"/>
        <v>13</v>
      </c>
      <c r="AG164" s="128">
        <f t="shared" ref="AG164" si="306">SUBTOTAL(9,AG151:AG163)</f>
        <v>0</v>
      </c>
      <c r="AH164" s="128">
        <f t="shared" si="305"/>
        <v>2</v>
      </c>
      <c r="AI164" s="128">
        <f t="shared" si="260"/>
        <v>16</v>
      </c>
      <c r="AJ164" s="128">
        <f t="shared" si="305"/>
        <v>144</v>
      </c>
      <c r="AK164" s="127"/>
      <c r="AL164" s="127"/>
      <c r="AM164" s="127"/>
      <c r="AN164" s="127"/>
      <c r="AO164" s="128"/>
      <c r="AP164" s="127"/>
      <c r="AQ164" s="128">
        <f>SUM(AQ151:AQ163)</f>
        <v>169</v>
      </c>
      <c r="AR164" s="128">
        <f>SUM(AR151:AR163)</f>
        <v>0</v>
      </c>
      <c r="AS164" s="128">
        <f>SUM(AS151:AS163)</f>
        <v>209</v>
      </c>
      <c r="AT164" s="128">
        <f>SUM(AT151:AT163)</f>
        <v>0</v>
      </c>
      <c r="AU164" s="129"/>
      <c r="AV164" s="127"/>
      <c r="AW164" s="129"/>
      <c r="AX164" s="127" t="s">
        <v>62</v>
      </c>
    </row>
    <row r="165" spans="1:50" s="9" customFormat="1" ht="54" x14ac:dyDescent="0.25">
      <c r="A165" s="302"/>
      <c r="B165" s="115" t="s">
        <v>224</v>
      </c>
      <c r="C165" s="115" t="s">
        <v>230</v>
      </c>
      <c r="D165" s="117" t="s">
        <v>47</v>
      </c>
      <c r="E165" s="117" t="s">
        <v>70</v>
      </c>
      <c r="F165" s="251" t="s">
        <v>49</v>
      </c>
      <c r="G165" s="119" t="s">
        <v>231</v>
      </c>
      <c r="H165" s="119">
        <v>80</v>
      </c>
      <c r="I165" s="89">
        <v>0</v>
      </c>
      <c r="J165" s="90">
        <v>0</v>
      </c>
      <c r="K165" s="91">
        <v>40</v>
      </c>
      <c r="L165" s="92">
        <v>25</v>
      </c>
      <c r="M165" s="81">
        <v>20</v>
      </c>
      <c r="N165" s="34">
        <f t="shared" si="267"/>
        <v>85</v>
      </c>
      <c r="O165" s="35">
        <v>40</v>
      </c>
      <c r="P165" s="35"/>
      <c r="Q165" s="119"/>
      <c r="R165" s="119" t="s">
        <v>173</v>
      </c>
      <c r="S165" s="120" t="s">
        <v>232</v>
      </c>
      <c r="T165" s="251" t="s">
        <v>53</v>
      </c>
      <c r="U165" s="121">
        <v>100</v>
      </c>
      <c r="V165" s="197">
        <v>0</v>
      </c>
      <c r="W165" s="90">
        <v>0</v>
      </c>
      <c r="X165" s="91">
        <v>40</v>
      </c>
      <c r="Y165" s="92">
        <v>25</v>
      </c>
      <c r="Z165" s="81">
        <v>20</v>
      </c>
      <c r="AA165" s="34">
        <f t="shared" si="259"/>
        <v>85</v>
      </c>
      <c r="AB165" s="35">
        <v>50</v>
      </c>
      <c r="AC165" s="121">
        <v>80</v>
      </c>
      <c r="AD165" s="197">
        <v>0</v>
      </c>
      <c r="AE165" s="90">
        <v>0</v>
      </c>
      <c r="AF165" s="91">
        <v>40</v>
      </c>
      <c r="AG165" s="92">
        <v>0</v>
      </c>
      <c r="AH165" s="81">
        <v>20</v>
      </c>
      <c r="AI165" s="34">
        <f t="shared" si="260"/>
        <v>60</v>
      </c>
      <c r="AJ165" s="35">
        <v>40</v>
      </c>
      <c r="AK165" s="119"/>
      <c r="AL165" s="119"/>
      <c r="AM165" s="46"/>
      <c r="AN165" s="119"/>
      <c r="AO165" s="35"/>
      <c r="AP165" s="119" t="s">
        <v>233</v>
      </c>
      <c r="AQ165" s="121">
        <v>80</v>
      </c>
      <c r="AR165" s="122">
        <v>80</v>
      </c>
      <c r="AS165" s="123">
        <v>0</v>
      </c>
      <c r="AT165" s="124">
        <v>0</v>
      </c>
      <c r="AU165" s="119"/>
      <c r="AV165" s="119"/>
      <c r="AW165" s="119"/>
      <c r="AX165" s="117" t="s">
        <v>68</v>
      </c>
    </row>
    <row r="166" spans="1:50" s="9" customFormat="1" ht="54" x14ac:dyDescent="0.25">
      <c r="A166" s="302"/>
      <c r="B166" s="115" t="s">
        <v>224</v>
      </c>
      <c r="C166" s="115" t="s">
        <v>230</v>
      </c>
      <c r="D166" s="117" t="s">
        <v>47</v>
      </c>
      <c r="E166" s="117" t="s">
        <v>70</v>
      </c>
      <c r="F166" s="251"/>
      <c r="G166" s="119" t="s">
        <v>227</v>
      </c>
      <c r="H166" s="119">
        <v>5</v>
      </c>
      <c r="I166" s="89">
        <v>0</v>
      </c>
      <c r="J166" s="90">
        <v>0</v>
      </c>
      <c r="K166" s="91">
        <v>6</v>
      </c>
      <c r="L166" s="92">
        <v>2</v>
      </c>
      <c r="M166" s="81">
        <v>0</v>
      </c>
      <c r="N166" s="34">
        <f t="shared" si="267"/>
        <v>8</v>
      </c>
      <c r="O166" s="35">
        <v>5</v>
      </c>
      <c r="P166" s="35"/>
      <c r="Q166" s="119"/>
      <c r="R166" s="119" t="s">
        <v>173</v>
      </c>
      <c r="S166" s="120" t="s">
        <v>232</v>
      </c>
      <c r="T166" s="251"/>
      <c r="U166" s="121">
        <v>20</v>
      </c>
      <c r="V166" s="197">
        <v>0</v>
      </c>
      <c r="W166" s="90">
        <v>0</v>
      </c>
      <c r="X166" s="91">
        <v>6</v>
      </c>
      <c r="Y166" s="92">
        <v>2</v>
      </c>
      <c r="Z166" s="81">
        <v>0</v>
      </c>
      <c r="AA166" s="34">
        <f t="shared" si="259"/>
        <v>8</v>
      </c>
      <c r="AB166" s="35">
        <v>10</v>
      </c>
      <c r="AC166" s="121">
        <v>10</v>
      </c>
      <c r="AD166" s="197">
        <v>0</v>
      </c>
      <c r="AE166" s="90">
        <v>0</v>
      </c>
      <c r="AF166" s="91">
        <v>6</v>
      </c>
      <c r="AG166" s="92">
        <v>0</v>
      </c>
      <c r="AH166" s="81">
        <v>0</v>
      </c>
      <c r="AI166" s="34">
        <f t="shared" si="260"/>
        <v>6</v>
      </c>
      <c r="AJ166" s="35">
        <v>5</v>
      </c>
      <c r="AK166" s="119"/>
      <c r="AL166" s="119"/>
      <c r="AM166" s="46"/>
      <c r="AN166" s="119"/>
      <c r="AO166" s="35"/>
      <c r="AP166" s="119" t="s">
        <v>233</v>
      </c>
      <c r="AQ166" s="121">
        <v>10</v>
      </c>
      <c r="AR166" s="122">
        <v>10</v>
      </c>
      <c r="AS166" s="123">
        <v>0</v>
      </c>
      <c r="AT166" s="124">
        <v>0</v>
      </c>
      <c r="AU166" s="119"/>
      <c r="AV166" s="119"/>
      <c r="AW166" s="119"/>
      <c r="AX166" s="117" t="s">
        <v>68</v>
      </c>
    </row>
    <row r="167" spans="1:50" s="9" customFormat="1" ht="54" x14ac:dyDescent="0.25">
      <c r="A167" s="302"/>
      <c r="B167" s="115" t="s">
        <v>224</v>
      </c>
      <c r="C167" s="115" t="s">
        <v>230</v>
      </c>
      <c r="D167" s="117" t="s">
        <v>47</v>
      </c>
      <c r="E167" s="117" t="s">
        <v>70</v>
      </c>
      <c r="F167" s="251"/>
      <c r="G167" s="119" t="s">
        <v>229</v>
      </c>
      <c r="H167" s="119">
        <v>5</v>
      </c>
      <c r="I167" s="89">
        <v>0</v>
      </c>
      <c r="J167" s="90">
        <v>0</v>
      </c>
      <c r="K167" s="91">
        <v>5</v>
      </c>
      <c r="L167" s="92">
        <v>2</v>
      </c>
      <c r="M167" s="81">
        <v>1</v>
      </c>
      <c r="N167" s="34">
        <f t="shared" si="267"/>
        <v>8</v>
      </c>
      <c r="O167" s="35">
        <v>0</v>
      </c>
      <c r="P167" s="35"/>
      <c r="Q167" s="119"/>
      <c r="R167" s="119" t="s">
        <v>173</v>
      </c>
      <c r="S167" s="120" t="s">
        <v>232</v>
      </c>
      <c r="T167" s="251"/>
      <c r="U167" s="121">
        <v>15</v>
      </c>
      <c r="V167" s="197">
        <v>0</v>
      </c>
      <c r="W167" s="90">
        <v>0</v>
      </c>
      <c r="X167" s="91">
        <v>5</v>
      </c>
      <c r="Y167" s="92">
        <v>2</v>
      </c>
      <c r="Z167" s="81">
        <v>1</v>
      </c>
      <c r="AA167" s="34">
        <f t="shared" si="259"/>
        <v>8</v>
      </c>
      <c r="AB167" s="35">
        <v>10</v>
      </c>
      <c r="AC167" s="121">
        <v>15</v>
      </c>
      <c r="AD167" s="197">
        <v>0</v>
      </c>
      <c r="AE167" s="90">
        <v>0</v>
      </c>
      <c r="AF167" s="91">
        <v>5</v>
      </c>
      <c r="AG167" s="92">
        <v>0</v>
      </c>
      <c r="AH167" s="81">
        <v>1</v>
      </c>
      <c r="AI167" s="34">
        <f t="shared" si="260"/>
        <v>6</v>
      </c>
      <c r="AJ167" s="35">
        <v>10</v>
      </c>
      <c r="AK167" s="119"/>
      <c r="AL167" s="119"/>
      <c r="AM167" s="46"/>
      <c r="AN167" s="119"/>
      <c r="AO167" s="35"/>
      <c r="AP167" s="119" t="s">
        <v>233</v>
      </c>
      <c r="AQ167" s="121">
        <v>15</v>
      </c>
      <c r="AR167" s="122">
        <v>15</v>
      </c>
      <c r="AS167" s="123">
        <v>0</v>
      </c>
      <c r="AT167" s="124">
        <v>0</v>
      </c>
      <c r="AU167" s="119"/>
      <c r="AV167" s="119"/>
      <c r="AW167" s="119"/>
      <c r="AX167" s="117" t="s">
        <v>68</v>
      </c>
    </row>
    <row r="168" spans="1:50" s="9" customFormat="1" ht="54" x14ac:dyDescent="0.25">
      <c r="A168" s="302"/>
      <c r="B168" s="115" t="s">
        <v>224</v>
      </c>
      <c r="C168" s="115" t="s">
        <v>230</v>
      </c>
      <c r="D168" s="117" t="s">
        <v>47</v>
      </c>
      <c r="E168" s="117" t="s">
        <v>70</v>
      </c>
      <c r="F168" s="251"/>
      <c r="G168" s="119" t="s">
        <v>234</v>
      </c>
      <c r="H168" s="119">
        <v>35</v>
      </c>
      <c r="I168" s="89">
        <v>0</v>
      </c>
      <c r="J168" s="90">
        <v>0</v>
      </c>
      <c r="K168" s="91">
        <v>8</v>
      </c>
      <c r="L168" s="92">
        <v>0</v>
      </c>
      <c r="M168" s="81">
        <v>2</v>
      </c>
      <c r="N168" s="34">
        <f t="shared" si="267"/>
        <v>10</v>
      </c>
      <c r="O168" s="35">
        <v>25</v>
      </c>
      <c r="P168" s="35"/>
      <c r="Q168" s="119"/>
      <c r="R168" s="119" t="s">
        <v>173</v>
      </c>
      <c r="S168" s="120" t="s">
        <v>232</v>
      </c>
      <c r="T168" s="251"/>
      <c r="U168" s="121">
        <v>70</v>
      </c>
      <c r="V168" s="197">
        <v>0</v>
      </c>
      <c r="W168" s="90">
        <v>0</v>
      </c>
      <c r="X168" s="91">
        <v>8</v>
      </c>
      <c r="Y168" s="92">
        <v>0</v>
      </c>
      <c r="Z168" s="81">
        <v>2</v>
      </c>
      <c r="AA168" s="34">
        <f t="shared" si="259"/>
        <v>10</v>
      </c>
      <c r="AB168" s="35">
        <v>60</v>
      </c>
      <c r="AC168" s="121">
        <v>50</v>
      </c>
      <c r="AD168" s="197">
        <v>0</v>
      </c>
      <c r="AE168" s="90">
        <v>0</v>
      </c>
      <c r="AF168" s="91">
        <v>8</v>
      </c>
      <c r="AG168" s="92">
        <v>0</v>
      </c>
      <c r="AH168" s="81">
        <v>2</v>
      </c>
      <c r="AI168" s="34">
        <f t="shared" si="260"/>
        <v>10</v>
      </c>
      <c r="AJ168" s="35">
        <v>40</v>
      </c>
      <c r="AK168" s="119"/>
      <c r="AL168" s="119"/>
      <c r="AM168" s="46"/>
      <c r="AN168" s="119"/>
      <c r="AO168" s="35"/>
      <c r="AP168" s="119" t="s">
        <v>233</v>
      </c>
      <c r="AQ168" s="121">
        <v>50</v>
      </c>
      <c r="AR168" s="122">
        <v>50</v>
      </c>
      <c r="AS168" s="123">
        <v>0</v>
      </c>
      <c r="AT168" s="124">
        <v>0</v>
      </c>
      <c r="AU168" s="119"/>
      <c r="AV168" s="119"/>
      <c r="AW168" s="119"/>
      <c r="AX168" s="117" t="s">
        <v>68</v>
      </c>
    </row>
    <row r="169" spans="1:50" s="9" customFormat="1" ht="54" x14ac:dyDescent="0.25">
      <c r="A169" s="302"/>
      <c r="B169" s="115" t="s">
        <v>224</v>
      </c>
      <c r="C169" s="115" t="s">
        <v>230</v>
      </c>
      <c r="D169" s="117" t="s">
        <v>47</v>
      </c>
      <c r="E169" s="117" t="s">
        <v>70</v>
      </c>
      <c r="F169" s="251"/>
      <c r="G169" s="119" t="s">
        <v>172</v>
      </c>
      <c r="H169" s="119">
        <v>60</v>
      </c>
      <c r="I169" s="89">
        <v>0</v>
      </c>
      <c r="J169" s="90">
        <v>1</v>
      </c>
      <c r="K169" s="91">
        <v>30</v>
      </c>
      <c r="L169" s="92">
        <v>20</v>
      </c>
      <c r="M169" s="81">
        <v>4</v>
      </c>
      <c r="N169" s="34">
        <f t="shared" si="267"/>
        <v>55</v>
      </c>
      <c r="O169" s="35">
        <v>0</v>
      </c>
      <c r="P169" s="35"/>
      <c r="Q169" s="119"/>
      <c r="R169" s="119" t="s">
        <v>173</v>
      </c>
      <c r="S169" s="120" t="s">
        <v>232</v>
      </c>
      <c r="T169" s="251"/>
      <c r="U169" s="121">
        <v>100</v>
      </c>
      <c r="V169" s="197">
        <v>0</v>
      </c>
      <c r="W169" s="90">
        <v>1</v>
      </c>
      <c r="X169" s="91">
        <v>30</v>
      </c>
      <c r="Y169" s="92">
        <v>20</v>
      </c>
      <c r="Z169" s="81">
        <v>4</v>
      </c>
      <c r="AA169" s="34">
        <f t="shared" si="259"/>
        <v>55</v>
      </c>
      <c r="AB169" s="35">
        <v>40</v>
      </c>
      <c r="AC169" s="121">
        <v>150</v>
      </c>
      <c r="AD169" s="197">
        <v>0</v>
      </c>
      <c r="AE169" s="90">
        <v>2</v>
      </c>
      <c r="AF169" s="91">
        <v>50</v>
      </c>
      <c r="AG169" s="92">
        <v>0</v>
      </c>
      <c r="AH169" s="81">
        <v>20</v>
      </c>
      <c r="AI169" s="34">
        <f t="shared" si="260"/>
        <v>72</v>
      </c>
      <c r="AJ169" s="35">
        <v>0</v>
      </c>
      <c r="AK169" s="119"/>
      <c r="AL169" s="119"/>
      <c r="AM169" s="46"/>
      <c r="AN169" s="119"/>
      <c r="AO169" s="35"/>
      <c r="AP169" s="119" t="s">
        <v>233</v>
      </c>
      <c r="AQ169" s="121">
        <v>150</v>
      </c>
      <c r="AR169" s="122">
        <v>150</v>
      </c>
      <c r="AS169" s="123">
        <v>0</v>
      </c>
      <c r="AT169" s="124">
        <v>0</v>
      </c>
      <c r="AU169" s="119"/>
      <c r="AV169" s="119"/>
      <c r="AW169" s="119"/>
      <c r="AX169" s="117" t="s">
        <v>68</v>
      </c>
    </row>
    <row r="170" spans="1:50" s="9" customFormat="1" ht="54" x14ac:dyDescent="0.25">
      <c r="A170" s="302"/>
      <c r="B170" s="115" t="s">
        <v>224</v>
      </c>
      <c r="C170" s="115" t="s">
        <v>230</v>
      </c>
      <c r="D170" s="117" t="s">
        <v>47</v>
      </c>
      <c r="E170" s="117" t="s">
        <v>70</v>
      </c>
      <c r="F170" s="251"/>
      <c r="G170" s="119" t="s">
        <v>235</v>
      </c>
      <c r="H170" s="119">
        <v>5</v>
      </c>
      <c r="I170" s="89">
        <v>2</v>
      </c>
      <c r="J170" s="90">
        <v>5</v>
      </c>
      <c r="K170" s="91">
        <v>1</v>
      </c>
      <c r="L170" s="92">
        <v>1</v>
      </c>
      <c r="M170" s="81">
        <v>1</v>
      </c>
      <c r="N170" s="34">
        <f t="shared" si="267"/>
        <v>10</v>
      </c>
      <c r="O170" s="35">
        <v>0</v>
      </c>
      <c r="P170" s="35"/>
      <c r="Q170" s="119"/>
      <c r="R170" s="119" t="s">
        <v>173</v>
      </c>
      <c r="S170" s="120" t="s">
        <v>232</v>
      </c>
      <c r="T170" s="251"/>
      <c r="U170" s="121">
        <v>15</v>
      </c>
      <c r="V170" s="197">
        <v>2</v>
      </c>
      <c r="W170" s="90">
        <v>5</v>
      </c>
      <c r="X170" s="91">
        <v>1</v>
      </c>
      <c r="Y170" s="92">
        <v>1</v>
      </c>
      <c r="Z170" s="81">
        <v>1</v>
      </c>
      <c r="AA170" s="34">
        <f t="shared" si="259"/>
        <v>10</v>
      </c>
      <c r="AB170" s="35">
        <v>10</v>
      </c>
      <c r="AC170" s="121">
        <v>15</v>
      </c>
      <c r="AD170" s="197">
        <v>4</v>
      </c>
      <c r="AE170" s="90">
        <v>10</v>
      </c>
      <c r="AF170" s="91">
        <v>2</v>
      </c>
      <c r="AG170" s="92">
        <v>0</v>
      </c>
      <c r="AH170" s="81">
        <v>1</v>
      </c>
      <c r="AI170" s="34">
        <f t="shared" si="260"/>
        <v>17</v>
      </c>
      <c r="AJ170" s="35">
        <v>5</v>
      </c>
      <c r="AK170" s="119"/>
      <c r="AL170" s="119"/>
      <c r="AM170" s="46"/>
      <c r="AN170" s="119"/>
      <c r="AO170" s="35"/>
      <c r="AP170" s="119" t="s">
        <v>233</v>
      </c>
      <c r="AQ170" s="121">
        <v>15</v>
      </c>
      <c r="AR170" s="122">
        <v>15</v>
      </c>
      <c r="AS170" s="123">
        <v>0</v>
      </c>
      <c r="AT170" s="124">
        <v>0</v>
      </c>
      <c r="AU170" s="119"/>
      <c r="AV170" s="119"/>
      <c r="AW170" s="119"/>
      <c r="AX170" s="117" t="s">
        <v>68</v>
      </c>
    </row>
    <row r="171" spans="1:50" s="9" customFormat="1" ht="54" x14ac:dyDescent="0.25">
      <c r="A171" s="302"/>
      <c r="B171" s="115" t="s">
        <v>224</v>
      </c>
      <c r="C171" s="115" t="s">
        <v>230</v>
      </c>
      <c r="D171" s="117" t="s">
        <v>47</v>
      </c>
      <c r="E171" s="117" t="s">
        <v>70</v>
      </c>
      <c r="F171" s="251"/>
      <c r="G171" s="119" t="s">
        <v>236</v>
      </c>
      <c r="H171" s="119">
        <v>2</v>
      </c>
      <c r="I171" s="89">
        <v>0</v>
      </c>
      <c r="J171" s="90">
        <v>0</v>
      </c>
      <c r="K171" s="91">
        <v>0</v>
      </c>
      <c r="L171" s="92">
        <v>1</v>
      </c>
      <c r="M171" s="81">
        <v>1</v>
      </c>
      <c r="N171" s="34">
        <f t="shared" si="267"/>
        <v>2</v>
      </c>
      <c r="O171" s="35">
        <v>0</v>
      </c>
      <c r="P171" s="35"/>
      <c r="Q171" s="119"/>
      <c r="R171" s="119" t="s">
        <v>173</v>
      </c>
      <c r="S171" s="120" t="s">
        <v>232</v>
      </c>
      <c r="T171" s="251"/>
      <c r="U171" s="121">
        <v>10</v>
      </c>
      <c r="V171" s="197">
        <v>0</v>
      </c>
      <c r="W171" s="90">
        <v>0</v>
      </c>
      <c r="X171" s="91">
        <v>0</v>
      </c>
      <c r="Y171" s="92">
        <v>1</v>
      </c>
      <c r="Z171" s="81">
        <v>5</v>
      </c>
      <c r="AA171" s="34">
        <f t="shared" si="259"/>
        <v>6</v>
      </c>
      <c r="AB171" s="35">
        <v>0</v>
      </c>
      <c r="AC171" s="121">
        <v>10</v>
      </c>
      <c r="AD171" s="197">
        <v>0</v>
      </c>
      <c r="AE171" s="90">
        <v>0</v>
      </c>
      <c r="AF171" s="91">
        <v>0</v>
      </c>
      <c r="AG171" s="92">
        <v>0</v>
      </c>
      <c r="AH171" s="81">
        <v>5</v>
      </c>
      <c r="AI171" s="34">
        <f t="shared" si="260"/>
        <v>5</v>
      </c>
      <c r="AJ171" s="35">
        <v>0</v>
      </c>
      <c r="AK171" s="119"/>
      <c r="AL171" s="119"/>
      <c r="AM171" s="46"/>
      <c r="AN171" s="119"/>
      <c r="AO171" s="35"/>
      <c r="AP171" s="119" t="s">
        <v>233</v>
      </c>
      <c r="AQ171" s="121">
        <v>10</v>
      </c>
      <c r="AR171" s="122">
        <v>10</v>
      </c>
      <c r="AS171" s="123">
        <v>0</v>
      </c>
      <c r="AT171" s="124">
        <v>0</v>
      </c>
      <c r="AU171" s="119"/>
      <c r="AV171" s="119"/>
      <c r="AW171" s="119"/>
      <c r="AX171" s="117" t="s">
        <v>68</v>
      </c>
    </row>
    <row r="172" spans="1:50" s="54" customFormat="1" ht="36" x14ac:dyDescent="0.25">
      <c r="A172" s="302"/>
      <c r="B172" s="115" t="s">
        <v>224</v>
      </c>
      <c r="C172" s="115" t="s">
        <v>230</v>
      </c>
      <c r="D172" s="117" t="s">
        <v>47</v>
      </c>
      <c r="E172" s="117" t="s">
        <v>70</v>
      </c>
      <c r="F172" s="127" t="s">
        <v>61</v>
      </c>
      <c r="G172" s="127"/>
      <c r="H172" s="127">
        <f>SUM(H165:H171)</f>
        <v>192</v>
      </c>
      <c r="I172" s="127">
        <f t="shared" ref="I172" si="307">SUM(I165:I171)</f>
        <v>2</v>
      </c>
      <c r="J172" s="127">
        <f t="shared" ref="J172:L172" si="308">SUM(J165:J171)</f>
        <v>6</v>
      </c>
      <c r="K172" s="127">
        <f t="shared" si="308"/>
        <v>90</v>
      </c>
      <c r="L172" s="127">
        <f t="shared" si="308"/>
        <v>51</v>
      </c>
      <c r="M172" s="127">
        <f>SUM(M165:M171)</f>
        <v>29</v>
      </c>
      <c r="N172" s="128">
        <f t="shared" si="267"/>
        <v>178</v>
      </c>
      <c r="O172" s="128">
        <f t="shared" ref="O172" si="309">SUM(O165:O171)</f>
        <v>70</v>
      </c>
      <c r="P172" s="128"/>
      <c r="Q172" s="127"/>
      <c r="R172" s="129"/>
      <c r="S172" s="127"/>
      <c r="T172" s="130"/>
      <c r="U172" s="128">
        <f t="shared" ref="U172:AK172" si="310">SUM(U165:U171)</f>
        <v>330</v>
      </c>
      <c r="V172" s="128">
        <f t="shared" si="310"/>
        <v>2</v>
      </c>
      <c r="W172" s="128">
        <f t="shared" si="310"/>
        <v>6</v>
      </c>
      <c r="X172" s="128">
        <f t="shared" si="310"/>
        <v>90</v>
      </c>
      <c r="Y172" s="128">
        <f t="shared" si="310"/>
        <v>51</v>
      </c>
      <c r="Z172" s="128">
        <f t="shared" si="310"/>
        <v>33</v>
      </c>
      <c r="AA172" s="128">
        <f t="shared" si="259"/>
        <v>182</v>
      </c>
      <c r="AB172" s="128">
        <f t="shared" si="310"/>
        <v>180</v>
      </c>
      <c r="AC172" s="128">
        <f t="shared" si="310"/>
        <v>330</v>
      </c>
      <c r="AD172" s="128">
        <f t="shared" si="310"/>
        <v>4</v>
      </c>
      <c r="AE172" s="128">
        <f t="shared" si="310"/>
        <v>12</v>
      </c>
      <c r="AF172" s="128">
        <f t="shared" si="310"/>
        <v>111</v>
      </c>
      <c r="AG172" s="128">
        <f t="shared" ref="AG172" si="311">SUM(AG165:AG171)</f>
        <v>0</v>
      </c>
      <c r="AH172" s="128">
        <f t="shared" si="310"/>
        <v>49</v>
      </c>
      <c r="AI172" s="128">
        <f t="shared" si="260"/>
        <v>176</v>
      </c>
      <c r="AJ172" s="128">
        <f t="shared" si="310"/>
        <v>100</v>
      </c>
      <c r="AK172" s="127">
        <f t="shared" si="310"/>
        <v>0</v>
      </c>
      <c r="AL172" s="127"/>
      <c r="AM172" s="127"/>
      <c r="AN172" s="127"/>
      <c r="AO172" s="128"/>
      <c r="AP172" s="127"/>
      <c r="AQ172" s="128">
        <f>SUM(AQ165:AQ171)</f>
        <v>330</v>
      </c>
      <c r="AR172" s="128">
        <f t="shared" ref="AR172:AT172" si="312">SUM(AR165:AR171)</f>
        <v>330</v>
      </c>
      <c r="AS172" s="128">
        <f t="shared" si="312"/>
        <v>0</v>
      </c>
      <c r="AT172" s="128">
        <f t="shared" si="312"/>
        <v>0</v>
      </c>
      <c r="AU172" s="129"/>
      <c r="AV172" s="127"/>
      <c r="AW172" s="127"/>
      <c r="AX172" s="127" t="s">
        <v>68</v>
      </c>
    </row>
    <row r="173" spans="1:50" s="54" customFormat="1" ht="72" x14ac:dyDescent="0.25">
      <c r="A173" s="302"/>
      <c r="B173" s="115" t="s">
        <v>224</v>
      </c>
      <c r="C173" s="115" t="s">
        <v>135</v>
      </c>
      <c r="D173" s="117" t="s">
        <v>89</v>
      </c>
      <c r="E173" s="117" t="s">
        <v>75</v>
      </c>
      <c r="F173" s="259"/>
      <c r="G173" s="119" t="s">
        <v>237</v>
      </c>
      <c r="H173" s="119">
        <v>5</v>
      </c>
      <c r="I173" s="89">
        <v>0</v>
      </c>
      <c r="J173" s="90">
        <v>0</v>
      </c>
      <c r="K173" s="91">
        <v>0</v>
      </c>
      <c r="L173" s="92">
        <v>0</v>
      </c>
      <c r="M173" s="81">
        <v>0</v>
      </c>
      <c r="N173" s="34">
        <f t="shared" si="267"/>
        <v>0</v>
      </c>
      <c r="O173" s="35">
        <v>5</v>
      </c>
      <c r="P173" s="35"/>
      <c r="Q173" s="119"/>
      <c r="R173" s="119" t="s">
        <v>51</v>
      </c>
      <c r="S173" s="120" t="s">
        <v>136</v>
      </c>
      <c r="T173" s="119" t="s">
        <v>77</v>
      </c>
      <c r="U173" s="121">
        <v>15</v>
      </c>
      <c r="V173" s="197">
        <v>0</v>
      </c>
      <c r="W173" s="90">
        <v>0</v>
      </c>
      <c r="X173" s="91">
        <v>0</v>
      </c>
      <c r="Y173" s="92">
        <v>0</v>
      </c>
      <c r="Z173" s="81">
        <v>0</v>
      </c>
      <c r="AA173" s="34">
        <f t="shared" si="259"/>
        <v>0</v>
      </c>
      <c r="AB173" s="35">
        <v>15</v>
      </c>
      <c r="AC173" s="121">
        <v>0</v>
      </c>
      <c r="AD173" s="197">
        <v>0</v>
      </c>
      <c r="AE173" s="90">
        <v>0</v>
      </c>
      <c r="AF173" s="91">
        <v>0</v>
      </c>
      <c r="AG173" s="92">
        <v>0</v>
      </c>
      <c r="AH173" s="81">
        <v>0</v>
      </c>
      <c r="AI173" s="34">
        <f t="shared" si="260"/>
        <v>0</v>
      </c>
      <c r="AJ173" s="35">
        <v>0</v>
      </c>
      <c r="AK173" s="119"/>
      <c r="AL173" s="119"/>
      <c r="AM173" s="46"/>
      <c r="AN173" s="119"/>
      <c r="AO173" s="35"/>
      <c r="AP173" s="119"/>
      <c r="AQ173" s="121"/>
      <c r="AR173" s="122"/>
      <c r="AS173" s="123"/>
      <c r="AT173" s="124"/>
      <c r="AU173" s="119"/>
      <c r="AV173" s="119"/>
      <c r="AW173" s="119"/>
      <c r="AX173" s="117" t="s">
        <v>87</v>
      </c>
    </row>
    <row r="174" spans="1:50" s="54" customFormat="1" ht="72" x14ac:dyDescent="0.25">
      <c r="A174" s="302"/>
      <c r="B174" s="115" t="s">
        <v>224</v>
      </c>
      <c r="C174" s="115" t="s">
        <v>135</v>
      </c>
      <c r="D174" s="117" t="s">
        <v>89</v>
      </c>
      <c r="E174" s="117" t="s">
        <v>75</v>
      </c>
      <c r="F174" s="260"/>
      <c r="G174" s="119" t="s">
        <v>228</v>
      </c>
      <c r="H174" s="119">
        <v>5</v>
      </c>
      <c r="I174" s="89">
        <v>0</v>
      </c>
      <c r="J174" s="90">
        <v>15</v>
      </c>
      <c r="K174" s="91">
        <v>0</v>
      </c>
      <c r="L174" s="92">
        <v>0</v>
      </c>
      <c r="M174" s="81">
        <v>0</v>
      </c>
      <c r="N174" s="34">
        <f t="shared" si="267"/>
        <v>15</v>
      </c>
      <c r="O174" s="35">
        <v>5</v>
      </c>
      <c r="P174" s="35"/>
      <c r="Q174" s="119"/>
      <c r="R174" s="119" t="s">
        <v>51</v>
      </c>
      <c r="S174" s="120" t="s">
        <v>136</v>
      </c>
      <c r="T174" s="119" t="s">
        <v>77</v>
      </c>
      <c r="U174" s="121">
        <v>15</v>
      </c>
      <c r="V174" s="197">
        <v>0</v>
      </c>
      <c r="W174" s="90">
        <v>0</v>
      </c>
      <c r="X174" s="91">
        <v>0</v>
      </c>
      <c r="Y174" s="92">
        <v>0</v>
      </c>
      <c r="Z174" s="81">
        <v>0</v>
      </c>
      <c r="AA174" s="34">
        <f t="shared" si="259"/>
        <v>0</v>
      </c>
      <c r="AB174" s="35">
        <v>15</v>
      </c>
      <c r="AC174" s="121">
        <v>2</v>
      </c>
      <c r="AD174" s="197">
        <v>0</v>
      </c>
      <c r="AE174" s="90">
        <v>0</v>
      </c>
      <c r="AF174" s="91">
        <v>0</v>
      </c>
      <c r="AG174" s="92">
        <v>0</v>
      </c>
      <c r="AH174" s="81">
        <v>0</v>
      </c>
      <c r="AI174" s="34">
        <f t="shared" si="260"/>
        <v>0</v>
      </c>
      <c r="AJ174" s="35">
        <v>2</v>
      </c>
      <c r="AK174" s="119"/>
      <c r="AL174" s="119"/>
      <c r="AM174" s="46"/>
      <c r="AN174" s="119"/>
      <c r="AO174" s="35"/>
      <c r="AP174" s="119" t="s">
        <v>91</v>
      </c>
      <c r="AQ174" s="121">
        <v>2</v>
      </c>
      <c r="AR174" s="122">
        <v>0</v>
      </c>
      <c r="AS174" s="123">
        <v>0</v>
      </c>
      <c r="AT174" s="124">
        <v>2</v>
      </c>
      <c r="AU174" s="119"/>
      <c r="AV174" s="119"/>
      <c r="AW174" s="119"/>
      <c r="AX174" s="117" t="s">
        <v>87</v>
      </c>
    </row>
    <row r="175" spans="1:50" s="54" customFormat="1" ht="36" customHeight="1" x14ac:dyDescent="0.25">
      <c r="A175" s="302"/>
      <c r="B175" s="115" t="s">
        <v>224</v>
      </c>
      <c r="C175" s="115" t="s">
        <v>135</v>
      </c>
      <c r="D175" s="117" t="s">
        <v>89</v>
      </c>
      <c r="E175" s="117" t="s">
        <v>75</v>
      </c>
      <c r="F175" s="127" t="s">
        <v>61</v>
      </c>
      <c r="G175" s="127"/>
      <c r="H175" s="127">
        <f>SUM(H173:H174)</f>
        <v>10</v>
      </c>
      <c r="I175" s="127">
        <f t="shared" ref="I175" si="313">SUM(I173:I174)</f>
        <v>0</v>
      </c>
      <c r="J175" s="127">
        <f t="shared" ref="J175:O175" si="314">SUM(J173:J174)</f>
        <v>15</v>
      </c>
      <c r="K175" s="127">
        <f t="shared" si="314"/>
        <v>0</v>
      </c>
      <c r="L175" s="127">
        <f t="shared" si="314"/>
        <v>0</v>
      </c>
      <c r="M175" s="127">
        <f t="shared" si="314"/>
        <v>0</v>
      </c>
      <c r="N175" s="127">
        <f t="shared" si="267"/>
        <v>15</v>
      </c>
      <c r="O175" s="127">
        <f t="shared" si="314"/>
        <v>10</v>
      </c>
      <c r="P175" s="128"/>
      <c r="Q175" s="127"/>
      <c r="R175" s="129"/>
      <c r="S175" s="127"/>
      <c r="T175" s="130"/>
      <c r="U175" s="128">
        <f>SUM(U173:U174)</f>
        <v>30</v>
      </c>
      <c r="V175" s="128">
        <f t="shared" ref="V175" si="315">SUM(V173:V174)</f>
        <v>0</v>
      </c>
      <c r="W175" s="128">
        <f t="shared" ref="W175:AJ175" si="316">SUM(W173:W174)</f>
        <v>0</v>
      </c>
      <c r="X175" s="128">
        <f t="shared" si="316"/>
        <v>0</v>
      </c>
      <c r="Y175" s="128">
        <v>0</v>
      </c>
      <c r="Z175" s="128">
        <f t="shared" si="316"/>
        <v>0</v>
      </c>
      <c r="AA175" s="128">
        <f t="shared" si="259"/>
        <v>0</v>
      </c>
      <c r="AB175" s="128">
        <f t="shared" si="316"/>
        <v>30</v>
      </c>
      <c r="AC175" s="128">
        <f t="shared" si="316"/>
        <v>2</v>
      </c>
      <c r="AD175" s="128">
        <f t="shared" si="316"/>
        <v>0</v>
      </c>
      <c r="AE175" s="128">
        <f t="shared" si="316"/>
        <v>0</v>
      </c>
      <c r="AF175" s="128">
        <f t="shared" si="316"/>
        <v>0</v>
      </c>
      <c r="AG175" s="128">
        <v>0</v>
      </c>
      <c r="AH175" s="128">
        <f t="shared" si="316"/>
        <v>0</v>
      </c>
      <c r="AI175" s="128">
        <f t="shared" si="260"/>
        <v>0</v>
      </c>
      <c r="AJ175" s="128">
        <f t="shared" si="316"/>
        <v>2</v>
      </c>
      <c r="AK175" s="127"/>
      <c r="AL175" s="127"/>
      <c r="AM175" s="127"/>
      <c r="AN175" s="127"/>
      <c r="AO175" s="128"/>
      <c r="AP175" s="127"/>
      <c r="AQ175" s="128"/>
      <c r="AR175" s="128"/>
      <c r="AS175" s="128"/>
      <c r="AT175" s="128"/>
      <c r="AU175" s="129"/>
      <c r="AV175" s="127"/>
      <c r="AW175" s="127"/>
      <c r="AX175" s="127" t="s">
        <v>87</v>
      </c>
    </row>
    <row r="176" spans="1:50" s="9" customFormat="1" ht="93.75" customHeight="1" x14ac:dyDescent="0.25">
      <c r="A176" s="302"/>
      <c r="B176" s="115" t="s">
        <v>224</v>
      </c>
      <c r="C176" s="115" t="s">
        <v>63</v>
      </c>
      <c r="D176" s="117" t="s">
        <v>47</v>
      </c>
      <c r="E176" s="117" t="s">
        <v>64</v>
      </c>
      <c r="F176" s="251" t="s">
        <v>49</v>
      </c>
      <c r="G176" s="119" t="s">
        <v>178</v>
      </c>
      <c r="H176" s="119">
        <v>100</v>
      </c>
      <c r="I176" s="89">
        <v>0</v>
      </c>
      <c r="J176" s="90">
        <v>50</v>
      </c>
      <c r="K176" s="91">
        <v>50</v>
      </c>
      <c r="L176" s="92">
        <v>0</v>
      </c>
      <c r="M176" s="81">
        <v>0</v>
      </c>
      <c r="N176" s="34">
        <f t="shared" si="267"/>
        <v>100</v>
      </c>
      <c r="O176" s="35">
        <v>25</v>
      </c>
      <c r="P176" s="35"/>
      <c r="Q176" s="119"/>
      <c r="R176" s="119" t="s">
        <v>51</v>
      </c>
      <c r="S176" s="120" t="s">
        <v>238</v>
      </c>
      <c r="T176" s="251" t="s">
        <v>66</v>
      </c>
      <c r="U176" s="121">
        <v>100</v>
      </c>
      <c r="V176" s="197">
        <v>5</v>
      </c>
      <c r="W176" s="90">
        <v>50</v>
      </c>
      <c r="X176" s="91">
        <v>50</v>
      </c>
      <c r="Y176" s="92">
        <v>0</v>
      </c>
      <c r="Z176" s="81">
        <v>0</v>
      </c>
      <c r="AA176" s="34">
        <f t="shared" si="259"/>
        <v>105</v>
      </c>
      <c r="AB176" s="35">
        <v>25</v>
      </c>
      <c r="AC176" s="121">
        <v>5</v>
      </c>
      <c r="AD176" s="197">
        <v>0</v>
      </c>
      <c r="AE176" s="90">
        <v>0</v>
      </c>
      <c r="AF176" s="91">
        <v>2</v>
      </c>
      <c r="AG176" s="92">
        <v>0</v>
      </c>
      <c r="AH176" s="81">
        <v>0</v>
      </c>
      <c r="AI176" s="34">
        <f t="shared" si="260"/>
        <v>2</v>
      </c>
      <c r="AJ176" s="35">
        <v>3</v>
      </c>
      <c r="AK176" s="119"/>
      <c r="AL176" s="119"/>
      <c r="AM176" s="46"/>
      <c r="AN176" s="119"/>
      <c r="AO176" s="35"/>
      <c r="AP176" s="119" t="s">
        <v>239</v>
      </c>
      <c r="AQ176" s="121">
        <v>5</v>
      </c>
      <c r="AR176" s="122">
        <v>5</v>
      </c>
      <c r="AS176" s="123">
        <v>0</v>
      </c>
      <c r="AT176" s="124">
        <v>0</v>
      </c>
      <c r="AU176" s="119"/>
      <c r="AV176" s="119"/>
      <c r="AW176" s="119"/>
      <c r="AX176" s="117" t="s">
        <v>68</v>
      </c>
    </row>
    <row r="177" spans="1:50" s="9" customFormat="1" ht="93.75" customHeight="1" x14ac:dyDescent="0.25">
      <c r="A177" s="302"/>
      <c r="B177" s="115" t="s">
        <v>224</v>
      </c>
      <c r="C177" s="115" t="s">
        <v>63</v>
      </c>
      <c r="D177" s="117" t="s">
        <v>47</v>
      </c>
      <c r="E177" s="117" t="s">
        <v>64</v>
      </c>
      <c r="F177" s="251"/>
      <c r="G177" s="119" t="s">
        <v>227</v>
      </c>
      <c r="H177" s="119">
        <v>10</v>
      </c>
      <c r="I177" s="89">
        <v>0</v>
      </c>
      <c r="J177" s="90">
        <v>4</v>
      </c>
      <c r="K177" s="91">
        <v>0</v>
      </c>
      <c r="L177" s="92">
        <v>1</v>
      </c>
      <c r="M177" s="81">
        <v>0</v>
      </c>
      <c r="N177" s="34">
        <f t="shared" si="267"/>
        <v>5</v>
      </c>
      <c r="O177" s="35">
        <v>2</v>
      </c>
      <c r="P177" s="35"/>
      <c r="Q177" s="119"/>
      <c r="R177" s="119" t="s">
        <v>51</v>
      </c>
      <c r="S177" s="120" t="s">
        <v>238</v>
      </c>
      <c r="T177" s="251"/>
      <c r="U177" s="121">
        <v>10</v>
      </c>
      <c r="V177" s="197">
        <v>3</v>
      </c>
      <c r="W177" s="90">
        <v>4</v>
      </c>
      <c r="X177" s="91">
        <v>0</v>
      </c>
      <c r="Y177" s="92">
        <v>1</v>
      </c>
      <c r="Z177" s="81">
        <v>0</v>
      </c>
      <c r="AA177" s="34">
        <f t="shared" si="259"/>
        <v>8</v>
      </c>
      <c r="AB177" s="35">
        <v>2</v>
      </c>
      <c r="AC177" s="121">
        <v>0</v>
      </c>
      <c r="AD177" s="197">
        <v>0</v>
      </c>
      <c r="AE177" s="90">
        <v>0</v>
      </c>
      <c r="AF177" s="91">
        <v>0</v>
      </c>
      <c r="AG177" s="92">
        <v>0</v>
      </c>
      <c r="AH177" s="81">
        <v>0</v>
      </c>
      <c r="AI177" s="34">
        <f t="shared" si="260"/>
        <v>0</v>
      </c>
      <c r="AJ177" s="35">
        <f>AC177/4*3</f>
        <v>0</v>
      </c>
      <c r="AK177" s="119"/>
      <c r="AL177" s="119"/>
      <c r="AM177" s="46"/>
      <c r="AN177" s="119"/>
      <c r="AO177" s="35"/>
      <c r="AP177" s="119"/>
      <c r="AQ177" s="121"/>
      <c r="AR177" s="122"/>
      <c r="AS177" s="123"/>
      <c r="AT177" s="124"/>
      <c r="AU177" s="119"/>
      <c r="AV177" s="119"/>
      <c r="AW177" s="119"/>
      <c r="AX177" s="117" t="s">
        <v>68</v>
      </c>
    </row>
    <row r="178" spans="1:50" s="9" customFormat="1" ht="93.75" customHeight="1" x14ac:dyDescent="0.25">
      <c r="A178" s="302"/>
      <c r="B178" s="115" t="s">
        <v>224</v>
      </c>
      <c r="C178" s="115" t="s">
        <v>63</v>
      </c>
      <c r="D178" s="117" t="s">
        <v>47</v>
      </c>
      <c r="E178" s="117" t="s">
        <v>64</v>
      </c>
      <c r="F178" s="251"/>
      <c r="G178" s="119" t="s">
        <v>228</v>
      </c>
      <c r="H178" s="119">
        <v>20</v>
      </c>
      <c r="I178" s="89">
        <v>0</v>
      </c>
      <c r="J178" s="90">
        <v>4</v>
      </c>
      <c r="K178" s="91">
        <v>3</v>
      </c>
      <c r="L178" s="92">
        <v>3</v>
      </c>
      <c r="M178" s="81">
        <v>0</v>
      </c>
      <c r="N178" s="34">
        <f t="shared" si="267"/>
        <v>10</v>
      </c>
      <c r="O178" s="35">
        <v>5</v>
      </c>
      <c r="P178" s="35"/>
      <c r="Q178" s="119"/>
      <c r="R178" s="119" t="s">
        <v>51</v>
      </c>
      <c r="S178" s="120" t="s">
        <v>238</v>
      </c>
      <c r="T178" s="251"/>
      <c r="U178" s="121">
        <v>20</v>
      </c>
      <c r="V178" s="197">
        <v>5</v>
      </c>
      <c r="W178" s="90">
        <v>4</v>
      </c>
      <c r="X178" s="91">
        <v>3</v>
      </c>
      <c r="Y178" s="92">
        <v>3</v>
      </c>
      <c r="Z178" s="81">
        <v>0</v>
      </c>
      <c r="AA178" s="34">
        <f t="shared" si="259"/>
        <v>15</v>
      </c>
      <c r="AB178" s="35">
        <v>5</v>
      </c>
      <c r="AC178" s="121">
        <v>5</v>
      </c>
      <c r="AD178" s="197">
        <v>0</v>
      </c>
      <c r="AE178" s="90">
        <v>0</v>
      </c>
      <c r="AF178" s="91">
        <v>4</v>
      </c>
      <c r="AG178" s="92">
        <v>0</v>
      </c>
      <c r="AH178" s="81">
        <v>0</v>
      </c>
      <c r="AI178" s="34">
        <f t="shared" si="260"/>
        <v>4</v>
      </c>
      <c r="AJ178" s="35">
        <v>0</v>
      </c>
      <c r="AK178" s="119"/>
      <c r="AL178" s="119"/>
      <c r="AM178" s="46"/>
      <c r="AN178" s="119"/>
      <c r="AO178" s="35"/>
      <c r="AP178" s="119" t="s">
        <v>239</v>
      </c>
      <c r="AQ178" s="121">
        <v>5</v>
      </c>
      <c r="AR178" s="122">
        <v>5</v>
      </c>
      <c r="AS178" s="123">
        <v>0</v>
      </c>
      <c r="AT178" s="124">
        <v>0</v>
      </c>
      <c r="AU178" s="119"/>
      <c r="AV178" s="119"/>
      <c r="AW178" s="119"/>
      <c r="AX178" s="117" t="s">
        <v>68</v>
      </c>
    </row>
    <row r="179" spans="1:50" s="9" customFormat="1" ht="36" x14ac:dyDescent="0.25">
      <c r="A179" s="302"/>
      <c r="B179" s="115" t="s">
        <v>224</v>
      </c>
      <c r="C179" s="115" t="s">
        <v>63</v>
      </c>
      <c r="D179" s="117" t="s">
        <v>47</v>
      </c>
      <c r="E179" s="117" t="s">
        <v>64</v>
      </c>
      <c r="F179" s="127" t="s">
        <v>61</v>
      </c>
      <c r="G179" s="127"/>
      <c r="H179" s="127">
        <f>SUM(H176:H178)</f>
        <v>130</v>
      </c>
      <c r="I179" s="127">
        <f t="shared" ref="I179" si="317">SUM(I176:I178)</f>
        <v>0</v>
      </c>
      <c r="J179" s="127">
        <f t="shared" ref="J179:O179" si="318">SUM(J176:J178)</f>
        <v>58</v>
      </c>
      <c r="K179" s="127">
        <f t="shared" si="318"/>
        <v>53</v>
      </c>
      <c r="L179" s="127">
        <f t="shared" si="318"/>
        <v>4</v>
      </c>
      <c r="M179" s="127">
        <f t="shared" si="318"/>
        <v>0</v>
      </c>
      <c r="N179" s="127">
        <f t="shared" si="267"/>
        <v>115</v>
      </c>
      <c r="O179" s="128">
        <f t="shared" si="318"/>
        <v>32</v>
      </c>
      <c r="P179" s="128"/>
      <c r="Q179" s="127"/>
      <c r="R179" s="129"/>
      <c r="S179" s="127"/>
      <c r="T179" s="130"/>
      <c r="U179" s="128">
        <f t="shared" ref="U179:AJ179" si="319">SUM(U176:U178)</f>
        <v>130</v>
      </c>
      <c r="V179" s="128">
        <f t="shared" si="319"/>
        <v>13</v>
      </c>
      <c r="W179" s="128">
        <f t="shared" si="319"/>
        <v>58</v>
      </c>
      <c r="X179" s="128">
        <f t="shared" si="319"/>
        <v>53</v>
      </c>
      <c r="Y179" s="128">
        <f>SUM(Y176:Y178)</f>
        <v>4</v>
      </c>
      <c r="Z179" s="128">
        <f t="shared" si="319"/>
        <v>0</v>
      </c>
      <c r="AA179" s="128">
        <f t="shared" si="259"/>
        <v>128</v>
      </c>
      <c r="AB179" s="128">
        <f t="shared" si="319"/>
        <v>32</v>
      </c>
      <c r="AC179" s="128">
        <f t="shared" si="319"/>
        <v>10</v>
      </c>
      <c r="AD179" s="128">
        <f t="shared" si="319"/>
        <v>0</v>
      </c>
      <c r="AE179" s="128">
        <f t="shared" si="319"/>
        <v>0</v>
      </c>
      <c r="AF179" s="128">
        <f t="shared" si="319"/>
        <v>6</v>
      </c>
      <c r="AG179" s="128">
        <f t="shared" ref="AG179" si="320">SUM(AG176:AG178)</f>
        <v>0</v>
      </c>
      <c r="AH179" s="128">
        <f t="shared" si="319"/>
        <v>0</v>
      </c>
      <c r="AI179" s="128">
        <f t="shared" si="260"/>
        <v>6</v>
      </c>
      <c r="AJ179" s="128">
        <f t="shared" si="319"/>
        <v>3</v>
      </c>
      <c r="AK179" s="127"/>
      <c r="AL179" s="127"/>
      <c r="AM179" s="127"/>
      <c r="AN179" s="127"/>
      <c r="AO179" s="128"/>
      <c r="AP179" s="127"/>
      <c r="AQ179" s="128">
        <f>SUM(AQ176:AQ178)</f>
        <v>10</v>
      </c>
      <c r="AR179" s="128">
        <f t="shared" ref="AR179:AT179" si="321">SUM(AR176:AR178)</f>
        <v>10</v>
      </c>
      <c r="AS179" s="128">
        <f t="shared" si="321"/>
        <v>0</v>
      </c>
      <c r="AT179" s="128">
        <f t="shared" si="321"/>
        <v>0</v>
      </c>
      <c r="AU179" s="129"/>
      <c r="AV179" s="127"/>
      <c r="AW179" s="127"/>
      <c r="AX179" s="127" t="s">
        <v>68</v>
      </c>
    </row>
    <row r="180" spans="1:50" s="9" customFormat="1" ht="36" customHeight="1" x14ac:dyDescent="0.25">
      <c r="A180" s="302"/>
      <c r="B180" s="115" t="s">
        <v>224</v>
      </c>
      <c r="C180" s="115" t="s">
        <v>240</v>
      </c>
      <c r="D180" s="117" t="s">
        <v>47</v>
      </c>
      <c r="E180" s="117" t="s">
        <v>75</v>
      </c>
      <c r="F180" s="251"/>
      <c r="G180" s="119" t="s">
        <v>231</v>
      </c>
      <c r="H180" s="119">
        <v>15</v>
      </c>
      <c r="I180" s="89">
        <v>0</v>
      </c>
      <c r="J180" s="90">
        <v>0</v>
      </c>
      <c r="K180" s="91">
        <v>5</v>
      </c>
      <c r="L180" s="92">
        <v>0</v>
      </c>
      <c r="M180" s="81">
        <v>0</v>
      </c>
      <c r="N180" s="34">
        <f t="shared" si="267"/>
        <v>5</v>
      </c>
      <c r="O180" s="35">
        <v>10</v>
      </c>
      <c r="P180" s="35"/>
      <c r="Q180" s="119"/>
      <c r="R180" s="119" t="s">
        <v>51</v>
      </c>
      <c r="S180" s="120" t="s">
        <v>241</v>
      </c>
      <c r="T180" s="251" t="s">
        <v>242</v>
      </c>
      <c r="U180" s="121">
        <v>15</v>
      </c>
      <c r="V180" s="197">
        <v>0</v>
      </c>
      <c r="W180" s="90">
        <v>0</v>
      </c>
      <c r="X180" s="91">
        <v>5</v>
      </c>
      <c r="Y180" s="92">
        <v>0</v>
      </c>
      <c r="Z180" s="81">
        <v>0</v>
      </c>
      <c r="AA180" s="34">
        <f t="shared" si="259"/>
        <v>5</v>
      </c>
      <c r="AB180" s="35">
        <v>10</v>
      </c>
      <c r="AC180" s="121">
        <v>5</v>
      </c>
      <c r="AD180" s="197">
        <v>0</v>
      </c>
      <c r="AE180" s="90">
        <v>0</v>
      </c>
      <c r="AF180" s="91">
        <v>1</v>
      </c>
      <c r="AG180" s="92">
        <v>0</v>
      </c>
      <c r="AH180" s="81">
        <v>0</v>
      </c>
      <c r="AI180" s="34">
        <f t="shared" si="260"/>
        <v>1</v>
      </c>
      <c r="AJ180" s="35">
        <f>AC180/4*3</f>
        <v>3.75</v>
      </c>
      <c r="AK180" s="119"/>
      <c r="AL180" s="119"/>
      <c r="AM180" s="46"/>
      <c r="AN180" s="119"/>
      <c r="AO180" s="35"/>
      <c r="AP180" s="119" t="s">
        <v>99</v>
      </c>
      <c r="AQ180" s="121">
        <v>5</v>
      </c>
      <c r="AR180" s="122">
        <v>5</v>
      </c>
      <c r="AS180" s="123">
        <v>0</v>
      </c>
      <c r="AT180" s="124">
        <v>0</v>
      </c>
      <c r="AU180" s="119"/>
      <c r="AV180" s="119"/>
      <c r="AW180" s="119"/>
      <c r="AX180" s="117" t="s">
        <v>68</v>
      </c>
    </row>
    <row r="181" spans="1:50" s="9" customFormat="1" ht="54" customHeight="1" x14ac:dyDescent="0.25">
      <c r="A181" s="302"/>
      <c r="B181" s="115" t="s">
        <v>224</v>
      </c>
      <c r="C181" s="115" t="s">
        <v>240</v>
      </c>
      <c r="D181" s="117" t="s">
        <v>47</v>
      </c>
      <c r="E181" s="117" t="s">
        <v>75</v>
      </c>
      <c r="F181" s="251"/>
      <c r="G181" s="119" t="s">
        <v>172</v>
      </c>
      <c r="H181" s="119">
        <v>2</v>
      </c>
      <c r="I181" s="89">
        <v>0</v>
      </c>
      <c r="J181" s="90">
        <v>0</v>
      </c>
      <c r="K181" s="91">
        <v>0</v>
      </c>
      <c r="L181" s="92">
        <v>0</v>
      </c>
      <c r="M181" s="81">
        <v>2</v>
      </c>
      <c r="N181" s="34">
        <f t="shared" si="267"/>
        <v>2</v>
      </c>
      <c r="O181" s="35">
        <v>0</v>
      </c>
      <c r="P181" s="35"/>
      <c r="Q181" s="119"/>
      <c r="R181" s="119" t="s">
        <v>243</v>
      </c>
      <c r="S181" s="120" t="s">
        <v>241</v>
      </c>
      <c r="T181" s="251"/>
      <c r="U181" s="121">
        <v>2</v>
      </c>
      <c r="V181" s="197">
        <v>0</v>
      </c>
      <c r="W181" s="90">
        <v>0</v>
      </c>
      <c r="X181" s="91">
        <v>0</v>
      </c>
      <c r="Y181" s="92">
        <v>0</v>
      </c>
      <c r="Z181" s="81">
        <v>2</v>
      </c>
      <c r="AA181" s="34">
        <f t="shared" si="259"/>
        <v>2</v>
      </c>
      <c r="AB181" s="35">
        <v>0</v>
      </c>
      <c r="AC181" s="121">
        <v>2</v>
      </c>
      <c r="AD181" s="197">
        <v>0</v>
      </c>
      <c r="AE181" s="90">
        <v>0</v>
      </c>
      <c r="AF181" s="91">
        <v>0</v>
      </c>
      <c r="AG181" s="92">
        <v>0</v>
      </c>
      <c r="AH181" s="81">
        <v>2</v>
      </c>
      <c r="AI181" s="34">
        <f t="shared" si="260"/>
        <v>2</v>
      </c>
      <c r="AJ181" s="35">
        <v>0</v>
      </c>
      <c r="AK181" s="119"/>
      <c r="AL181" s="119"/>
      <c r="AM181" s="46"/>
      <c r="AN181" s="119"/>
      <c r="AO181" s="35"/>
      <c r="AP181" s="119" t="s">
        <v>99</v>
      </c>
      <c r="AQ181" s="121">
        <v>2</v>
      </c>
      <c r="AR181" s="122">
        <v>2</v>
      </c>
      <c r="AS181" s="123">
        <v>0</v>
      </c>
      <c r="AT181" s="124">
        <v>0</v>
      </c>
      <c r="AU181" s="119"/>
      <c r="AV181" s="119"/>
      <c r="AW181" s="119"/>
      <c r="AX181" s="117" t="s">
        <v>68</v>
      </c>
    </row>
    <row r="182" spans="1:50" s="54" customFormat="1" ht="54" customHeight="1" x14ac:dyDescent="0.25">
      <c r="A182" s="302"/>
      <c r="B182" s="115" t="s">
        <v>224</v>
      </c>
      <c r="C182" s="115" t="s">
        <v>240</v>
      </c>
      <c r="D182" s="117" t="s">
        <v>47</v>
      </c>
      <c r="E182" s="117" t="s">
        <v>75</v>
      </c>
      <c r="F182" s="127" t="s">
        <v>61</v>
      </c>
      <c r="G182" s="127"/>
      <c r="H182" s="127">
        <f>SUM(H180:H181)</f>
        <v>17</v>
      </c>
      <c r="I182" s="127">
        <f t="shared" ref="I182" si="322">SUM(I180:I181)</f>
        <v>0</v>
      </c>
      <c r="J182" s="127">
        <f t="shared" ref="J182:O182" si="323">SUM(J180:J181)</f>
        <v>0</v>
      </c>
      <c r="K182" s="127">
        <f t="shared" si="323"/>
        <v>5</v>
      </c>
      <c r="L182" s="127">
        <f t="shared" si="323"/>
        <v>0</v>
      </c>
      <c r="M182" s="127">
        <f t="shared" si="323"/>
        <v>2</v>
      </c>
      <c r="N182" s="128">
        <f t="shared" si="267"/>
        <v>7</v>
      </c>
      <c r="O182" s="128">
        <f t="shared" si="323"/>
        <v>10</v>
      </c>
      <c r="P182" s="128"/>
      <c r="Q182" s="127"/>
      <c r="R182" s="127"/>
      <c r="S182" s="127"/>
      <c r="T182" s="130"/>
      <c r="U182" s="128">
        <f t="shared" ref="U182:AJ182" si="324">SUM(U180:U181)</f>
        <v>17</v>
      </c>
      <c r="V182" s="128">
        <f t="shared" si="324"/>
        <v>0</v>
      </c>
      <c r="W182" s="128">
        <f t="shared" si="324"/>
        <v>0</v>
      </c>
      <c r="X182" s="128">
        <f t="shared" si="324"/>
        <v>5</v>
      </c>
      <c r="Y182" s="128">
        <f t="shared" si="324"/>
        <v>0</v>
      </c>
      <c r="Z182" s="128">
        <f t="shared" si="324"/>
        <v>2</v>
      </c>
      <c r="AA182" s="128">
        <f t="shared" si="259"/>
        <v>7</v>
      </c>
      <c r="AB182" s="128">
        <f t="shared" si="324"/>
        <v>10</v>
      </c>
      <c r="AC182" s="128">
        <f t="shared" si="324"/>
        <v>7</v>
      </c>
      <c r="AD182" s="128">
        <f t="shared" si="324"/>
        <v>0</v>
      </c>
      <c r="AE182" s="128">
        <f t="shared" si="324"/>
        <v>0</v>
      </c>
      <c r="AF182" s="128">
        <f t="shared" si="324"/>
        <v>1</v>
      </c>
      <c r="AG182" s="128">
        <f t="shared" ref="AG182" si="325">SUM(AG180:AG181)</f>
        <v>0</v>
      </c>
      <c r="AH182" s="128">
        <f t="shared" si="324"/>
        <v>2</v>
      </c>
      <c r="AI182" s="128">
        <f t="shared" si="260"/>
        <v>3</v>
      </c>
      <c r="AJ182" s="128">
        <f t="shared" si="324"/>
        <v>3.75</v>
      </c>
      <c r="AK182" s="127"/>
      <c r="AL182" s="127"/>
      <c r="AM182" s="127"/>
      <c r="AN182" s="127"/>
      <c r="AO182" s="128"/>
      <c r="AP182" s="127"/>
      <c r="AQ182" s="128">
        <f>SUM(AQ180:AQ181)</f>
        <v>7</v>
      </c>
      <c r="AR182" s="128">
        <f t="shared" ref="AR182:AT182" si="326">SUM(AR180:AR181)</f>
        <v>7</v>
      </c>
      <c r="AS182" s="128">
        <f t="shared" si="326"/>
        <v>0</v>
      </c>
      <c r="AT182" s="128">
        <f t="shared" si="326"/>
        <v>0</v>
      </c>
      <c r="AU182" s="127"/>
      <c r="AV182" s="127"/>
      <c r="AW182" s="127"/>
      <c r="AX182" s="127" t="s">
        <v>68</v>
      </c>
    </row>
    <row r="183" spans="1:50" s="9" customFormat="1" ht="54" x14ac:dyDescent="0.25">
      <c r="A183" s="302"/>
      <c r="B183" s="115" t="s">
        <v>224</v>
      </c>
      <c r="C183" s="115" t="s">
        <v>69</v>
      </c>
      <c r="D183" s="117" t="s">
        <v>47</v>
      </c>
      <c r="E183" s="117" t="s">
        <v>70</v>
      </c>
      <c r="F183" s="251" t="s">
        <v>49</v>
      </c>
      <c r="G183" s="119" t="s">
        <v>231</v>
      </c>
      <c r="H183" s="119">
        <v>60</v>
      </c>
      <c r="I183" s="89">
        <v>0</v>
      </c>
      <c r="J183" s="90">
        <v>0</v>
      </c>
      <c r="K183" s="91">
        <v>40</v>
      </c>
      <c r="L183" s="92">
        <v>25</v>
      </c>
      <c r="M183" s="81">
        <v>20</v>
      </c>
      <c r="N183" s="34">
        <f t="shared" si="267"/>
        <v>85</v>
      </c>
      <c r="O183" s="35">
        <v>35</v>
      </c>
      <c r="P183" s="35"/>
      <c r="Q183" s="119"/>
      <c r="R183" s="119" t="s">
        <v>173</v>
      </c>
      <c r="S183" s="120" t="s">
        <v>232</v>
      </c>
      <c r="T183" s="251" t="s">
        <v>73</v>
      </c>
      <c r="U183" s="121">
        <v>60</v>
      </c>
      <c r="V183" s="197">
        <v>0</v>
      </c>
      <c r="W183" s="90">
        <v>0</v>
      </c>
      <c r="X183" s="91">
        <v>40</v>
      </c>
      <c r="Y183" s="92">
        <v>25</v>
      </c>
      <c r="Z183" s="81">
        <v>20</v>
      </c>
      <c r="AA183" s="34">
        <f t="shared" si="259"/>
        <v>85</v>
      </c>
      <c r="AB183" s="35">
        <v>35</v>
      </c>
      <c r="AC183" s="121">
        <v>120</v>
      </c>
      <c r="AD183" s="197">
        <v>0</v>
      </c>
      <c r="AE183" s="90">
        <v>0</v>
      </c>
      <c r="AF183" s="91">
        <v>40</v>
      </c>
      <c r="AG183" s="92">
        <v>0</v>
      </c>
      <c r="AH183" s="81">
        <v>20</v>
      </c>
      <c r="AI183" s="34">
        <f t="shared" si="260"/>
        <v>60</v>
      </c>
      <c r="AJ183" s="35">
        <v>35</v>
      </c>
      <c r="AK183" s="119"/>
      <c r="AL183" s="119"/>
      <c r="AM183" s="46"/>
      <c r="AN183" s="119"/>
      <c r="AO183" s="35"/>
      <c r="AP183" s="119" t="s">
        <v>471</v>
      </c>
      <c r="AQ183" s="121">
        <v>120</v>
      </c>
      <c r="AR183" s="122">
        <v>120</v>
      </c>
      <c r="AS183" s="123">
        <v>0</v>
      </c>
      <c r="AT183" s="124">
        <v>0</v>
      </c>
      <c r="AU183" s="119"/>
      <c r="AV183" s="119"/>
      <c r="AW183" s="119"/>
      <c r="AX183" s="117" t="s">
        <v>68</v>
      </c>
    </row>
    <row r="184" spans="1:50" s="9" customFormat="1" ht="56.25" x14ac:dyDescent="0.25">
      <c r="A184" s="302"/>
      <c r="B184" s="115" t="s">
        <v>224</v>
      </c>
      <c r="C184" s="115" t="s">
        <v>69</v>
      </c>
      <c r="D184" s="117" t="s">
        <v>47</v>
      </c>
      <c r="E184" s="117" t="s">
        <v>70</v>
      </c>
      <c r="F184" s="251"/>
      <c r="G184" s="119" t="s">
        <v>231</v>
      </c>
      <c r="H184" s="119">
        <v>60</v>
      </c>
      <c r="I184" s="89">
        <v>0</v>
      </c>
      <c r="J184" s="90">
        <v>0</v>
      </c>
      <c r="K184" s="91">
        <v>6</v>
      </c>
      <c r="L184" s="92">
        <v>2</v>
      </c>
      <c r="M184" s="81">
        <v>0</v>
      </c>
      <c r="N184" s="34">
        <f t="shared" si="267"/>
        <v>8</v>
      </c>
      <c r="O184" s="35">
        <v>52</v>
      </c>
      <c r="P184" s="35"/>
      <c r="Q184" s="119"/>
      <c r="R184" s="119" t="s">
        <v>51</v>
      </c>
      <c r="S184" s="120" t="s">
        <v>244</v>
      </c>
      <c r="T184" s="251"/>
      <c r="U184" s="121">
        <v>100</v>
      </c>
      <c r="V184" s="197">
        <v>0</v>
      </c>
      <c r="W184" s="90">
        <v>0</v>
      </c>
      <c r="X184" s="91">
        <v>6</v>
      </c>
      <c r="Y184" s="92">
        <v>2</v>
      </c>
      <c r="Z184" s="81">
        <v>0</v>
      </c>
      <c r="AA184" s="34">
        <f t="shared" si="259"/>
        <v>8</v>
      </c>
      <c r="AB184" s="35">
        <v>90</v>
      </c>
      <c r="AC184" s="121">
        <v>60</v>
      </c>
      <c r="AD184" s="197">
        <v>0</v>
      </c>
      <c r="AE184" s="90">
        <v>0</v>
      </c>
      <c r="AF184" s="91">
        <v>6</v>
      </c>
      <c r="AG184" s="92">
        <v>0</v>
      </c>
      <c r="AH184" s="81">
        <v>0</v>
      </c>
      <c r="AI184" s="34">
        <f t="shared" si="260"/>
        <v>6</v>
      </c>
      <c r="AJ184" s="35">
        <v>50</v>
      </c>
      <c r="AK184" s="119"/>
      <c r="AL184" s="119"/>
      <c r="AM184" s="46"/>
      <c r="AN184" s="119"/>
      <c r="AO184" s="35"/>
      <c r="AP184" s="119" t="s">
        <v>471</v>
      </c>
      <c r="AQ184" s="121">
        <v>60</v>
      </c>
      <c r="AR184" s="122">
        <v>60</v>
      </c>
      <c r="AS184" s="123">
        <v>0</v>
      </c>
      <c r="AT184" s="124">
        <v>0</v>
      </c>
      <c r="AU184" s="119"/>
      <c r="AV184" s="119"/>
      <c r="AW184" s="119"/>
      <c r="AX184" s="117" t="s">
        <v>68</v>
      </c>
    </row>
    <row r="185" spans="1:50" s="9" customFormat="1" ht="54" x14ac:dyDescent="0.25">
      <c r="A185" s="302"/>
      <c r="B185" s="115" t="s">
        <v>224</v>
      </c>
      <c r="C185" s="115" t="s">
        <v>69</v>
      </c>
      <c r="D185" s="117" t="s">
        <v>47</v>
      </c>
      <c r="E185" s="117" t="s">
        <v>70</v>
      </c>
      <c r="F185" s="251"/>
      <c r="G185" s="119" t="s">
        <v>227</v>
      </c>
      <c r="H185" s="119">
        <v>10</v>
      </c>
      <c r="I185" s="89">
        <v>0</v>
      </c>
      <c r="J185" s="90">
        <v>0</v>
      </c>
      <c r="K185" s="91">
        <v>6</v>
      </c>
      <c r="L185" s="92">
        <v>2</v>
      </c>
      <c r="M185" s="81">
        <v>0</v>
      </c>
      <c r="N185" s="34">
        <f t="shared" si="267"/>
        <v>8</v>
      </c>
      <c r="O185" s="35">
        <v>5</v>
      </c>
      <c r="P185" s="35"/>
      <c r="Q185" s="119"/>
      <c r="R185" s="119" t="s">
        <v>173</v>
      </c>
      <c r="S185" s="120" t="s">
        <v>232</v>
      </c>
      <c r="T185" s="251"/>
      <c r="U185" s="121">
        <v>20</v>
      </c>
      <c r="V185" s="197">
        <v>0</v>
      </c>
      <c r="W185" s="90">
        <v>0</v>
      </c>
      <c r="X185" s="91">
        <v>6</v>
      </c>
      <c r="Y185" s="92">
        <v>2</v>
      </c>
      <c r="Z185" s="81">
        <v>0</v>
      </c>
      <c r="AA185" s="34">
        <f t="shared" si="259"/>
        <v>8</v>
      </c>
      <c r="AB185" s="35">
        <v>10</v>
      </c>
      <c r="AC185" s="121">
        <v>10</v>
      </c>
      <c r="AD185" s="197">
        <v>0</v>
      </c>
      <c r="AE185" s="90">
        <v>0</v>
      </c>
      <c r="AF185" s="91">
        <v>12</v>
      </c>
      <c r="AG185" s="92">
        <v>0</v>
      </c>
      <c r="AH185" s="81">
        <v>0</v>
      </c>
      <c r="AI185" s="34">
        <f t="shared" si="260"/>
        <v>12</v>
      </c>
      <c r="AJ185" s="35">
        <v>5</v>
      </c>
      <c r="AK185" s="119"/>
      <c r="AL185" s="119"/>
      <c r="AM185" s="46"/>
      <c r="AN185" s="119"/>
      <c r="AO185" s="35"/>
      <c r="AP185" s="119" t="s">
        <v>471</v>
      </c>
      <c r="AQ185" s="121">
        <v>10</v>
      </c>
      <c r="AR185" s="122">
        <v>10</v>
      </c>
      <c r="AS185" s="123">
        <v>0</v>
      </c>
      <c r="AT185" s="124">
        <v>0</v>
      </c>
      <c r="AU185" s="119"/>
      <c r="AV185" s="119"/>
      <c r="AW185" s="119"/>
      <c r="AX185" s="117" t="s">
        <v>68</v>
      </c>
    </row>
    <row r="186" spans="1:50" s="9" customFormat="1" ht="54" x14ac:dyDescent="0.25">
      <c r="A186" s="302"/>
      <c r="B186" s="115" t="s">
        <v>224</v>
      </c>
      <c r="C186" s="115" t="s">
        <v>69</v>
      </c>
      <c r="D186" s="117" t="s">
        <v>47</v>
      </c>
      <c r="E186" s="117" t="s">
        <v>70</v>
      </c>
      <c r="F186" s="251"/>
      <c r="G186" s="119" t="s">
        <v>227</v>
      </c>
      <c r="H186" s="119">
        <v>15</v>
      </c>
      <c r="I186" s="89">
        <v>0</v>
      </c>
      <c r="J186" s="90">
        <v>0</v>
      </c>
      <c r="K186" s="91">
        <v>4</v>
      </c>
      <c r="L186" s="92">
        <v>2</v>
      </c>
      <c r="M186" s="81">
        <v>0</v>
      </c>
      <c r="N186" s="34">
        <f t="shared" si="267"/>
        <v>6</v>
      </c>
      <c r="O186" s="35">
        <v>7</v>
      </c>
      <c r="P186" s="35"/>
      <c r="Q186" s="119"/>
      <c r="R186" s="119" t="s">
        <v>51</v>
      </c>
      <c r="S186" s="120" t="s">
        <v>245</v>
      </c>
      <c r="T186" s="251"/>
      <c r="U186" s="121">
        <v>30</v>
      </c>
      <c r="V186" s="197">
        <v>0</v>
      </c>
      <c r="W186" s="90">
        <v>0</v>
      </c>
      <c r="X186" s="91">
        <v>4</v>
      </c>
      <c r="Y186" s="92">
        <v>2</v>
      </c>
      <c r="Z186" s="81">
        <v>0</v>
      </c>
      <c r="AA186" s="34">
        <f t="shared" si="259"/>
        <v>6</v>
      </c>
      <c r="AB186" s="35">
        <v>20</v>
      </c>
      <c r="AC186" s="121">
        <v>15</v>
      </c>
      <c r="AD186" s="197">
        <v>0</v>
      </c>
      <c r="AE186" s="90">
        <v>0</v>
      </c>
      <c r="AF186" s="91">
        <v>4</v>
      </c>
      <c r="AG186" s="92">
        <v>0</v>
      </c>
      <c r="AH186" s="81">
        <v>0</v>
      </c>
      <c r="AI186" s="34">
        <f t="shared" si="260"/>
        <v>4</v>
      </c>
      <c r="AJ186" s="35">
        <v>7</v>
      </c>
      <c r="AK186" s="119"/>
      <c r="AL186" s="119"/>
      <c r="AM186" s="46"/>
      <c r="AN186" s="119"/>
      <c r="AO186" s="35"/>
      <c r="AP186" s="119" t="s">
        <v>471</v>
      </c>
      <c r="AQ186" s="121">
        <v>15</v>
      </c>
      <c r="AR186" s="122">
        <v>15</v>
      </c>
      <c r="AS186" s="123">
        <v>0</v>
      </c>
      <c r="AT186" s="124">
        <v>0</v>
      </c>
      <c r="AU186" s="119"/>
      <c r="AV186" s="119"/>
      <c r="AW186" s="119"/>
      <c r="AX186" s="117" t="s">
        <v>68</v>
      </c>
    </row>
    <row r="187" spans="1:50" s="9" customFormat="1" ht="54" customHeight="1" x14ac:dyDescent="0.25">
      <c r="A187" s="302"/>
      <c r="B187" s="115" t="s">
        <v>224</v>
      </c>
      <c r="C187" s="115" t="s">
        <v>69</v>
      </c>
      <c r="D187" s="117" t="s">
        <v>47</v>
      </c>
      <c r="E187" s="117" t="s">
        <v>70</v>
      </c>
      <c r="F187" s="251"/>
      <c r="G187" s="119" t="s">
        <v>229</v>
      </c>
      <c r="H187" s="119">
        <v>5</v>
      </c>
      <c r="I187" s="89">
        <v>0</v>
      </c>
      <c r="J187" s="90">
        <v>0</v>
      </c>
      <c r="K187" s="91">
        <v>5</v>
      </c>
      <c r="L187" s="92">
        <v>1</v>
      </c>
      <c r="M187" s="81">
        <v>1</v>
      </c>
      <c r="N187" s="34">
        <f t="shared" si="267"/>
        <v>7</v>
      </c>
      <c r="O187" s="35">
        <v>0</v>
      </c>
      <c r="P187" s="35"/>
      <c r="Q187" s="119"/>
      <c r="R187" s="119" t="s">
        <v>173</v>
      </c>
      <c r="S187" s="120" t="s">
        <v>232</v>
      </c>
      <c r="T187" s="132" t="s">
        <v>53</v>
      </c>
      <c r="U187" s="121">
        <v>50</v>
      </c>
      <c r="V187" s="197">
        <v>0</v>
      </c>
      <c r="W187" s="90">
        <v>0</v>
      </c>
      <c r="X187" s="91">
        <v>3</v>
      </c>
      <c r="Y187" s="92">
        <v>1</v>
      </c>
      <c r="Z187" s="81">
        <v>1</v>
      </c>
      <c r="AA187" s="34">
        <f t="shared" si="259"/>
        <v>5</v>
      </c>
      <c r="AB187" s="35">
        <v>45</v>
      </c>
      <c r="AC187" s="121">
        <v>5</v>
      </c>
      <c r="AD187" s="197">
        <v>0</v>
      </c>
      <c r="AE187" s="90">
        <v>0</v>
      </c>
      <c r="AF187" s="91">
        <v>3</v>
      </c>
      <c r="AG187" s="92">
        <v>0</v>
      </c>
      <c r="AH187" s="81">
        <v>1</v>
      </c>
      <c r="AI187" s="34">
        <f t="shared" si="260"/>
        <v>4</v>
      </c>
      <c r="AJ187" s="35">
        <v>0</v>
      </c>
      <c r="AK187" s="119"/>
      <c r="AL187" s="119"/>
      <c r="AM187" s="46"/>
      <c r="AN187" s="119"/>
      <c r="AO187" s="35"/>
      <c r="AP187" s="119" t="s">
        <v>471</v>
      </c>
      <c r="AQ187" s="121">
        <v>5</v>
      </c>
      <c r="AR187" s="122">
        <v>5</v>
      </c>
      <c r="AS187" s="123">
        <v>0</v>
      </c>
      <c r="AT187" s="124">
        <v>0</v>
      </c>
      <c r="AU187" s="119"/>
      <c r="AV187" s="119"/>
      <c r="AW187" s="119"/>
      <c r="AX187" s="117" t="s">
        <v>68</v>
      </c>
    </row>
    <row r="188" spans="1:50" s="9" customFormat="1" ht="72" x14ac:dyDescent="0.25">
      <c r="A188" s="302"/>
      <c r="B188" s="115" t="s">
        <v>224</v>
      </c>
      <c r="C188" s="115" t="s">
        <v>69</v>
      </c>
      <c r="D188" s="117" t="s">
        <v>47</v>
      </c>
      <c r="E188" s="117" t="s">
        <v>70</v>
      </c>
      <c r="F188" s="251"/>
      <c r="G188" s="119" t="s">
        <v>234</v>
      </c>
      <c r="H188" s="119">
        <v>15</v>
      </c>
      <c r="I188" s="89">
        <v>0</v>
      </c>
      <c r="J188" s="90">
        <v>0</v>
      </c>
      <c r="K188" s="91">
        <v>8</v>
      </c>
      <c r="L188" s="92">
        <v>0</v>
      </c>
      <c r="M188" s="81">
        <v>2</v>
      </c>
      <c r="N188" s="34">
        <f t="shared" si="267"/>
        <v>10</v>
      </c>
      <c r="O188" s="35">
        <v>5</v>
      </c>
      <c r="P188" s="35"/>
      <c r="Q188" s="119"/>
      <c r="R188" s="119" t="s">
        <v>173</v>
      </c>
      <c r="S188" s="120" t="s">
        <v>232</v>
      </c>
      <c r="T188" s="132" t="s">
        <v>53</v>
      </c>
      <c r="U188" s="121">
        <v>20</v>
      </c>
      <c r="V188" s="197">
        <v>0</v>
      </c>
      <c r="W188" s="90">
        <v>0</v>
      </c>
      <c r="X188" s="91">
        <v>8</v>
      </c>
      <c r="Y188" s="92">
        <v>0</v>
      </c>
      <c r="Z188" s="81">
        <v>2</v>
      </c>
      <c r="AA188" s="34">
        <f t="shared" si="259"/>
        <v>10</v>
      </c>
      <c r="AB188" s="35">
        <v>10</v>
      </c>
      <c r="AC188" s="121">
        <v>20</v>
      </c>
      <c r="AD188" s="197">
        <v>0</v>
      </c>
      <c r="AE188" s="90">
        <v>0</v>
      </c>
      <c r="AF188" s="91">
        <v>8</v>
      </c>
      <c r="AG188" s="92">
        <v>0</v>
      </c>
      <c r="AH188" s="81">
        <v>2</v>
      </c>
      <c r="AI188" s="34">
        <f t="shared" si="260"/>
        <v>10</v>
      </c>
      <c r="AJ188" s="35">
        <v>10</v>
      </c>
      <c r="AK188" s="119"/>
      <c r="AL188" s="119"/>
      <c r="AM188" s="46"/>
      <c r="AN188" s="119"/>
      <c r="AO188" s="35"/>
      <c r="AP188" s="119" t="s">
        <v>471</v>
      </c>
      <c r="AQ188" s="121">
        <v>20</v>
      </c>
      <c r="AR188" s="122">
        <v>20</v>
      </c>
      <c r="AS188" s="123">
        <v>0</v>
      </c>
      <c r="AT188" s="124">
        <v>0</v>
      </c>
      <c r="AU188" s="119"/>
      <c r="AV188" s="119"/>
      <c r="AW188" s="119"/>
      <c r="AX188" s="117" t="s">
        <v>68</v>
      </c>
    </row>
    <row r="189" spans="1:50" s="9" customFormat="1" ht="54" x14ac:dyDescent="0.25">
      <c r="A189" s="302"/>
      <c r="B189" s="115" t="s">
        <v>224</v>
      </c>
      <c r="C189" s="115" t="s">
        <v>69</v>
      </c>
      <c r="D189" s="117" t="s">
        <v>47</v>
      </c>
      <c r="E189" s="117" t="s">
        <v>70</v>
      </c>
      <c r="F189" s="251"/>
      <c r="G189" s="119" t="s">
        <v>234</v>
      </c>
      <c r="H189" s="119">
        <v>15</v>
      </c>
      <c r="I189" s="89">
        <v>0</v>
      </c>
      <c r="J189" s="90">
        <v>0</v>
      </c>
      <c r="K189" s="91">
        <v>5</v>
      </c>
      <c r="L189" s="92">
        <v>0</v>
      </c>
      <c r="M189" s="81">
        <v>0</v>
      </c>
      <c r="N189" s="34">
        <f t="shared" si="267"/>
        <v>5</v>
      </c>
      <c r="O189" s="35">
        <v>10</v>
      </c>
      <c r="P189" s="35"/>
      <c r="Q189" s="119"/>
      <c r="R189" s="119" t="s">
        <v>51</v>
      </c>
      <c r="S189" s="120" t="s">
        <v>245</v>
      </c>
      <c r="T189" s="119" t="s">
        <v>73</v>
      </c>
      <c r="U189" s="121">
        <v>20</v>
      </c>
      <c r="V189" s="197">
        <v>0</v>
      </c>
      <c r="W189" s="90">
        <v>0</v>
      </c>
      <c r="X189" s="91">
        <v>5</v>
      </c>
      <c r="Y189" s="92">
        <v>0</v>
      </c>
      <c r="Z189" s="81">
        <v>0</v>
      </c>
      <c r="AA189" s="34">
        <f t="shared" si="259"/>
        <v>5</v>
      </c>
      <c r="AB189" s="35">
        <v>15</v>
      </c>
      <c r="AC189" s="121">
        <v>20</v>
      </c>
      <c r="AD189" s="197">
        <v>0</v>
      </c>
      <c r="AE189" s="90">
        <v>0</v>
      </c>
      <c r="AF189" s="91">
        <v>5</v>
      </c>
      <c r="AG189" s="92">
        <v>0</v>
      </c>
      <c r="AH189" s="81">
        <v>0</v>
      </c>
      <c r="AI189" s="34">
        <f t="shared" si="260"/>
        <v>5</v>
      </c>
      <c r="AJ189" s="35">
        <v>15</v>
      </c>
      <c r="AK189" s="119"/>
      <c r="AL189" s="119"/>
      <c r="AM189" s="46"/>
      <c r="AN189" s="119"/>
      <c r="AO189" s="35"/>
      <c r="AP189" s="119" t="s">
        <v>471</v>
      </c>
      <c r="AQ189" s="121">
        <v>20</v>
      </c>
      <c r="AR189" s="122">
        <v>20</v>
      </c>
      <c r="AS189" s="123">
        <v>0</v>
      </c>
      <c r="AT189" s="124">
        <v>0</v>
      </c>
      <c r="AU189" s="119"/>
      <c r="AV189" s="119"/>
      <c r="AW189" s="119"/>
      <c r="AX189" s="117" t="s">
        <v>68</v>
      </c>
    </row>
    <row r="190" spans="1:50" s="9" customFormat="1" ht="72" x14ac:dyDescent="0.25">
      <c r="A190" s="302"/>
      <c r="B190" s="115" t="s">
        <v>224</v>
      </c>
      <c r="C190" s="115" t="s">
        <v>69</v>
      </c>
      <c r="D190" s="117" t="s">
        <v>47</v>
      </c>
      <c r="E190" s="117" t="s">
        <v>70</v>
      </c>
      <c r="F190" s="251"/>
      <c r="G190" s="119" t="s">
        <v>172</v>
      </c>
      <c r="H190" s="119">
        <v>60</v>
      </c>
      <c r="I190" s="89">
        <v>0</v>
      </c>
      <c r="J190" s="90">
        <v>1</v>
      </c>
      <c r="K190" s="91">
        <v>30</v>
      </c>
      <c r="L190" s="92">
        <v>20</v>
      </c>
      <c r="M190" s="81">
        <v>4</v>
      </c>
      <c r="N190" s="34">
        <f t="shared" si="267"/>
        <v>55</v>
      </c>
      <c r="O190" s="35">
        <v>0</v>
      </c>
      <c r="P190" s="35"/>
      <c r="Q190" s="119"/>
      <c r="R190" s="119" t="s">
        <v>173</v>
      </c>
      <c r="S190" s="120" t="s">
        <v>232</v>
      </c>
      <c r="T190" s="119" t="s">
        <v>77</v>
      </c>
      <c r="U190" s="121">
        <v>120</v>
      </c>
      <c r="V190" s="197">
        <v>0</v>
      </c>
      <c r="W190" s="90">
        <v>1</v>
      </c>
      <c r="X190" s="91">
        <v>30</v>
      </c>
      <c r="Y190" s="92">
        <v>20</v>
      </c>
      <c r="Z190" s="81">
        <v>4</v>
      </c>
      <c r="AA190" s="34">
        <f t="shared" si="259"/>
        <v>55</v>
      </c>
      <c r="AB190" s="35">
        <v>60</v>
      </c>
      <c r="AC190" s="121">
        <v>150</v>
      </c>
      <c r="AD190" s="197">
        <v>0</v>
      </c>
      <c r="AE190" s="90">
        <v>2</v>
      </c>
      <c r="AF190" s="91">
        <v>50</v>
      </c>
      <c r="AG190" s="92">
        <v>0</v>
      </c>
      <c r="AH190" s="81">
        <v>20</v>
      </c>
      <c r="AI190" s="34">
        <f t="shared" si="260"/>
        <v>72</v>
      </c>
      <c r="AJ190" s="35">
        <v>0</v>
      </c>
      <c r="AK190" s="119"/>
      <c r="AL190" s="119"/>
      <c r="AM190" s="46"/>
      <c r="AN190" s="119"/>
      <c r="AO190" s="35"/>
      <c r="AP190" s="119" t="s">
        <v>471</v>
      </c>
      <c r="AQ190" s="121">
        <v>150</v>
      </c>
      <c r="AR190" s="122">
        <v>150</v>
      </c>
      <c r="AS190" s="123">
        <v>0</v>
      </c>
      <c r="AT190" s="124">
        <v>0</v>
      </c>
      <c r="AU190" s="119"/>
      <c r="AV190" s="119"/>
      <c r="AW190" s="119"/>
      <c r="AX190" s="117" t="s">
        <v>68</v>
      </c>
    </row>
    <row r="191" spans="1:50" s="9" customFormat="1" ht="54" x14ac:dyDescent="0.25">
      <c r="A191" s="302"/>
      <c r="B191" s="115" t="s">
        <v>224</v>
      </c>
      <c r="C191" s="115" t="s">
        <v>69</v>
      </c>
      <c r="D191" s="117" t="s">
        <v>47</v>
      </c>
      <c r="E191" s="117" t="s">
        <v>70</v>
      </c>
      <c r="F191" s="127" t="s">
        <v>61</v>
      </c>
      <c r="G191" s="127"/>
      <c r="H191" s="127">
        <f>SUM(H183:H190)</f>
        <v>240</v>
      </c>
      <c r="I191" s="127">
        <f t="shared" ref="I191" si="327">SUM(I183:I190)</f>
        <v>0</v>
      </c>
      <c r="J191" s="127">
        <f t="shared" ref="J191:M191" si="328">SUM(J183:J190)</f>
        <v>1</v>
      </c>
      <c r="K191" s="127">
        <f t="shared" si="328"/>
        <v>104</v>
      </c>
      <c r="L191" s="127">
        <f t="shared" si="328"/>
        <v>52</v>
      </c>
      <c r="M191" s="127">
        <f t="shared" si="328"/>
        <v>27</v>
      </c>
      <c r="N191" s="127">
        <f t="shared" si="267"/>
        <v>184</v>
      </c>
      <c r="O191" s="128">
        <f>SUM(O183:O190)</f>
        <v>114</v>
      </c>
      <c r="P191" s="128"/>
      <c r="Q191" s="127"/>
      <c r="R191" s="129"/>
      <c r="S191" s="127"/>
      <c r="T191" s="130"/>
      <c r="U191" s="128">
        <f t="shared" ref="U191:AJ191" si="329">SUM(U183:U190)</f>
        <v>420</v>
      </c>
      <c r="V191" s="128">
        <f t="shared" si="329"/>
        <v>0</v>
      </c>
      <c r="W191" s="128">
        <f t="shared" si="329"/>
        <v>1</v>
      </c>
      <c r="X191" s="128">
        <f t="shared" si="329"/>
        <v>102</v>
      </c>
      <c r="Y191" s="128">
        <f>SUM(Y183:Y190)</f>
        <v>52</v>
      </c>
      <c r="Z191" s="128">
        <f t="shared" si="329"/>
        <v>27</v>
      </c>
      <c r="AA191" s="128">
        <f t="shared" si="259"/>
        <v>182</v>
      </c>
      <c r="AB191" s="128">
        <f t="shared" si="329"/>
        <v>285</v>
      </c>
      <c r="AC191" s="128">
        <f t="shared" si="329"/>
        <v>400</v>
      </c>
      <c r="AD191" s="128">
        <f t="shared" si="329"/>
        <v>0</v>
      </c>
      <c r="AE191" s="128">
        <f t="shared" si="329"/>
        <v>2</v>
      </c>
      <c r="AF191" s="128">
        <f t="shared" si="329"/>
        <v>128</v>
      </c>
      <c r="AG191" s="128">
        <f>SUM(AG183:AG190)</f>
        <v>0</v>
      </c>
      <c r="AH191" s="128">
        <f t="shared" si="329"/>
        <v>43</v>
      </c>
      <c r="AI191" s="128">
        <f t="shared" si="260"/>
        <v>173</v>
      </c>
      <c r="AJ191" s="128">
        <f t="shared" si="329"/>
        <v>122</v>
      </c>
      <c r="AK191" s="127"/>
      <c r="AL191" s="127"/>
      <c r="AM191" s="127"/>
      <c r="AN191" s="127"/>
      <c r="AO191" s="128"/>
      <c r="AP191" s="127"/>
      <c r="AQ191" s="128">
        <f>SUM(AQ183:AQ190)</f>
        <v>400</v>
      </c>
      <c r="AR191" s="128">
        <f>SUM(AR183:AR190)</f>
        <v>400</v>
      </c>
      <c r="AS191" s="128">
        <f>SUM(AS183:AS190)</f>
        <v>0</v>
      </c>
      <c r="AT191" s="128">
        <f>SUM(AT183:AT190)</f>
        <v>0</v>
      </c>
      <c r="AU191" s="129"/>
      <c r="AV191" s="127"/>
      <c r="AW191" s="127"/>
      <c r="AX191" s="127" t="s">
        <v>68</v>
      </c>
    </row>
    <row r="192" spans="1:50" s="9" customFormat="1" ht="36" x14ac:dyDescent="0.25">
      <c r="A192" s="303"/>
      <c r="B192" s="115" t="s">
        <v>224</v>
      </c>
      <c r="C192" s="115" t="s">
        <v>79</v>
      </c>
      <c r="D192" s="117" t="s">
        <v>47</v>
      </c>
      <c r="E192" s="117" t="s">
        <v>75</v>
      </c>
      <c r="F192" s="259"/>
      <c r="G192" s="119" t="s">
        <v>231</v>
      </c>
      <c r="H192" s="119">
        <v>25</v>
      </c>
      <c r="I192" s="89">
        <v>0</v>
      </c>
      <c r="J192" s="90">
        <v>0</v>
      </c>
      <c r="K192" s="91">
        <v>0</v>
      </c>
      <c r="L192" s="92">
        <v>0</v>
      </c>
      <c r="M192" s="81">
        <v>0</v>
      </c>
      <c r="N192" s="133">
        <f t="shared" si="267"/>
        <v>0</v>
      </c>
      <c r="O192" s="71">
        <v>25</v>
      </c>
      <c r="P192" s="71"/>
      <c r="Q192" s="134"/>
      <c r="R192" s="119" t="s">
        <v>173</v>
      </c>
      <c r="S192" s="120" t="s">
        <v>232</v>
      </c>
      <c r="T192" s="135" t="s">
        <v>246</v>
      </c>
      <c r="U192" s="136">
        <v>50</v>
      </c>
      <c r="V192" s="197">
        <v>0</v>
      </c>
      <c r="W192" s="90">
        <v>0</v>
      </c>
      <c r="X192" s="91">
        <v>0</v>
      </c>
      <c r="Y192" s="92">
        <v>0</v>
      </c>
      <c r="Z192" s="81">
        <v>0</v>
      </c>
      <c r="AA192" s="133">
        <f t="shared" si="259"/>
        <v>0</v>
      </c>
      <c r="AB192" s="71">
        <v>50</v>
      </c>
      <c r="AC192" s="136">
        <v>3</v>
      </c>
      <c r="AD192" s="197">
        <v>0</v>
      </c>
      <c r="AE192" s="90">
        <v>0</v>
      </c>
      <c r="AF192" s="91">
        <v>0</v>
      </c>
      <c r="AG192" s="92">
        <v>0</v>
      </c>
      <c r="AH192" s="81">
        <v>0</v>
      </c>
      <c r="AI192" s="133">
        <f t="shared" si="260"/>
        <v>0</v>
      </c>
      <c r="AJ192" s="71">
        <v>3</v>
      </c>
      <c r="AK192" s="137"/>
      <c r="AL192" s="137"/>
      <c r="AM192" s="94"/>
      <c r="AN192" s="137"/>
      <c r="AO192" s="72"/>
      <c r="AP192" s="119" t="s">
        <v>247</v>
      </c>
      <c r="AQ192" s="136">
        <v>3</v>
      </c>
      <c r="AR192" s="122">
        <v>0</v>
      </c>
      <c r="AS192" s="123">
        <v>0</v>
      </c>
      <c r="AT192" s="124">
        <v>3</v>
      </c>
      <c r="AU192" s="137"/>
      <c r="AV192" s="137"/>
      <c r="AW192" s="137" t="s">
        <v>248</v>
      </c>
      <c r="AX192" s="138" t="s">
        <v>68</v>
      </c>
    </row>
    <row r="193" spans="1:50" s="9" customFormat="1" ht="37.5" x14ac:dyDescent="0.25">
      <c r="A193" s="303"/>
      <c r="B193" s="115" t="s">
        <v>224</v>
      </c>
      <c r="C193" s="115" t="s">
        <v>79</v>
      </c>
      <c r="D193" s="117" t="s">
        <v>47</v>
      </c>
      <c r="E193" s="117" t="s">
        <v>75</v>
      </c>
      <c r="F193" s="263"/>
      <c r="G193" s="119" t="s">
        <v>231</v>
      </c>
      <c r="H193" s="119">
        <v>25</v>
      </c>
      <c r="I193" s="89">
        <v>0</v>
      </c>
      <c r="J193" s="90">
        <v>0</v>
      </c>
      <c r="K193" s="91">
        <v>0</v>
      </c>
      <c r="L193" s="92">
        <v>0</v>
      </c>
      <c r="M193" s="81">
        <v>0</v>
      </c>
      <c r="N193" s="133">
        <f t="shared" si="267"/>
        <v>0</v>
      </c>
      <c r="O193" s="71">
        <v>25</v>
      </c>
      <c r="P193" s="71"/>
      <c r="Q193" s="134"/>
      <c r="R193" s="119" t="s">
        <v>51</v>
      </c>
      <c r="S193" s="120" t="s">
        <v>80</v>
      </c>
      <c r="T193" s="135" t="s">
        <v>249</v>
      </c>
      <c r="U193" s="136">
        <v>50</v>
      </c>
      <c r="V193" s="197">
        <v>0</v>
      </c>
      <c r="W193" s="90">
        <v>0</v>
      </c>
      <c r="X193" s="91">
        <v>0</v>
      </c>
      <c r="Y193" s="92">
        <v>0</v>
      </c>
      <c r="Z193" s="81">
        <v>0</v>
      </c>
      <c r="AA193" s="133">
        <f t="shared" si="259"/>
        <v>0</v>
      </c>
      <c r="AB193" s="71">
        <v>50</v>
      </c>
      <c r="AC193" s="136">
        <v>3</v>
      </c>
      <c r="AD193" s="197">
        <v>0</v>
      </c>
      <c r="AE193" s="90">
        <v>0</v>
      </c>
      <c r="AF193" s="91">
        <v>0</v>
      </c>
      <c r="AG193" s="92">
        <v>0</v>
      </c>
      <c r="AH193" s="81">
        <v>0</v>
      </c>
      <c r="AI193" s="133">
        <f t="shared" si="260"/>
        <v>0</v>
      </c>
      <c r="AJ193" s="71">
        <v>3</v>
      </c>
      <c r="AK193" s="137"/>
      <c r="AL193" s="137"/>
      <c r="AM193" s="94"/>
      <c r="AN193" s="137"/>
      <c r="AO193" s="72"/>
      <c r="AP193" s="119" t="s">
        <v>247</v>
      </c>
      <c r="AQ193" s="136">
        <v>3</v>
      </c>
      <c r="AR193" s="122">
        <v>0</v>
      </c>
      <c r="AS193" s="123">
        <v>0</v>
      </c>
      <c r="AT193" s="124">
        <v>3</v>
      </c>
      <c r="AU193" s="137"/>
      <c r="AV193" s="137"/>
      <c r="AW193" s="137" t="s">
        <v>248</v>
      </c>
      <c r="AX193" s="138" t="s">
        <v>68</v>
      </c>
    </row>
    <row r="194" spans="1:50" s="9" customFormat="1" ht="36" x14ac:dyDescent="0.25">
      <c r="A194" s="303"/>
      <c r="B194" s="115" t="s">
        <v>224</v>
      </c>
      <c r="C194" s="115" t="s">
        <v>79</v>
      </c>
      <c r="D194" s="117" t="s">
        <v>47</v>
      </c>
      <c r="E194" s="117" t="s">
        <v>75</v>
      </c>
      <c r="F194" s="263"/>
      <c r="G194" s="119" t="s">
        <v>227</v>
      </c>
      <c r="H194" s="119">
        <v>5</v>
      </c>
      <c r="I194" s="89">
        <v>0</v>
      </c>
      <c r="J194" s="90">
        <v>0</v>
      </c>
      <c r="K194" s="91">
        <v>0</v>
      </c>
      <c r="L194" s="92">
        <v>0</v>
      </c>
      <c r="M194" s="81">
        <v>0</v>
      </c>
      <c r="N194" s="133">
        <f t="shared" si="267"/>
        <v>0</v>
      </c>
      <c r="O194" s="71">
        <v>5</v>
      </c>
      <c r="P194" s="71"/>
      <c r="Q194" s="139"/>
      <c r="R194" s="119" t="s">
        <v>173</v>
      </c>
      <c r="S194" s="120" t="s">
        <v>232</v>
      </c>
      <c r="T194" s="135" t="s">
        <v>246</v>
      </c>
      <c r="U194" s="136">
        <v>10</v>
      </c>
      <c r="V194" s="197">
        <v>0</v>
      </c>
      <c r="W194" s="90">
        <v>0</v>
      </c>
      <c r="X194" s="91">
        <v>0</v>
      </c>
      <c r="Y194" s="92">
        <v>0</v>
      </c>
      <c r="Z194" s="81">
        <v>0</v>
      </c>
      <c r="AA194" s="133">
        <f t="shared" si="259"/>
        <v>0</v>
      </c>
      <c r="AB194" s="71">
        <v>10</v>
      </c>
      <c r="AC194" s="136">
        <v>0</v>
      </c>
      <c r="AD194" s="197">
        <v>0</v>
      </c>
      <c r="AE194" s="90">
        <v>0</v>
      </c>
      <c r="AF194" s="91">
        <v>0</v>
      </c>
      <c r="AG194" s="92">
        <v>0</v>
      </c>
      <c r="AH194" s="81">
        <v>0</v>
      </c>
      <c r="AI194" s="133">
        <f t="shared" si="260"/>
        <v>0</v>
      </c>
      <c r="AJ194" s="71">
        <v>0</v>
      </c>
      <c r="AK194" s="136"/>
      <c r="AL194" s="136"/>
      <c r="AM194" s="72"/>
      <c r="AN194" s="136"/>
      <c r="AO194" s="72"/>
      <c r="AP194" s="119"/>
      <c r="AQ194" s="136">
        <v>0</v>
      </c>
      <c r="AR194" s="122">
        <v>0</v>
      </c>
      <c r="AS194" s="123">
        <v>0</v>
      </c>
      <c r="AT194" s="124">
        <v>0</v>
      </c>
      <c r="AU194" s="136"/>
      <c r="AV194" s="136"/>
      <c r="AW194" s="136"/>
      <c r="AX194" s="138" t="s">
        <v>68</v>
      </c>
    </row>
    <row r="195" spans="1:50" s="9" customFormat="1" ht="37.5" x14ac:dyDescent="0.25">
      <c r="A195" s="303"/>
      <c r="B195" s="115" t="s">
        <v>224</v>
      </c>
      <c r="C195" s="115" t="s">
        <v>79</v>
      </c>
      <c r="D195" s="117" t="s">
        <v>47</v>
      </c>
      <c r="E195" s="117" t="s">
        <v>75</v>
      </c>
      <c r="F195" s="263"/>
      <c r="G195" s="119" t="s">
        <v>227</v>
      </c>
      <c r="H195" s="119">
        <v>5</v>
      </c>
      <c r="I195" s="89">
        <v>0</v>
      </c>
      <c r="J195" s="90">
        <v>0</v>
      </c>
      <c r="K195" s="91">
        <v>0</v>
      </c>
      <c r="L195" s="92">
        <v>0</v>
      </c>
      <c r="M195" s="81">
        <v>0</v>
      </c>
      <c r="N195" s="133">
        <f t="shared" si="267"/>
        <v>0</v>
      </c>
      <c r="O195" s="71">
        <v>5</v>
      </c>
      <c r="P195" s="71"/>
      <c r="Q195" s="139"/>
      <c r="R195" s="119" t="s">
        <v>51</v>
      </c>
      <c r="S195" s="120" t="s">
        <v>80</v>
      </c>
      <c r="T195" s="135" t="s">
        <v>249</v>
      </c>
      <c r="U195" s="136">
        <v>10</v>
      </c>
      <c r="V195" s="197">
        <v>0</v>
      </c>
      <c r="W195" s="90">
        <v>0</v>
      </c>
      <c r="X195" s="91">
        <v>0</v>
      </c>
      <c r="Y195" s="92">
        <v>0</v>
      </c>
      <c r="Z195" s="81">
        <v>0</v>
      </c>
      <c r="AA195" s="133">
        <f t="shared" si="259"/>
        <v>0</v>
      </c>
      <c r="AB195" s="71">
        <v>10</v>
      </c>
      <c r="AC195" s="136">
        <v>0</v>
      </c>
      <c r="AD195" s="197">
        <v>0</v>
      </c>
      <c r="AE195" s="90">
        <v>0</v>
      </c>
      <c r="AF195" s="91">
        <v>0</v>
      </c>
      <c r="AG195" s="92">
        <v>0</v>
      </c>
      <c r="AH195" s="81">
        <v>0</v>
      </c>
      <c r="AI195" s="133">
        <f t="shared" si="260"/>
        <v>0</v>
      </c>
      <c r="AJ195" s="71">
        <v>0</v>
      </c>
      <c r="AK195" s="136"/>
      <c r="AL195" s="136"/>
      <c r="AM195" s="72"/>
      <c r="AN195" s="136"/>
      <c r="AO195" s="72"/>
      <c r="AP195" s="119"/>
      <c r="AQ195" s="136">
        <v>0</v>
      </c>
      <c r="AR195" s="122">
        <v>0</v>
      </c>
      <c r="AS195" s="123">
        <v>0</v>
      </c>
      <c r="AT195" s="124">
        <v>0</v>
      </c>
      <c r="AU195" s="136"/>
      <c r="AV195" s="136"/>
      <c r="AW195" s="136"/>
      <c r="AX195" s="138" t="s">
        <v>68</v>
      </c>
    </row>
    <row r="196" spans="1:50" s="9" customFormat="1" ht="54" x14ac:dyDescent="0.25">
      <c r="A196" s="303"/>
      <c r="B196" s="115" t="s">
        <v>224</v>
      </c>
      <c r="C196" s="115" t="s">
        <v>79</v>
      </c>
      <c r="D196" s="117" t="s">
        <v>47</v>
      </c>
      <c r="E196" s="117" t="s">
        <v>75</v>
      </c>
      <c r="F196" s="260"/>
      <c r="G196" s="119" t="s">
        <v>172</v>
      </c>
      <c r="H196" s="136">
        <v>15</v>
      </c>
      <c r="I196" s="89">
        <v>0</v>
      </c>
      <c r="J196" s="90">
        <v>0</v>
      </c>
      <c r="K196" s="91">
        <v>0</v>
      </c>
      <c r="L196" s="92">
        <v>0</v>
      </c>
      <c r="M196" s="81">
        <v>0</v>
      </c>
      <c r="N196" s="133">
        <f t="shared" si="267"/>
        <v>0</v>
      </c>
      <c r="O196" s="71">
        <v>15</v>
      </c>
      <c r="P196" s="71"/>
      <c r="Q196" s="139"/>
      <c r="R196" s="119" t="s">
        <v>173</v>
      </c>
      <c r="S196" s="120" t="s">
        <v>232</v>
      </c>
      <c r="T196" s="135" t="s">
        <v>250</v>
      </c>
      <c r="U196" s="136">
        <v>30</v>
      </c>
      <c r="V196" s="197">
        <v>0</v>
      </c>
      <c r="W196" s="90">
        <v>0</v>
      </c>
      <c r="X196" s="91">
        <v>0</v>
      </c>
      <c r="Y196" s="92">
        <v>0</v>
      </c>
      <c r="Z196" s="81">
        <v>0</v>
      </c>
      <c r="AA196" s="133">
        <f t="shared" ref="AA196:AA259" si="330">SUM(V196:Z196)</f>
        <v>0</v>
      </c>
      <c r="AB196" s="71">
        <v>30</v>
      </c>
      <c r="AC196" s="136">
        <v>5</v>
      </c>
      <c r="AD196" s="197">
        <v>0</v>
      </c>
      <c r="AE196" s="90">
        <v>0</v>
      </c>
      <c r="AF196" s="91">
        <v>0</v>
      </c>
      <c r="AG196" s="92">
        <v>0</v>
      </c>
      <c r="AH196" s="81">
        <v>0</v>
      </c>
      <c r="AI196" s="133">
        <f t="shared" ref="AI196:AI259" si="331">SUM(AD196:AH196)</f>
        <v>0</v>
      </c>
      <c r="AJ196" s="71">
        <v>5</v>
      </c>
      <c r="AK196" s="136"/>
      <c r="AL196" s="136"/>
      <c r="AM196" s="72"/>
      <c r="AN196" s="136"/>
      <c r="AO196" s="72"/>
      <c r="AP196" s="119" t="s">
        <v>247</v>
      </c>
      <c r="AQ196" s="136">
        <v>5</v>
      </c>
      <c r="AR196" s="122">
        <v>0</v>
      </c>
      <c r="AS196" s="123">
        <v>0</v>
      </c>
      <c r="AT196" s="124">
        <v>5</v>
      </c>
      <c r="AU196" s="136"/>
      <c r="AV196" s="136"/>
      <c r="AW196" s="136" t="s">
        <v>248</v>
      </c>
      <c r="AX196" s="138" t="s">
        <v>68</v>
      </c>
    </row>
    <row r="197" spans="1:50" s="9" customFormat="1" ht="36" x14ac:dyDescent="0.25">
      <c r="A197" s="303"/>
      <c r="B197" s="115" t="s">
        <v>224</v>
      </c>
      <c r="C197" s="115" t="s">
        <v>79</v>
      </c>
      <c r="D197" s="117" t="s">
        <v>47</v>
      </c>
      <c r="E197" s="117" t="s">
        <v>75</v>
      </c>
      <c r="F197" s="127" t="s">
        <v>61</v>
      </c>
      <c r="G197" s="127"/>
      <c r="H197" s="127">
        <f>SUBTOTAL(9,H192:H196)</f>
        <v>75</v>
      </c>
      <c r="I197" s="127">
        <f t="shared" ref="I197" si="332">SUBTOTAL(9,I192:I196)</f>
        <v>0</v>
      </c>
      <c r="J197" s="127">
        <f t="shared" ref="J197:O197" si="333">SUBTOTAL(9,J192:J196)</f>
        <v>0</v>
      </c>
      <c r="K197" s="127">
        <f t="shared" si="333"/>
        <v>0</v>
      </c>
      <c r="L197" s="127">
        <f t="shared" si="333"/>
        <v>0</v>
      </c>
      <c r="M197" s="127">
        <f t="shared" si="333"/>
        <v>0</v>
      </c>
      <c r="N197" s="127">
        <f t="shared" si="267"/>
        <v>0</v>
      </c>
      <c r="O197" s="127">
        <f t="shared" si="333"/>
        <v>75</v>
      </c>
      <c r="P197" s="128"/>
      <c r="Q197" s="127"/>
      <c r="R197" s="129"/>
      <c r="S197" s="127"/>
      <c r="T197" s="130"/>
      <c r="U197" s="128">
        <f>SUBTOTAL(9,U192:U196)</f>
        <v>150</v>
      </c>
      <c r="V197" s="128">
        <f t="shared" ref="V197" si="334">SUBTOTAL(9,V192:V196)</f>
        <v>0</v>
      </c>
      <c r="W197" s="128">
        <f t="shared" ref="W197:AJ197" si="335">SUBTOTAL(9,W192:W196)</f>
        <v>0</v>
      </c>
      <c r="X197" s="128">
        <f t="shared" si="335"/>
        <v>0</v>
      </c>
      <c r="Y197" s="128">
        <f t="shared" si="335"/>
        <v>0</v>
      </c>
      <c r="Z197" s="128">
        <f t="shared" si="335"/>
        <v>0</v>
      </c>
      <c r="AA197" s="128">
        <f t="shared" si="330"/>
        <v>0</v>
      </c>
      <c r="AB197" s="128">
        <f t="shared" si="335"/>
        <v>150</v>
      </c>
      <c r="AC197" s="128">
        <f t="shared" si="335"/>
        <v>11</v>
      </c>
      <c r="AD197" s="128">
        <f t="shared" si="335"/>
        <v>0</v>
      </c>
      <c r="AE197" s="128">
        <f t="shared" si="335"/>
        <v>0</v>
      </c>
      <c r="AF197" s="128">
        <f t="shared" si="335"/>
        <v>0</v>
      </c>
      <c r="AG197" s="128">
        <f t="shared" ref="AG197" si="336">SUBTOTAL(9,AG192:AG196)</f>
        <v>0</v>
      </c>
      <c r="AH197" s="128">
        <f t="shared" si="335"/>
        <v>0</v>
      </c>
      <c r="AI197" s="128">
        <f t="shared" si="331"/>
        <v>0</v>
      </c>
      <c r="AJ197" s="128">
        <f t="shared" si="335"/>
        <v>11</v>
      </c>
      <c r="AK197" s="127"/>
      <c r="AL197" s="127"/>
      <c r="AM197" s="127"/>
      <c r="AN197" s="127"/>
      <c r="AO197" s="128"/>
      <c r="AP197" s="127"/>
      <c r="AQ197" s="128">
        <f>SUBTOTAL(9,AQ192:AQ196)</f>
        <v>11</v>
      </c>
      <c r="AR197" s="128">
        <f t="shared" ref="AR197:AT197" si="337">SUBTOTAL(9,AR192:AR196)</f>
        <v>0</v>
      </c>
      <c r="AS197" s="128">
        <f t="shared" si="337"/>
        <v>0</v>
      </c>
      <c r="AT197" s="128">
        <f t="shared" si="337"/>
        <v>11</v>
      </c>
      <c r="AU197" s="129"/>
      <c r="AV197" s="127"/>
      <c r="AW197" s="127"/>
      <c r="AX197" s="127" t="s">
        <v>68</v>
      </c>
    </row>
    <row r="198" spans="1:50" s="9" customFormat="1" ht="54" customHeight="1" x14ac:dyDescent="0.25">
      <c r="A198" s="304"/>
      <c r="B198" s="115" t="s">
        <v>224</v>
      </c>
      <c r="C198" s="115" t="s">
        <v>251</v>
      </c>
      <c r="D198" s="117" t="s">
        <v>47</v>
      </c>
      <c r="E198" s="117" t="s">
        <v>48</v>
      </c>
      <c r="F198" s="251" t="s">
        <v>49</v>
      </c>
      <c r="G198" s="119" t="s">
        <v>231</v>
      </c>
      <c r="H198" s="251">
        <v>5</v>
      </c>
      <c r="I198" s="219">
        <v>0</v>
      </c>
      <c r="J198" s="220">
        <v>0</v>
      </c>
      <c r="K198" s="221">
        <v>0</v>
      </c>
      <c r="L198" s="222">
        <v>0</v>
      </c>
      <c r="M198" s="223">
        <v>0</v>
      </c>
      <c r="N198" s="214">
        <f t="shared" si="267"/>
        <v>0</v>
      </c>
      <c r="O198" s="216">
        <v>5</v>
      </c>
      <c r="P198" s="35"/>
      <c r="Q198" s="251"/>
      <c r="R198" s="119" t="s">
        <v>51</v>
      </c>
      <c r="S198" s="120" t="s">
        <v>252</v>
      </c>
      <c r="T198" s="119" t="s">
        <v>84</v>
      </c>
      <c r="U198" s="121" t="s">
        <v>85</v>
      </c>
      <c r="V198" s="247">
        <v>0</v>
      </c>
      <c r="W198" s="220">
        <v>0</v>
      </c>
      <c r="X198" s="221">
        <v>0</v>
      </c>
      <c r="Y198" s="222">
        <v>0</v>
      </c>
      <c r="Z198" s="223">
        <v>0</v>
      </c>
      <c r="AA198" s="34">
        <f t="shared" si="330"/>
        <v>0</v>
      </c>
      <c r="AB198" s="35" t="s">
        <v>85</v>
      </c>
      <c r="AC198" s="121">
        <v>5</v>
      </c>
      <c r="AD198" s="195">
        <v>0</v>
      </c>
      <c r="AE198" s="38">
        <v>0</v>
      </c>
      <c r="AF198" s="39">
        <v>0</v>
      </c>
      <c r="AG198" s="222">
        <v>0</v>
      </c>
      <c r="AH198" s="41">
        <v>0</v>
      </c>
      <c r="AI198" s="34">
        <f t="shared" si="331"/>
        <v>0</v>
      </c>
      <c r="AJ198" s="35">
        <v>5</v>
      </c>
      <c r="AK198" s="119">
        <v>5</v>
      </c>
      <c r="AL198" s="119"/>
      <c r="AM198" s="46"/>
      <c r="AN198" s="119"/>
      <c r="AO198" s="35"/>
      <c r="AP198" s="119" t="s">
        <v>253</v>
      </c>
      <c r="AQ198" s="121">
        <v>5</v>
      </c>
      <c r="AR198" s="122">
        <v>0</v>
      </c>
      <c r="AS198" s="123">
        <v>0</v>
      </c>
      <c r="AT198" s="124">
        <v>5</v>
      </c>
      <c r="AU198" s="251"/>
      <c r="AV198" s="251"/>
      <c r="AW198" s="119"/>
      <c r="AX198" s="117" t="s">
        <v>87</v>
      </c>
    </row>
    <row r="199" spans="1:50" s="9" customFormat="1" ht="54" customHeight="1" x14ac:dyDescent="0.25">
      <c r="A199" s="304"/>
      <c r="B199" s="115" t="s">
        <v>224</v>
      </c>
      <c r="C199" s="115" t="s">
        <v>251</v>
      </c>
      <c r="D199" s="117" t="s">
        <v>47</v>
      </c>
      <c r="E199" s="117" t="s">
        <v>48</v>
      </c>
      <c r="F199" s="251"/>
      <c r="G199" s="119" t="s">
        <v>231</v>
      </c>
      <c r="H199" s="251"/>
      <c r="I199" s="204"/>
      <c r="J199" s="206"/>
      <c r="K199" s="208"/>
      <c r="L199" s="210"/>
      <c r="M199" s="212"/>
      <c r="N199" s="214">
        <f t="shared" si="267"/>
        <v>0</v>
      </c>
      <c r="O199" s="216"/>
      <c r="P199" s="35"/>
      <c r="Q199" s="251"/>
      <c r="R199" s="119" t="s">
        <v>56</v>
      </c>
      <c r="S199" s="120" t="s">
        <v>254</v>
      </c>
      <c r="T199" s="251" t="s">
        <v>255</v>
      </c>
      <c r="U199" s="256" t="s">
        <v>85</v>
      </c>
      <c r="V199" s="262"/>
      <c r="W199" s="206"/>
      <c r="X199" s="208"/>
      <c r="Y199" s="210"/>
      <c r="Z199" s="212"/>
      <c r="AA199" s="214">
        <f t="shared" si="330"/>
        <v>0</v>
      </c>
      <c r="AB199" s="216" t="s">
        <v>85</v>
      </c>
      <c r="AC199" s="256" t="s">
        <v>85</v>
      </c>
      <c r="AD199" s="261">
        <v>0</v>
      </c>
      <c r="AE199" s="264">
        <v>0</v>
      </c>
      <c r="AF199" s="265">
        <v>0</v>
      </c>
      <c r="AG199" s="210"/>
      <c r="AH199" s="266">
        <v>0</v>
      </c>
      <c r="AI199" s="214">
        <f t="shared" si="331"/>
        <v>0</v>
      </c>
      <c r="AJ199" s="216">
        <v>0</v>
      </c>
      <c r="AK199" s="251"/>
      <c r="AL199" s="251" t="s">
        <v>256</v>
      </c>
      <c r="AM199" s="218">
        <v>10</v>
      </c>
      <c r="AN199" s="251">
        <v>10</v>
      </c>
      <c r="AO199" s="216"/>
      <c r="AP199" s="119" t="s">
        <v>58</v>
      </c>
      <c r="AQ199" s="121">
        <v>15</v>
      </c>
      <c r="AR199" s="122">
        <v>0</v>
      </c>
      <c r="AS199" s="123">
        <v>0</v>
      </c>
      <c r="AT199" s="124">
        <v>15</v>
      </c>
      <c r="AU199" s="251"/>
      <c r="AV199" s="251"/>
      <c r="AW199" s="119"/>
      <c r="AX199" s="117" t="s">
        <v>126</v>
      </c>
    </row>
    <row r="200" spans="1:50" s="9" customFormat="1" ht="54" customHeight="1" x14ac:dyDescent="0.25">
      <c r="A200" s="304"/>
      <c r="B200" s="115" t="s">
        <v>224</v>
      </c>
      <c r="C200" s="115" t="s">
        <v>251</v>
      </c>
      <c r="D200" s="117" t="s">
        <v>47</v>
      </c>
      <c r="E200" s="117" t="s">
        <v>48</v>
      </c>
      <c r="F200" s="251"/>
      <c r="G200" s="119" t="s">
        <v>231</v>
      </c>
      <c r="H200" s="251"/>
      <c r="I200" s="205"/>
      <c r="J200" s="207"/>
      <c r="K200" s="209"/>
      <c r="L200" s="211"/>
      <c r="M200" s="213"/>
      <c r="N200" s="214">
        <f t="shared" si="267"/>
        <v>0</v>
      </c>
      <c r="O200" s="216"/>
      <c r="P200" s="35"/>
      <c r="Q200" s="251"/>
      <c r="R200" s="119" t="s">
        <v>56</v>
      </c>
      <c r="S200" s="120" t="s">
        <v>254</v>
      </c>
      <c r="T200" s="251"/>
      <c r="U200" s="256"/>
      <c r="V200" s="248"/>
      <c r="W200" s="207"/>
      <c r="X200" s="209"/>
      <c r="Y200" s="211"/>
      <c r="Z200" s="213"/>
      <c r="AA200" s="214">
        <f t="shared" si="330"/>
        <v>0</v>
      </c>
      <c r="AB200" s="216"/>
      <c r="AC200" s="256"/>
      <c r="AD200" s="261"/>
      <c r="AE200" s="264"/>
      <c r="AF200" s="265"/>
      <c r="AG200" s="211"/>
      <c r="AH200" s="266"/>
      <c r="AI200" s="214">
        <f t="shared" si="331"/>
        <v>0</v>
      </c>
      <c r="AJ200" s="216"/>
      <c r="AK200" s="251"/>
      <c r="AL200" s="251"/>
      <c r="AM200" s="218"/>
      <c r="AN200" s="251"/>
      <c r="AO200" s="216"/>
      <c r="AP200" s="119" t="s">
        <v>127</v>
      </c>
      <c r="AQ200" s="121">
        <v>8</v>
      </c>
      <c r="AR200" s="122">
        <v>0</v>
      </c>
      <c r="AS200" s="123">
        <v>0</v>
      </c>
      <c r="AT200" s="124">
        <v>8</v>
      </c>
      <c r="AU200" s="251"/>
      <c r="AV200" s="251"/>
      <c r="AW200" s="119"/>
      <c r="AX200" s="117" t="s">
        <v>126</v>
      </c>
    </row>
    <row r="201" spans="1:50" s="9" customFormat="1" ht="72" x14ac:dyDescent="0.25">
      <c r="A201" s="304"/>
      <c r="B201" s="115" t="s">
        <v>224</v>
      </c>
      <c r="C201" s="115" t="s">
        <v>251</v>
      </c>
      <c r="D201" s="117" t="s">
        <v>47</v>
      </c>
      <c r="E201" s="117" t="s">
        <v>48</v>
      </c>
      <c r="F201" s="251"/>
      <c r="G201" s="119" t="s">
        <v>178</v>
      </c>
      <c r="H201" s="251">
        <v>300</v>
      </c>
      <c r="I201" s="219">
        <v>0</v>
      </c>
      <c r="J201" s="220">
        <v>10</v>
      </c>
      <c r="K201" s="221">
        <v>110</v>
      </c>
      <c r="L201" s="222">
        <v>30</v>
      </c>
      <c r="M201" s="223">
        <v>0</v>
      </c>
      <c r="N201" s="214">
        <f t="shared" ref="N201:N264" si="338">SUM(I201:M201)</f>
        <v>150</v>
      </c>
      <c r="O201" s="216">
        <v>150</v>
      </c>
      <c r="P201" s="35"/>
      <c r="Q201" s="251"/>
      <c r="R201" s="119" t="s">
        <v>51</v>
      </c>
      <c r="S201" s="120" t="s">
        <v>257</v>
      </c>
      <c r="T201" s="119" t="s">
        <v>53</v>
      </c>
      <c r="U201" s="121" t="s">
        <v>85</v>
      </c>
      <c r="V201" s="247">
        <v>0</v>
      </c>
      <c r="W201" s="220">
        <v>0</v>
      </c>
      <c r="X201" s="221">
        <v>0</v>
      </c>
      <c r="Y201" s="222">
        <v>30</v>
      </c>
      <c r="Z201" s="223">
        <v>0</v>
      </c>
      <c r="AA201" s="34">
        <f t="shared" si="330"/>
        <v>30</v>
      </c>
      <c r="AB201" s="35" t="s">
        <v>85</v>
      </c>
      <c r="AC201" s="121">
        <v>300</v>
      </c>
      <c r="AD201" s="195">
        <v>0</v>
      </c>
      <c r="AE201" s="38">
        <v>50</v>
      </c>
      <c r="AF201" s="39">
        <v>110</v>
      </c>
      <c r="AG201" s="222">
        <v>0</v>
      </c>
      <c r="AH201" s="41">
        <v>0</v>
      </c>
      <c r="AI201" s="34">
        <f t="shared" si="331"/>
        <v>160</v>
      </c>
      <c r="AJ201" s="35">
        <v>150</v>
      </c>
      <c r="AK201" s="119">
        <v>300</v>
      </c>
      <c r="AL201" s="119"/>
      <c r="AM201" s="46"/>
      <c r="AN201" s="119"/>
      <c r="AO201" s="35"/>
      <c r="AP201" s="119" t="s">
        <v>253</v>
      </c>
      <c r="AQ201" s="121">
        <v>300</v>
      </c>
      <c r="AR201" s="122">
        <v>0</v>
      </c>
      <c r="AS201" s="123">
        <v>0</v>
      </c>
      <c r="AT201" s="124">
        <v>300</v>
      </c>
      <c r="AU201" s="251"/>
      <c r="AV201" s="251"/>
      <c r="AW201" s="119"/>
      <c r="AX201" s="117" t="s">
        <v>87</v>
      </c>
    </row>
    <row r="202" spans="1:50" s="9" customFormat="1" ht="54" customHeight="1" x14ac:dyDescent="0.25">
      <c r="A202" s="304"/>
      <c r="B202" s="115" t="s">
        <v>224</v>
      </c>
      <c r="C202" s="115" t="s">
        <v>251</v>
      </c>
      <c r="D202" s="117" t="s">
        <v>47</v>
      </c>
      <c r="E202" s="117" t="s">
        <v>48</v>
      </c>
      <c r="F202" s="251"/>
      <c r="G202" s="119" t="s">
        <v>178</v>
      </c>
      <c r="H202" s="251"/>
      <c r="I202" s="204"/>
      <c r="J202" s="206"/>
      <c r="K202" s="208"/>
      <c r="L202" s="210"/>
      <c r="M202" s="212"/>
      <c r="N202" s="214">
        <f t="shared" si="338"/>
        <v>0</v>
      </c>
      <c r="O202" s="216"/>
      <c r="P202" s="35"/>
      <c r="Q202" s="251"/>
      <c r="R202" s="119" t="s">
        <v>56</v>
      </c>
      <c r="S202" s="120" t="s">
        <v>254</v>
      </c>
      <c r="T202" s="251" t="s">
        <v>255</v>
      </c>
      <c r="U202" s="256" t="s">
        <v>85</v>
      </c>
      <c r="V202" s="262"/>
      <c r="W202" s="206"/>
      <c r="X202" s="208"/>
      <c r="Y202" s="210"/>
      <c r="Z202" s="212"/>
      <c r="AA202" s="214">
        <f t="shared" si="330"/>
        <v>0</v>
      </c>
      <c r="AB202" s="216" t="s">
        <v>85</v>
      </c>
      <c r="AC202" s="256" t="s">
        <v>85</v>
      </c>
      <c r="AD202" s="261">
        <v>0</v>
      </c>
      <c r="AE202" s="264">
        <v>0</v>
      </c>
      <c r="AF202" s="265">
        <v>0</v>
      </c>
      <c r="AG202" s="210"/>
      <c r="AH202" s="266">
        <v>0</v>
      </c>
      <c r="AI202" s="214">
        <f t="shared" si="331"/>
        <v>0</v>
      </c>
      <c r="AJ202" s="216">
        <v>0</v>
      </c>
      <c r="AK202" s="251"/>
      <c r="AL202" s="251" t="s">
        <v>256</v>
      </c>
      <c r="AM202" s="218">
        <v>25</v>
      </c>
      <c r="AN202" s="251">
        <v>25</v>
      </c>
      <c r="AO202" s="216"/>
      <c r="AP202" s="119" t="s">
        <v>58</v>
      </c>
      <c r="AQ202" s="121">
        <v>60</v>
      </c>
      <c r="AR202" s="122">
        <v>0</v>
      </c>
      <c r="AS202" s="123">
        <v>0</v>
      </c>
      <c r="AT202" s="124">
        <v>60</v>
      </c>
      <c r="AU202" s="251"/>
      <c r="AV202" s="251"/>
      <c r="AW202" s="119"/>
      <c r="AX202" s="117" t="s">
        <v>126</v>
      </c>
    </row>
    <row r="203" spans="1:50" s="9" customFormat="1" ht="54" customHeight="1" x14ac:dyDescent="0.25">
      <c r="A203" s="304"/>
      <c r="B203" s="115" t="s">
        <v>224</v>
      </c>
      <c r="C203" s="115" t="s">
        <v>251</v>
      </c>
      <c r="D203" s="117" t="s">
        <v>47</v>
      </c>
      <c r="E203" s="117" t="s">
        <v>48</v>
      </c>
      <c r="F203" s="251"/>
      <c r="G203" s="119" t="s">
        <v>178</v>
      </c>
      <c r="H203" s="251"/>
      <c r="I203" s="205"/>
      <c r="J203" s="207"/>
      <c r="K203" s="209"/>
      <c r="L203" s="211"/>
      <c r="M203" s="213"/>
      <c r="N203" s="214">
        <f t="shared" si="338"/>
        <v>0</v>
      </c>
      <c r="O203" s="216"/>
      <c r="P203" s="35"/>
      <c r="Q203" s="251"/>
      <c r="R203" s="119" t="s">
        <v>56</v>
      </c>
      <c r="S203" s="120" t="s">
        <v>254</v>
      </c>
      <c r="T203" s="251"/>
      <c r="U203" s="256"/>
      <c r="V203" s="248"/>
      <c r="W203" s="207"/>
      <c r="X203" s="209"/>
      <c r="Y203" s="211"/>
      <c r="Z203" s="213"/>
      <c r="AA203" s="214">
        <f t="shared" si="330"/>
        <v>0</v>
      </c>
      <c r="AB203" s="216"/>
      <c r="AC203" s="256"/>
      <c r="AD203" s="261"/>
      <c r="AE203" s="264"/>
      <c r="AF203" s="265"/>
      <c r="AG203" s="211"/>
      <c r="AH203" s="266"/>
      <c r="AI203" s="214">
        <f t="shared" si="331"/>
        <v>0</v>
      </c>
      <c r="AJ203" s="216"/>
      <c r="AK203" s="251"/>
      <c r="AL203" s="251"/>
      <c r="AM203" s="218"/>
      <c r="AN203" s="251"/>
      <c r="AO203" s="216"/>
      <c r="AP203" s="119" t="s">
        <v>127</v>
      </c>
      <c r="AQ203" s="121">
        <v>30</v>
      </c>
      <c r="AR203" s="122">
        <v>0</v>
      </c>
      <c r="AS203" s="123">
        <v>0</v>
      </c>
      <c r="AT203" s="124">
        <v>30</v>
      </c>
      <c r="AU203" s="251"/>
      <c r="AV203" s="251"/>
      <c r="AW203" s="119"/>
      <c r="AX203" s="117" t="s">
        <v>126</v>
      </c>
    </row>
    <row r="204" spans="1:50" s="9" customFormat="1" ht="75" x14ac:dyDescent="0.25">
      <c r="A204" s="304"/>
      <c r="B204" s="115" t="s">
        <v>224</v>
      </c>
      <c r="C204" s="115" t="s">
        <v>251</v>
      </c>
      <c r="D204" s="117" t="s">
        <v>47</v>
      </c>
      <c r="E204" s="117" t="s">
        <v>48</v>
      </c>
      <c r="F204" s="251"/>
      <c r="G204" s="119" t="s">
        <v>227</v>
      </c>
      <c r="H204" s="251">
        <v>100</v>
      </c>
      <c r="I204" s="219">
        <v>0</v>
      </c>
      <c r="J204" s="220">
        <v>0</v>
      </c>
      <c r="K204" s="221">
        <v>40</v>
      </c>
      <c r="L204" s="222">
        <v>10</v>
      </c>
      <c r="M204" s="223">
        <v>0</v>
      </c>
      <c r="N204" s="214">
        <f t="shared" si="338"/>
        <v>50</v>
      </c>
      <c r="O204" s="216">
        <v>50</v>
      </c>
      <c r="P204" s="35"/>
      <c r="Q204" s="251"/>
      <c r="R204" s="119" t="s">
        <v>51</v>
      </c>
      <c r="S204" s="120" t="s">
        <v>258</v>
      </c>
      <c r="T204" s="119" t="s">
        <v>53</v>
      </c>
      <c r="U204" s="121" t="s">
        <v>85</v>
      </c>
      <c r="V204" s="247">
        <v>0</v>
      </c>
      <c r="W204" s="220">
        <v>0</v>
      </c>
      <c r="X204" s="221">
        <v>0</v>
      </c>
      <c r="Y204" s="222">
        <v>10</v>
      </c>
      <c r="Z204" s="223">
        <v>0</v>
      </c>
      <c r="AA204" s="34">
        <f t="shared" si="330"/>
        <v>10</v>
      </c>
      <c r="AB204" s="35" t="s">
        <v>85</v>
      </c>
      <c r="AC204" s="121">
        <v>100</v>
      </c>
      <c r="AD204" s="195">
        <v>0</v>
      </c>
      <c r="AE204" s="38">
        <v>0</v>
      </c>
      <c r="AF204" s="39">
        <v>40</v>
      </c>
      <c r="AG204" s="222">
        <v>0</v>
      </c>
      <c r="AH204" s="41">
        <v>0</v>
      </c>
      <c r="AI204" s="34">
        <f t="shared" si="331"/>
        <v>40</v>
      </c>
      <c r="AJ204" s="35">
        <v>50</v>
      </c>
      <c r="AK204" s="119">
        <v>100</v>
      </c>
      <c r="AL204" s="119"/>
      <c r="AM204" s="46"/>
      <c r="AN204" s="119"/>
      <c r="AO204" s="35"/>
      <c r="AP204" s="119" t="s">
        <v>253</v>
      </c>
      <c r="AQ204" s="121">
        <v>105</v>
      </c>
      <c r="AR204" s="122">
        <v>0</v>
      </c>
      <c r="AS204" s="123">
        <v>0</v>
      </c>
      <c r="AT204" s="124">
        <v>105</v>
      </c>
      <c r="AU204" s="251"/>
      <c r="AV204" s="251"/>
      <c r="AW204" s="119"/>
      <c r="AX204" s="117" t="s">
        <v>87</v>
      </c>
    </row>
    <row r="205" spans="1:50" s="9" customFormat="1" ht="54" customHeight="1" x14ac:dyDescent="0.25">
      <c r="A205" s="304"/>
      <c r="B205" s="115" t="s">
        <v>224</v>
      </c>
      <c r="C205" s="115" t="s">
        <v>251</v>
      </c>
      <c r="D205" s="117" t="s">
        <v>47</v>
      </c>
      <c r="E205" s="117" t="s">
        <v>48</v>
      </c>
      <c r="F205" s="251"/>
      <c r="G205" s="119" t="s">
        <v>227</v>
      </c>
      <c r="H205" s="251"/>
      <c r="I205" s="204"/>
      <c r="J205" s="206"/>
      <c r="K205" s="208"/>
      <c r="L205" s="210"/>
      <c r="M205" s="212"/>
      <c r="N205" s="214">
        <f t="shared" si="338"/>
        <v>0</v>
      </c>
      <c r="O205" s="216"/>
      <c r="P205" s="35"/>
      <c r="Q205" s="251"/>
      <c r="R205" s="119" t="s">
        <v>56</v>
      </c>
      <c r="S205" s="120" t="s">
        <v>254</v>
      </c>
      <c r="T205" s="251" t="s">
        <v>255</v>
      </c>
      <c r="U205" s="256" t="s">
        <v>85</v>
      </c>
      <c r="V205" s="262"/>
      <c r="W205" s="206"/>
      <c r="X205" s="208"/>
      <c r="Y205" s="210"/>
      <c r="Z205" s="212"/>
      <c r="AA205" s="214">
        <f t="shared" si="330"/>
        <v>0</v>
      </c>
      <c r="AB205" s="216" t="s">
        <v>85</v>
      </c>
      <c r="AC205" s="256" t="s">
        <v>85</v>
      </c>
      <c r="AD205" s="261">
        <v>0</v>
      </c>
      <c r="AE205" s="264">
        <v>0</v>
      </c>
      <c r="AF205" s="265">
        <v>0</v>
      </c>
      <c r="AG205" s="210"/>
      <c r="AH205" s="266">
        <v>0</v>
      </c>
      <c r="AI205" s="214">
        <f t="shared" si="331"/>
        <v>0</v>
      </c>
      <c r="AJ205" s="216">
        <v>0</v>
      </c>
      <c r="AK205" s="251"/>
      <c r="AL205" s="251" t="s">
        <v>256</v>
      </c>
      <c r="AM205" s="218">
        <v>25</v>
      </c>
      <c r="AN205" s="251">
        <v>25</v>
      </c>
      <c r="AO205" s="216"/>
      <c r="AP205" s="119" t="s">
        <v>58</v>
      </c>
      <c r="AQ205" s="121">
        <v>60</v>
      </c>
      <c r="AR205" s="122">
        <v>0</v>
      </c>
      <c r="AS205" s="123">
        <v>0</v>
      </c>
      <c r="AT205" s="124">
        <v>60</v>
      </c>
      <c r="AU205" s="251"/>
      <c r="AV205" s="251"/>
      <c r="AW205" s="119"/>
      <c r="AX205" s="117" t="s">
        <v>126</v>
      </c>
    </row>
    <row r="206" spans="1:50" s="9" customFormat="1" ht="54" customHeight="1" x14ac:dyDescent="0.25">
      <c r="A206" s="304"/>
      <c r="B206" s="115" t="s">
        <v>224</v>
      </c>
      <c r="C206" s="115" t="s">
        <v>251</v>
      </c>
      <c r="D206" s="117" t="s">
        <v>47</v>
      </c>
      <c r="E206" s="117" t="s">
        <v>48</v>
      </c>
      <c r="F206" s="251"/>
      <c r="G206" s="119" t="s">
        <v>227</v>
      </c>
      <c r="H206" s="251"/>
      <c r="I206" s="205"/>
      <c r="J206" s="207"/>
      <c r="K206" s="209"/>
      <c r="L206" s="211"/>
      <c r="M206" s="213"/>
      <c r="N206" s="214">
        <f t="shared" si="338"/>
        <v>0</v>
      </c>
      <c r="O206" s="216"/>
      <c r="P206" s="35"/>
      <c r="Q206" s="251"/>
      <c r="R206" s="119" t="s">
        <v>56</v>
      </c>
      <c r="S206" s="120" t="s">
        <v>254</v>
      </c>
      <c r="T206" s="251"/>
      <c r="U206" s="256"/>
      <c r="V206" s="248"/>
      <c r="W206" s="207"/>
      <c r="X206" s="209"/>
      <c r="Y206" s="211"/>
      <c r="Z206" s="213"/>
      <c r="AA206" s="214">
        <f t="shared" si="330"/>
        <v>0</v>
      </c>
      <c r="AB206" s="216"/>
      <c r="AC206" s="256"/>
      <c r="AD206" s="261"/>
      <c r="AE206" s="264"/>
      <c r="AF206" s="265"/>
      <c r="AG206" s="211"/>
      <c r="AH206" s="266"/>
      <c r="AI206" s="214">
        <f t="shared" si="331"/>
        <v>0</v>
      </c>
      <c r="AJ206" s="216"/>
      <c r="AK206" s="251"/>
      <c r="AL206" s="251"/>
      <c r="AM206" s="218"/>
      <c r="AN206" s="251"/>
      <c r="AO206" s="216"/>
      <c r="AP206" s="119" t="s">
        <v>127</v>
      </c>
      <c r="AQ206" s="121">
        <v>30</v>
      </c>
      <c r="AR206" s="122">
        <v>0</v>
      </c>
      <c r="AS206" s="123">
        <v>0</v>
      </c>
      <c r="AT206" s="124">
        <v>30</v>
      </c>
      <c r="AU206" s="251"/>
      <c r="AV206" s="251"/>
      <c r="AW206" s="119"/>
      <c r="AX206" s="117" t="s">
        <v>126</v>
      </c>
    </row>
    <row r="207" spans="1:50" s="9" customFormat="1" ht="72" customHeight="1" x14ac:dyDescent="0.25">
      <c r="A207" s="304"/>
      <c r="B207" s="115" t="s">
        <v>224</v>
      </c>
      <c r="C207" s="115" t="s">
        <v>251</v>
      </c>
      <c r="D207" s="117" t="s">
        <v>47</v>
      </c>
      <c r="E207" s="117" t="s">
        <v>48</v>
      </c>
      <c r="F207" s="251"/>
      <c r="G207" s="119" t="s">
        <v>228</v>
      </c>
      <c r="H207" s="251">
        <v>50</v>
      </c>
      <c r="I207" s="219">
        <v>0</v>
      </c>
      <c r="J207" s="220">
        <v>10</v>
      </c>
      <c r="K207" s="221">
        <v>15</v>
      </c>
      <c r="L207" s="222">
        <v>5</v>
      </c>
      <c r="M207" s="223">
        <v>0</v>
      </c>
      <c r="N207" s="214">
        <f t="shared" si="338"/>
        <v>30</v>
      </c>
      <c r="O207" s="216">
        <v>20</v>
      </c>
      <c r="P207" s="35"/>
      <c r="Q207" s="251"/>
      <c r="R207" s="119" t="s">
        <v>51</v>
      </c>
      <c r="S207" s="120" t="s">
        <v>259</v>
      </c>
      <c r="T207" s="119" t="s">
        <v>53</v>
      </c>
      <c r="U207" s="121" t="s">
        <v>85</v>
      </c>
      <c r="V207" s="247">
        <v>0</v>
      </c>
      <c r="W207" s="220">
        <v>0</v>
      </c>
      <c r="X207" s="221">
        <v>0</v>
      </c>
      <c r="Y207" s="222">
        <v>5</v>
      </c>
      <c r="Z207" s="223">
        <v>0</v>
      </c>
      <c r="AA207" s="34">
        <f t="shared" si="330"/>
        <v>5</v>
      </c>
      <c r="AB207" s="35" t="s">
        <v>85</v>
      </c>
      <c r="AC207" s="121">
        <v>50</v>
      </c>
      <c r="AD207" s="195">
        <v>0</v>
      </c>
      <c r="AE207" s="38">
        <v>60</v>
      </c>
      <c r="AF207" s="39">
        <v>15</v>
      </c>
      <c r="AG207" s="222">
        <v>0</v>
      </c>
      <c r="AH207" s="41">
        <v>0</v>
      </c>
      <c r="AI207" s="34">
        <f t="shared" si="331"/>
        <v>75</v>
      </c>
      <c r="AJ207" s="35">
        <v>20</v>
      </c>
      <c r="AK207" s="119">
        <v>50</v>
      </c>
      <c r="AL207" s="119"/>
      <c r="AM207" s="46"/>
      <c r="AN207" s="119"/>
      <c r="AO207" s="35"/>
      <c r="AP207" s="119" t="s">
        <v>253</v>
      </c>
      <c r="AQ207" s="121">
        <v>55</v>
      </c>
      <c r="AR207" s="122">
        <v>0</v>
      </c>
      <c r="AS207" s="123">
        <v>0</v>
      </c>
      <c r="AT207" s="124">
        <v>55</v>
      </c>
      <c r="AU207" s="251"/>
      <c r="AV207" s="251"/>
      <c r="AW207" s="119"/>
      <c r="AX207" s="117" t="s">
        <v>87</v>
      </c>
    </row>
    <row r="208" spans="1:50" s="9" customFormat="1" ht="54" customHeight="1" x14ac:dyDescent="0.25">
      <c r="A208" s="304"/>
      <c r="B208" s="115" t="s">
        <v>224</v>
      </c>
      <c r="C208" s="115" t="s">
        <v>251</v>
      </c>
      <c r="D208" s="117" t="s">
        <v>47</v>
      </c>
      <c r="E208" s="117" t="s">
        <v>48</v>
      </c>
      <c r="F208" s="251"/>
      <c r="G208" s="119" t="s">
        <v>228</v>
      </c>
      <c r="H208" s="251"/>
      <c r="I208" s="204"/>
      <c r="J208" s="206"/>
      <c r="K208" s="208"/>
      <c r="L208" s="210"/>
      <c r="M208" s="212"/>
      <c r="N208" s="214">
        <f t="shared" si="338"/>
        <v>0</v>
      </c>
      <c r="O208" s="216"/>
      <c r="P208" s="35"/>
      <c r="Q208" s="251"/>
      <c r="R208" s="119" t="s">
        <v>56</v>
      </c>
      <c r="S208" s="120" t="s">
        <v>254</v>
      </c>
      <c r="T208" s="251" t="s">
        <v>255</v>
      </c>
      <c r="U208" s="256" t="s">
        <v>85</v>
      </c>
      <c r="V208" s="262"/>
      <c r="W208" s="206"/>
      <c r="X208" s="208"/>
      <c r="Y208" s="210"/>
      <c r="Z208" s="212"/>
      <c r="AA208" s="214">
        <f t="shared" si="330"/>
        <v>0</v>
      </c>
      <c r="AB208" s="216" t="s">
        <v>85</v>
      </c>
      <c r="AC208" s="256" t="s">
        <v>85</v>
      </c>
      <c r="AD208" s="261">
        <v>0</v>
      </c>
      <c r="AE208" s="264">
        <v>0</v>
      </c>
      <c r="AF208" s="265">
        <v>0</v>
      </c>
      <c r="AG208" s="210"/>
      <c r="AH208" s="266">
        <v>0</v>
      </c>
      <c r="AI208" s="214">
        <f t="shared" si="331"/>
        <v>0</v>
      </c>
      <c r="AJ208" s="216">
        <v>0</v>
      </c>
      <c r="AK208" s="251"/>
      <c r="AL208" s="251" t="s">
        <v>256</v>
      </c>
      <c r="AM208" s="218">
        <v>20</v>
      </c>
      <c r="AN208" s="251">
        <v>20</v>
      </c>
      <c r="AO208" s="216"/>
      <c r="AP208" s="119" t="s">
        <v>58</v>
      </c>
      <c r="AQ208" s="121">
        <v>25</v>
      </c>
      <c r="AR208" s="122">
        <v>0</v>
      </c>
      <c r="AS208" s="123">
        <v>0</v>
      </c>
      <c r="AT208" s="124">
        <v>25</v>
      </c>
      <c r="AU208" s="251"/>
      <c r="AV208" s="251"/>
      <c r="AW208" s="119"/>
      <c r="AX208" s="117" t="s">
        <v>126</v>
      </c>
    </row>
    <row r="209" spans="1:50" s="9" customFormat="1" ht="54" customHeight="1" x14ac:dyDescent="0.25">
      <c r="A209" s="304"/>
      <c r="B209" s="115" t="s">
        <v>224</v>
      </c>
      <c r="C209" s="115" t="s">
        <v>251</v>
      </c>
      <c r="D209" s="117" t="s">
        <v>47</v>
      </c>
      <c r="E209" s="117" t="s">
        <v>48</v>
      </c>
      <c r="F209" s="251"/>
      <c r="G209" s="119" t="s">
        <v>228</v>
      </c>
      <c r="H209" s="251"/>
      <c r="I209" s="205"/>
      <c r="J209" s="207"/>
      <c r="K209" s="209"/>
      <c r="L209" s="211"/>
      <c r="M209" s="213"/>
      <c r="N209" s="214">
        <f t="shared" si="338"/>
        <v>0</v>
      </c>
      <c r="O209" s="216"/>
      <c r="P209" s="35"/>
      <c r="Q209" s="251"/>
      <c r="R209" s="119" t="s">
        <v>56</v>
      </c>
      <c r="S209" s="120" t="s">
        <v>254</v>
      </c>
      <c r="T209" s="251"/>
      <c r="U209" s="256"/>
      <c r="V209" s="248"/>
      <c r="W209" s="207"/>
      <c r="X209" s="209"/>
      <c r="Y209" s="211"/>
      <c r="Z209" s="213"/>
      <c r="AA209" s="214">
        <f t="shared" si="330"/>
        <v>0</v>
      </c>
      <c r="AB209" s="216"/>
      <c r="AC209" s="256"/>
      <c r="AD209" s="261"/>
      <c r="AE209" s="264"/>
      <c r="AF209" s="265"/>
      <c r="AG209" s="211"/>
      <c r="AH209" s="266"/>
      <c r="AI209" s="214">
        <f t="shared" si="331"/>
        <v>0</v>
      </c>
      <c r="AJ209" s="216"/>
      <c r="AK209" s="251"/>
      <c r="AL209" s="251"/>
      <c r="AM209" s="218"/>
      <c r="AN209" s="251"/>
      <c r="AO209" s="216"/>
      <c r="AP209" s="119" t="s">
        <v>127</v>
      </c>
      <c r="AQ209" s="121">
        <v>12</v>
      </c>
      <c r="AR209" s="122">
        <v>0</v>
      </c>
      <c r="AS209" s="123">
        <v>0</v>
      </c>
      <c r="AT209" s="124">
        <v>12</v>
      </c>
      <c r="AU209" s="251"/>
      <c r="AV209" s="251"/>
      <c r="AW209" s="119"/>
      <c r="AX209" s="117" t="s">
        <v>126</v>
      </c>
    </row>
    <row r="210" spans="1:50" s="9" customFormat="1" ht="72" x14ac:dyDescent="0.25">
      <c r="A210" s="304"/>
      <c r="B210" s="115" t="s">
        <v>224</v>
      </c>
      <c r="C210" s="115" t="s">
        <v>251</v>
      </c>
      <c r="D210" s="117" t="s">
        <v>47</v>
      </c>
      <c r="E210" s="117" t="s">
        <v>48</v>
      </c>
      <c r="F210" s="251"/>
      <c r="G210" s="119" t="s">
        <v>260</v>
      </c>
      <c r="H210" s="251">
        <v>5</v>
      </c>
      <c r="I210" s="219">
        <v>0</v>
      </c>
      <c r="J210" s="220">
        <v>0</v>
      </c>
      <c r="K210" s="221">
        <v>0</v>
      </c>
      <c r="L210" s="222">
        <v>0</v>
      </c>
      <c r="M210" s="223">
        <v>0</v>
      </c>
      <c r="N210" s="214">
        <f t="shared" si="338"/>
        <v>0</v>
      </c>
      <c r="O210" s="216">
        <v>5</v>
      </c>
      <c r="P210" s="35"/>
      <c r="Q210" s="251"/>
      <c r="R210" s="119" t="s">
        <v>51</v>
      </c>
      <c r="S210" s="120" t="s">
        <v>261</v>
      </c>
      <c r="T210" s="119" t="s">
        <v>53</v>
      </c>
      <c r="U210" s="121" t="s">
        <v>85</v>
      </c>
      <c r="V210" s="247">
        <v>0</v>
      </c>
      <c r="W210" s="220">
        <v>0</v>
      </c>
      <c r="X210" s="221">
        <v>0</v>
      </c>
      <c r="Y210" s="222">
        <v>0</v>
      </c>
      <c r="Z210" s="223">
        <v>0</v>
      </c>
      <c r="AA210" s="34">
        <f t="shared" si="330"/>
        <v>0</v>
      </c>
      <c r="AB210" s="35" t="s">
        <v>85</v>
      </c>
      <c r="AC210" s="121">
        <v>20</v>
      </c>
      <c r="AD210" s="195">
        <v>0</v>
      </c>
      <c r="AE210" s="38">
        <v>0</v>
      </c>
      <c r="AF210" s="39">
        <v>0</v>
      </c>
      <c r="AG210" s="222">
        <v>0</v>
      </c>
      <c r="AH210" s="41">
        <v>0</v>
      </c>
      <c r="AI210" s="34">
        <f t="shared" si="331"/>
        <v>0</v>
      </c>
      <c r="AJ210" s="35">
        <v>20</v>
      </c>
      <c r="AK210" s="119">
        <v>20</v>
      </c>
      <c r="AL210" s="119"/>
      <c r="AM210" s="46"/>
      <c r="AN210" s="119"/>
      <c r="AO210" s="35"/>
      <c r="AP210" s="119" t="s">
        <v>253</v>
      </c>
      <c r="AQ210" s="121">
        <v>20</v>
      </c>
      <c r="AR210" s="122">
        <v>0</v>
      </c>
      <c r="AS210" s="123">
        <v>0</v>
      </c>
      <c r="AT210" s="124">
        <v>20</v>
      </c>
      <c r="AU210" s="251"/>
      <c r="AV210" s="251"/>
      <c r="AW210" s="119"/>
      <c r="AX210" s="117" t="s">
        <v>87</v>
      </c>
    </row>
    <row r="211" spans="1:50" s="9" customFormat="1" ht="54" customHeight="1" x14ac:dyDescent="0.25">
      <c r="A211" s="304"/>
      <c r="B211" s="115" t="s">
        <v>224</v>
      </c>
      <c r="C211" s="115" t="s">
        <v>251</v>
      </c>
      <c r="D211" s="117" t="s">
        <v>47</v>
      </c>
      <c r="E211" s="117" t="s">
        <v>48</v>
      </c>
      <c r="F211" s="251"/>
      <c r="G211" s="119" t="s">
        <v>260</v>
      </c>
      <c r="H211" s="251"/>
      <c r="I211" s="204"/>
      <c r="J211" s="206"/>
      <c r="K211" s="208"/>
      <c r="L211" s="210"/>
      <c r="M211" s="212"/>
      <c r="N211" s="214">
        <f t="shared" si="338"/>
        <v>0</v>
      </c>
      <c r="O211" s="216"/>
      <c r="P211" s="35"/>
      <c r="Q211" s="251"/>
      <c r="R211" s="119" t="s">
        <v>56</v>
      </c>
      <c r="S211" s="120" t="s">
        <v>254</v>
      </c>
      <c r="T211" s="251" t="s">
        <v>255</v>
      </c>
      <c r="U211" s="256" t="s">
        <v>85</v>
      </c>
      <c r="V211" s="262"/>
      <c r="W211" s="206"/>
      <c r="X211" s="208"/>
      <c r="Y211" s="210"/>
      <c r="Z211" s="212"/>
      <c r="AA211" s="214">
        <f t="shared" si="330"/>
        <v>0</v>
      </c>
      <c r="AB211" s="216" t="s">
        <v>85</v>
      </c>
      <c r="AC211" s="256" t="s">
        <v>85</v>
      </c>
      <c r="AD211" s="261">
        <v>0</v>
      </c>
      <c r="AE211" s="264">
        <v>0</v>
      </c>
      <c r="AF211" s="265">
        <v>0</v>
      </c>
      <c r="AG211" s="210"/>
      <c r="AH211" s="266">
        <v>0</v>
      </c>
      <c r="AI211" s="214">
        <f t="shared" si="331"/>
        <v>0</v>
      </c>
      <c r="AJ211" s="216">
        <v>0</v>
      </c>
      <c r="AK211" s="251"/>
      <c r="AL211" s="251" t="s">
        <v>256</v>
      </c>
      <c r="AM211" s="218">
        <v>5</v>
      </c>
      <c r="AN211" s="251">
        <v>5</v>
      </c>
      <c r="AO211" s="216"/>
      <c r="AP211" s="119" t="s">
        <v>58</v>
      </c>
      <c r="AQ211" s="121">
        <v>15</v>
      </c>
      <c r="AR211" s="122">
        <v>0</v>
      </c>
      <c r="AS211" s="123">
        <v>0</v>
      </c>
      <c r="AT211" s="124">
        <v>15</v>
      </c>
      <c r="AU211" s="251"/>
      <c r="AV211" s="251"/>
      <c r="AW211" s="119"/>
      <c r="AX211" s="117" t="s">
        <v>126</v>
      </c>
    </row>
    <row r="212" spans="1:50" s="9" customFormat="1" ht="54" customHeight="1" x14ac:dyDescent="0.25">
      <c r="A212" s="304"/>
      <c r="B212" s="115" t="s">
        <v>224</v>
      </c>
      <c r="C212" s="115" t="s">
        <v>251</v>
      </c>
      <c r="D212" s="117" t="s">
        <v>47</v>
      </c>
      <c r="E212" s="117" t="s">
        <v>48</v>
      </c>
      <c r="F212" s="251"/>
      <c r="G212" s="119" t="s">
        <v>260</v>
      </c>
      <c r="H212" s="251"/>
      <c r="I212" s="205"/>
      <c r="J212" s="207"/>
      <c r="K212" s="209"/>
      <c r="L212" s="211"/>
      <c r="M212" s="213"/>
      <c r="N212" s="214">
        <f t="shared" si="338"/>
        <v>0</v>
      </c>
      <c r="O212" s="216"/>
      <c r="P212" s="35"/>
      <c r="Q212" s="251"/>
      <c r="R212" s="119" t="s">
        <v>56</v>
      </c>
      <c r="S212" s="120" t="s">
        <v>254</v>
      </c>
      <c r="T212" s="251"/>
      <c r="U212" s="256"/>
      <c r="V212" s="248"/>
      <c r="W212" s="207"/>
      <c r="X212" s="209"/>
      <c r="Y212" s="211"/>
      <c r="Z212" s="213"/>
      <c r="AA212" s="214">
        <f t="shared" si="330"/>
        <v>0</v>
      </c>
      <c r="AB212" s="216"/>
      <c r="AC212" s="256"/>
      <c r="AD212" s="261"/>
      <c r="AE212" s="264"/>
      <c r="AF212" s="265"/>
      <c r="AG212" s="211"/>
      <c r="AH212" s="266"/>
      <c r="AI212" s="214">
        <f t="shared" si="331"/>
        <v>0</v>
      </c>
      <c r="AJ212" s="216"/>
      <c r="AK212" s="251"/>
      <c r="AL212" s="251"/>
      <c r="AM212" s="218"/>
      <c r="AN212" s="251"/>
      <c r="AO212" s="216"/>
      <c r="AP212" s="119" t="s">
        <v>127</v>
      </c>
      <c r="AQ212" s="121">
        <v>8</v>
      </c>
      <c r="AR212" s="122">
        <v>0</v>
      </c>
      <c r="AS212" s="123">
        <v>0</v>
      </c>
      <c r="AT212" s="124">
        <v>8</v>
      </c>
      <c r="AU212" s="251"/>
      <c r="AV212" s="251"/>
      <c r="AW212" s="119"/>
      <c r="AX212" s="117" t="s">
        <v>126</v>
      </c>
    </row>
    <row r="213" spans="1:50" s="9" customFormat="1" ht="72" x14ac:dyDescent="0.25">
      <c r="A213" s="304"/>
      <c r="B213" s="115" t="s">
        <v>224</v>
      </c>
      <c r="C213" s="115" t="s">
        <v>251</v>
      </c>
      <c r="D213" s="117" t="s">
        <v>47</v>
      </c>
      <c r="E213" s="117" t="s">
        <v>48</v>
      </c>
      <c r="F213" s="251"/>
      <c r="G213" s="119" t="s">
        <v>262</v>
      </c>
      <c r="H213" s="251">
        <v>10</v>
      </c>
      <c r="I213" s="219">
        <v>0</v>
      </c>
      <c r="J213" s="220">
        <v>0</v>
      </c>
      <c r="K213" s="221">
        <v>0</v>
      </c>
      <c r="L213" s="222">
        <v>0</v>
      </c>
      <c r="M213" s="223">
        <v>0</v>
      </c>
      <c r="N213" s="214">
        <f t="shared" si="338"/>
        <v>0</v>
      </c>
      <c r="O213" s="216">
        <v>10</v>
      </c>
      <c r="P213" s="35"/>
      <c r="Q213" s="251"/>
      <c r="R213" s="119" t="s">
        <v>51</v>
      </c>
      <c r="S213" s="120" t="s">
        <v>261</v>
      </c>
      <c r="T213" s="119" t="s">
        <v>53</v>
      </c>
      <c r="U213" s="121" t="s">
        <v>85</v>
      </c>
      <c r="V213" s="247">
        <v>0</v>
      </c>
      <c r="W213" s="220">
        <v>0</v>
      </c>
      <c r="X213" s="221">
        <v>0</v>
      </c>
      <c r="Y213" s="222">
        <v>0</v>
      </c>
      <c r="Z213" s="223">
        <v>0</v>
      </c>
      <c r="AA213" s="34">
        <f t="shared" si="330"/>
        <v>0</v>
      </c>
      <c r="AB213" s="35" t="s">
        <v>85</v>
      </c>
      <c r="AC213" s="121">
        <v>40</v>
      </c>
      <c r="AD213" s="195">
        <v>0</v>
      </c>
      <c r="AE213" s="38">
        <v>0</v>
      </c>
      <c r="AF213" s="39">
        <v>0</v>
      </c>
      <c r="AG213" s="222">
        <v>0</v>
      </c>
      <c r="AH213" s="41">
        <v>0</v>
      </c>
      <c r="AI213" s="34">
        <f t="shared" si="331"/>
        <v>0</v>
      </c>
      <c r="AJ213" s="35">
        <v>40</v>
      </c>
      <c r="AK213" s="119">
        <v>40</v>
      </c>
      <c r="AL213" s="119"/>
      <c r="AM213" s="46"/>
      <c r="AN213" s="119"/>
      <c r="AO213" s="35"/>
      <c r="AP213" s="119" t="s">
        <v>253</v>
      </c>
      <c r="AQ213" s="121">
        <v>40</v>
      </c>
      <c r="AR213" s="122">
        <v>0</v>
      </c>
      <c r="AS213" s="123">
        <v>0</v>
      </c>
      <c r="AT213" s="124">
        <v>40</v>
      </c>
      <c r="AU213" s="251"/>
      <c r="AV213" s="251"/>
      <c r="AW213" s="119"/>
      <c r="AX213" s="117" t="s">
        <v>87</v>
      </c>
    </row>
    <row r="214" spans="1:50" s="9" customFormat="1" ht="54" customHeight="1" x14ac:dyDescent="0.25">
      <c r="A214" s="304"/>
      <c r="B214" s="115" t="s">
        <v>224</v>
      </c>
      <c r="C214" s="115" t="s">
        <v>251</v>
      </c>
      <c r="D214" s="117" t="s">
        <v>47</v>
      </c>
      <c r="E214" s="117" t="s">
        <v>48</v>
      </c>
      <c r="F214" s="251"/>
      <c r="G214" s="119" t="s">
        <v>262</v>
      </c>
      <c r="H214" s="251"/>
      <c r="I214" s="204"/>
      <c r="J214" s="206"/>
      <c r="K214" s="208"/>
      <c r="L214" s="210"/>
      <c r="M214" s="212"/>
      <c r="N214" s="214">
        <f t="shared" si="338"/>
        <v>0</v>
      </c>
      <c r="O214" s="216"/>
      <c r="P214" s="35"/>
      <c r="Q214" s="251"/>
      <c r="R214" s="119" t="s">
        <v>56</v>
      </c>
      <c r="S214" s="120" t="s">
        <v>254</v>
      </c>
      <c r="T214" s="251" t="s">
        <v>255</v>
      </c>
      <c r="U214" s="256" t="s">
        <v>85</v>
      </c>
      <c r="V214" s="262"/>
      <c r="W214" s="206"/>
      <c r="X214" s="208"/>
      <c r="Y214" s="210"/>
      <c r="Z214" s="212"/>
      <c r="AA214" s="214">
        <f t="shared" si="330"/>
        <v>0</v>
      </c>
      <c r="AB214" s="216" t="s">
        <v>85</v>
      </c>
      <c r="AC214" s="256" t="s">
        <v>85</v>
      </c>
      <c r="AD214" s="261">
        <v>0</v>
      </c>
      <c r="AE214" s="264">
        <v>0</v>
      </c>
      <c r="AF214" s="265">
        <v>0</v>
      </c>
      <c r="AG214" s="210"/>
      <c r="AH214" s="266">
        <v>0</v>
      </c>
      <c r="AI214" s="214">
        <f t="shared" si="331"/>
        <v>0</v>
      </c>
      <c r="AJ214" s="216">
        <v>0</v>
      </c>
      <c r="AK214" s="251"/>
      <c r="AL214" s="251" t="s">
        <v>256</v>
      </c>
      <c r="AM214" s="218">
        <v>10</v>
      </c>
      <c r="AN214" s="251"/>
      <c r="AO214" s="216"/>
      <c r="AP214" s="119" t="s">
        <v>58</v>
      </c>
      <c r="AQ214" s="121">
        <v>30</v>
      </c>
      <c r="AR214" s="122">
        <v>0</v>
      </c>
      <c r="AS214" s="123">
        <v>0</v>
      </c>
      <c r="AT214" s="124">
        <v>30</v>
      </c>
      <c r="AU214" s="251"/>
      <c r="AV214" s="251"/>
      <c r="AW214" s="119"/>
      <c r="AX214" s="117" t="s">
        <v>126</v>
      </c>
    </row>
    <row r="215" spans="1:50" s="9" customFormat="1" ht="54" customHeight="1" x14ac:dyDescent="0.25">
      <c r="A215" s="304"/>
      <c r="B215" s="115" t="s">
        <v>224</v>
      </c>
      <c r="C215" s="115" t="s">
        <v>251</v>
      </c>
      <c r="D215" s="117" t="s">
        <v>47</v>
      </c>
      <c r="E215" s="117" t="s">
        <v>48</v>
      </c>
      <c r="F215" s="251"/>
      <c r="G215" s="119" t="s">
        <v>262</v>
      </c>
      <c r="H215" s="251"/>
      <c r="I215" s="205"/>
      <c r="J215" s="207"/>
      <c r="K215" s="209"/>
      <c r="L215" s="211"/>
      <c r="M215" s="213"/>
      <c r="N215" s="214">
        <f t="shared" si="338"/>
        <v>0</v>
      </c>
      <c r="O215" s="216"/>
      <c r="P215" s="35"/>
      <c r="Q215" s="251"/>
      <c r="R215" s="119" t="s">
        <v>56</v>
      </c>
      <c r="S215" s="120" t="s">
        <v>254</v>
      </c>
      <c r="T215" s="251"/>
      <c r="U215" s="256"/>
      <c r="V215" s="248"/>
      <c r="W215" s="207"/>
      <c r="X215" s="209"/>
      <c r="Y215" s="211"/>
      <c r="Z215" s="213"/>
      <c r="AA215" s="214">
        <f t="shared" si="330"/>
        <v>0</v>
      </c>
      <c r="AB215" s="216"/>
      <c r="AC215" s="256"/>
      <c r="AD215" s="261"/>
      <c r="AE215" s="264"/>
      <c r="AF215" s="265"/>
      <c r="AG215" s="211"/>
      <c r="AH215" s="266"/>
      <c r="AI215" s="214">
        <f t="shared" si="331"/>
        <v>0</v>
      </c>
      <c r="AJ215" s="216"/>
      <c r="AK215" s="251"/>
      <c r="AL215" s="251"/>
      <c r="AM215" s="218"/>
      <c r="AN215" s="251"/>
      <c r="AO215" s="216"/>
      <c r="AP215" s="119" t="s">
        <v>127</v>
      </c>
      <c r="AQ215" s="121">
        <v>15</v>
      </c>
      <c r="AR215" s="122">
        <v>0</v>
      </c>
      <c r="AS215" s="123">
        <v>0</v>
      </c>
      <c r="AT215" s="124">
        <v>15</v>
      </c>
      <c r="AU215" s="251"/>
      <c r="AV215" s="251"/>
      <c r="AW215" s="119"/>
      <c r="AX215" s="117" t="s">
        <v>126</v>
      </c>
    </row>
    <row r="216" spans="1:50" s="9" customFormat="1" ht="75" x14ac:dyDescent="0.25">
      <c r="A216" s="304"/>
      <c r="B216" s="115" t="s">
        <v>224</v>
      </c>
      <c r="C216" s="115" t="s">
        <v>251</v>
      </c>
      <c r="D216" s="117" t="s">
        <v>47</v>
      </c>
      <c r="E216" s="117" t="s">
        <v>48</v>
      </c>
      <c r="F216" s="251"/>
      <c r="G216" s="119" t="s">
        <v>229</v>
      </c>
      <c r="H216" s="119">
        <v>5</v>
      </c>
      <c r="I216" s="37">
        <v>0</v>
      </c>
      <c r="J216" s="38">
        <v>0</v>
      </c>
      <c r="K216" s="39">
        <v>2</v>
      </c>
      <c r="L216" s="40">
        <v>1</v>
      </c>
      <c r="M216" s="41">
        <v>2</v>
      </c>
      <c r="N216" s="34">
        <f t="shared" si="338"/>
        <v>5</v>
      </c>
      <c r="O216" s="35">
        <v>0</v>
      </c>
      <c r="P216" s="35"/>
      <c r="Q216" s="119"/>
      <c r="R216" s="119" t="s">
        <v>51</v>
      </c>
      <c r="S216" s="120" t="s">
        <v>263</v>
      </c>
      <c r="T216" s="251" t="s">
        <v>53</v>
      </c>
      <c r="U216" s="121" t="s">
        <v>85</v>
      </c>
      <c r="V216" s="195">
        <v>0</v>
      </c>
      <c r="W216" s="38">
        <v>0</v>
      </c>
      <c r="X216" s="39">
        <v>0</v>
      </c>
      <c r="Y216" s="40">
        <v>1</v>
      </c>
      <c r="Z216" s="41">
        <v>0</v>
      </c>
      <c r="AA216" s="34">
        <f t="shared" si="330"/>
        <v>1</v>
      </c>
      <c r="AB216" s="35" t="s">
        <v>85</v>
      </c>
      <c r="AC216" s="121">
        <v>15</v>
      </c>
      <c r="AD216" s="195">
        <v>0</v>
      </c>
      <c r="AE216" s="38">
        <v>0</v>
      </c>
      <c r="AF216" s="39">
        <v>10</v>
      </c>
      <c r="AG216" s="40">
        <v>0</v>
      </c>
      <c r="AH216" s="41">
        <v>2</v>
      </c>
      <c r="AI216" s="34">
        <f t="shared" si="331"/>
        <v>12</v>
      </c>
      <c r="AJ216" s="35">
        <v>0</v>
      </c>
      <c r="AK216" s="119">
        <v>15</v>
      </c>
      <c r="AL216" s="119"/>
      <c r="AM216" s="46"/>
      <c r="AN216" s="119"/>
      <c r="AO216" s="35"/>
      <c r="AP216" s="119" t="s">
        <v>253</v>
      </c>
      <c r="AQ216" s="121">
        <v>15</v>
      </c>
      <c r="AR216" s="122">
        <v>0</v>
      </c>
      <c r="AS216" s="123">
        <v>0</v>
      </c>
      <c r="AT216" s="124">
        <v>15</v>
      </c>
      <c r="AU216" s="119"/>
      <c r="AV216" s="119"/>
      <c r="AW216" s="119"/>
      <c r="AX216" s="117" t="s">
        <v>87</v>
      </c>
    </row>
    <row r="217" spans="1:50" s="9" customFormat="1" ht="75" x14ac:dyDescent="0.25">
      <c r="A217" s="304"/>
      <c r="B217" s="115" t="s">
        <v>224</v>
      </c>
      <c r="C217" s="115" t="s">
        <v>251</v>
      </c>
      <c r="D217" s="117" t="s">
        <v>47</v>
      </c>
      <c r="E217" s="117" t="s">
        <v>48</v>
      </c>
      <c r="F217" s="251"/>
      <c r="G217" s="119" t="s">
        <v>235</v>
      </c>
      <c r="H217" s="119">
        <v>5</v>
      </c>
      <c r="I217" s="37">
        <v>0</v>
      </c>
      <c r="J217" s="38">
        <v>0</v>
      </c>
      <c r="K217" s="39">
        <v>4</v>
      </c>
      <c r="L217" s="40">
        <v>1</v>
      </c>
      <c r="M217" s="41">
        <v>0</v>
      </c>
      <c r="N217" s="34">
        <f t="shared" si="338"/>
        <v>5</v>
      </c>
      <c r="O217" s="35">
        <v>0</v>
      </c>
      <c r="P217" s="35"/>
      <c r="Q217" s="119"/>
      <c r="R217" s="119" t="s">
        <v>51</v>
      </c>
      <c r="S217" s="120" t="s">
        <v>264</v>
      </c>
      <c r="T217" s="251"/>
      <c r="U217" s="121" t="s">
        <v>85</v>
      </c>
      <c r="V217" s="195">
        <v>0</v>
      </c>
      <c r="W217" s="38">
        <v>0</v>
      </c>
      <c r="X217" s="39">
        <v>0</v>
      </c>
      <c r="Y217" s="40">
        <v>1</v>
      </c>
      <c r="Z217" s="41">
        <v>0</v>
      </c>
      <c r="AA217" s="34">
        <f t="shared" si="330"/>
        <v>1</v>
      </c>
      <c r="AB217" s="35" t="s">
        <v>85</v>
      </c>
      <c r="AC217" s="121">
        <v>15</v>
      </c>
      <c r="AD217" s="195">
        <v>0</v>
      </c>
      <c r="AE217" s="38">
        <v>0</v>
      </c>
      <c r="AF217" s="39">
        <v>10</v>
      </c>
      <c r="AG217" s="40">
        <v>0</v>
      </c>
      <c r="AH217" s="41">
        <v>2</v>
      </c>
      <c r="AI217" s="34">
        <f t="shared" si="331"/>
        <v>12</v>
      </c>
      <c r="AJ217" s="35">
        <v>0</v>
      </c>
      <c r="AK217" s="119">
        <v>15</v>
      </c>
      <c r="AL217" s="119"/>
      <c r="AM217" s="46"/>
      <c r="AN217" s="119"/>
      <c r="AO217" s="35"/>
      <c r="AP217" s="119" t="s">
        <v>253</v>
      </c>
      <c r="AQ217" s="121">
        <v>15</v>
      </c>
      <c r="AR217" s="122">
        <v>0</v>
      </c>
      <c r="AS217" s="123">
        <v>0</v>
      </c>
      <c r="AT217" s="124">
        <v>15</v>
      </c>
      <c r="AU217" s="119"/>
      <c r="AV217" s="119"/>
      <c r="AW217" s="119"/>
      <c r="AX217" s="117" t="s">
        <v>87</v>
      </c>
    </row>
    <row r="218" spans="1:50" s="9" customFormat="1" ht="54" customHeight="1" x14ac:dyDescent="0.25">
      <c r="A218" s="304"/>
      <c r="B218" s="115" t="s">
        <v>224</v>
      </c>
      <c r="C218" s="115" t="s">
        <v>251</v>
      </c>
      <c r="D218" s="117" t="s">
        <v>47</v>
      </c>
      <c r="E218" s="117" t="s">
        <v>48</v>
      </c>
      <c r="F218" s="127" t="s">
        <v>61</v>
      </c>
      <c r="G218" s="127"/>
      <c r="H218" s="127">
        <f>SUBTOTAL(9,H198:H217)</f>
        <v>480</v>
      </c>
      <c r="I218" s="127">
        <f t="shared" ref="I218" si="339">SUBTOTAL(9,I198:I217)</f>
        <v>0</v>
      </c>
      <c r="J218" s="127">
        <f t="shared" ref="J218:O218" si="340">SUBTOTAL(9,J198:J217)</f>
        <v>20</v>
      </c>
      <c r="K218" s="127">
        <f t="shared" si="340"/>
        <v>171</v>
      </c>
      <c r="L218" s="127">
        <f t="shared" si="340"/>
        <v>47</v>
      </c>
      <c r="M218" s="127">
        <f t="shared" si="340"/>
        <v>2</v>
      </c>
      <c r="N218" s="127">
        <f t="shared" si="338"/>
        <v>240</v>
      </c>
      <c r="O218" s="127">
        <f t="shared" si="340"/>
        <v>240</v>
      </c>
      <c r="P218" s="128"/>
      <c r="Q218" s="127"/>
      <c r="R218" s="129"/>
      <c r="S218" s="127"/>
      <c r="T218" s="130"/>
      <c r="U218" s="128"/>
      <c r="V218" s="128">
        <f>SUM(V198:V217)</f>
        <v>0</v>
      </c>
      <c r="W218" s="131">
        <f t="shared" ref="W218:Z218" si="341">SUM(W198:W217)</f>
        <v>0</v>
      </c>
      <c r="X218" s="131">
        <f t="shared" si="341"/>
        <v>0</v>
      </c>
      <c r="Y218" s="127">
        <f t="shared" ref="Y218" si="342">SUBTOTAL(9,Y198:Y217)</f>
        <v>47</v>
      </c>
      <c r="Z218" s="131">
        <f t="shared" si="341"/>
        <v>0</v>
      </c>
      <c r="AA218" s="128">
        <f t="shared" si="330"/>
        <v>47</v>
      </c>
      <c r="AB218" s="128">
        <f t="shared" ref="AB218:AK218" si="343">SUM(AB198:AB217)</f>
        <v>0</v>
      </c>
      <c r="AC218" s="128">
        <f t="shared" si="343"/>
        <v>545</v>
      </c>
      <c r="AD218" s="128">
        <f t="shared" si="343"/>
        <v>0</v>
      </c>
      <c r="AE218" s="128">
        <f t="shared" si="343"/>
        <v>110</v>
      </c>
      <c r="AF218" s="128">
        <f t="shared" si="343"/>
        <v>185</v>
      </c>
      <c r="AG218" s="128">
        <f t="shared" si="343"/>
        <v>0</v>
      </c>
      <c r="AH218" s="128">
        <f t="shared" si="343"/>
        <v>4</v>
      </c>
      <c r="AI218" s="128">
        <f t="shared" si="331"/>
        <v>299</v>
      </c>
      <c r="AJ218" s="128">
        <f t="shared" si="343"/>
        <v>285</v>
      </c>
      <c r="AK218" s="128">
        <f t="shared" si="343"/>
        <v>545</v>
      </c>
      <c r="AL218" s="127"/>
      <c r="AM218" s="127">
        <f>SUM(AM198:AM217)</f>
        <v>95</v>
      </c>
      <c r="AN218" s="127"/>
      <c r="AO218" s="128"/>
      <c r="AP218" s="127"/>
      <c r="AQ218" s="128">
        <f>SUM(AQ198:AQ217)</f>
        <v>863</v>
      </c>
      <c r="AR218" s="128">
        <f>SUM(AR198:AR217)</f>
        <v>0</v>
      </c>
      <c r="AS218" s="128">
        <f>SUM(AS198:AS217)</f>
        <v>0</v>
      </c>
      <c r="AT218" s="128">
        <f>SUM(AT198:AT217)</f>
        <v>863</v>
      </c>
      <c r="AU218" s="129"/>
      <c r="AV218" s="127"/>
      <c r="AW218" s="127"/>
      <c r="AX218" s="127" t="s">
        <v>265</v>
      </c>
    </row>
    <row r="219" spans="1:50" s="9" customFormat="1" ht="111" customHeight="1" x14ac:dyDescent="0.25">
      <c r="A219" s="305"/>
      <c r="B219" s="115" t="s">
        <v>266</v>
      </c>
      <c r="C219" s="115" t="s">
        <v>267</v>
      </c>
      <c r="D219" s="117" t="s">
        <v>47</v>
      </c>
      <c r="E219" s="117" t="s">
        <v>268</v>
      </c>
      <c r="F219" s="138" t="s">
        <v>49</v>
      </c>
      <c r="G219" s="119" t="s">
        <v>60</v>
      </c>
      <c r="H219" s="119">
        <v>15</v>
      </c>
      <c r="I219" s="37">
        <v>0</v>
      </c>
      <c r="J219" s="38">
        <v>0</v>
      </c>
      <c r="K219" s="39">
        <v>0</v>
      </c>
      <c r="L219" s="40">
        <v>0</v>
      </c>
      <c r="M219" s="41">
        <v>0</v>
      </c>
      <c r="N219" s="34">
        <f t="shared" si="338"/>
        <v>0</v>
      </c>
      <c r="O219" s="35">
        <v>15</v>
      </c>
      <c r="P219" s="35"/>
      <c r="Q219" s="120"/>
      <c r="R219" s="119" t="s">
        <v>269</v>
      </c>
      <c r="S219" s="140" t="s">
        <v>270</v>
      </c>
      <c r="T219" s="119" t="s">
        <v>271</v>
      </c>
      <c r="U219" s="121">
        <v>15</v>
      </c>
      <c r="V219" s="195">
        <v>0</v>
      </c>
      <c r="W219" s="38">
        <v>0</v>
      </c>
      <c r="X219" s="39">
        <v>0</v>
      </c>
      <c r="Y219" s="40">
        <v>0</v>
      </c>
      <c r="Z219" s="41">
        <v>0</v>
      </c>
      <c r="AA219" s="34">
        <f t="shared" si="330"/>
        <v>0</v>
      </c>
      <c r="AB219" s="35">
        <v>15</v>
      </c>
      <c r="AC219" s="121">
        <v>80</v>
      </c>
      <c r="AD219" s="195">
        <v>0</v>
      </c>
      <c r="AE219" s="38">
        <v>0</v>
      </c>
      <c r="AF219" s="39">
        <v>0</v>
      </c>
      <c r="AG219" s="40">
        <v>0</v>
      </c>
      <c r="AH219" s="41">
        <v>0</v>
      </c>
      <c r="AI219" s="34">
        <f t="shared" si="331"/>
        <v>0</v>
      </c>
      <c r="AJ219" s="35">
        <v>80</v>
      </c>
      <c r="AK219" s="136"/>
      <c r="AL219" s="136"/>
      <c r="AM219" s="46"/>
      <c r="AN219" s="119"/>
      <c r="AO219" s="35"/>
      <c r="AP219" s="119" t="s">
        <v>272</v>
      </c>
      <c r="AQ219" s="141">
        <v>80</v>
      </c>
      <c r="AR219" s="122">
        <v>0</v>
      </c>
      <c r="AS219" s="123">
        <v>80</v>
      </c>
      <c r="AT219" s="124">
        <v>0</v>
      </c>
      <c r="AU219" s="136"/>
      <c r="AV219" s="119"/>
      <c r="AW219" s="119"/>
      <c r="AX219" s="117" t="s">
        <v>68</v>
      </c>
    </row>
    <row r="220" spans="1:50" s="9" customFormat="1" ht="53.25" customHeight="1" x14ac:dyDescent="0.25">
      <c r="A220" s="306"/>
      <c r="B220" s="115" t="s">
        <v>266</v>
      </c>
      <c r="C220" s="115" t="s">
        <v>267</v>
      </c>
      <c r="D220" s="117" t="s">
        <v>47</v>
      </c>
      <c r="E220" s="117" t="s">
        <v>268</v>
      </c>
      <c r="F220" s="127" t="s">
        <v>61</v>
      </c>
      <c r="G220" s="127"/>
      <c r="H220" s="127">
        <f t="shared" ref="H220:O220" si="344">SUM(H219:H219)</f>
        <v>15</v>
      </c>
      <c r="I220" s="127">
        <f t="shared" si="344"/>
        <v>0</v>
      </c>
      <c r="J220" s="127">
        <f t="shared" si="344"/>
        <v>0</v>
      </c>
      <c r="K220" s="127">
        <f t="shared" si="344"/>
        <v>0</v>
      </c>
      <c r="L220" s="127">
        <f t="shared" si="344"/>
        <v>0</v>
      </c>
      <c r="M220" s="127">
        <f t="shared" si="344"/>
        <v>0</v>
      </c>
      <c r="N220" s="127">
        <f t="shared" si="338"/>
        <v>0</v>
      </c>
      <c r="O220" s="127">
        <f t="shared" si="344"/>
        <v>15</v>
      </c>
      <c r="P220" s="127"/>
      <c r="Q220" s="127"/>
      <c r="R220" s="129"/>
      <c r="S220" s="127"/>
      <c r="T220" s="130"/>
      <c r="U220" s="128">
        <f t="shared" ref="U220:AJ220" si="345">SUM(U219:U219)</f>
        <v>15</v>
      </c>
      <c r="V220" s="128">
        <f t="shared" si="345"/>
        <v>0</v>
      </c>
      <c r="W220" s="128">
        <f t="shared" si="345"/>
        <v>0</v>
      </c>
      <c r="X220" s="128">
        <f t="shared" si="345"/>
        <v>0</v>
      </c>
      <c r="Y220" s="127">
        <f t="shared" si="345"/>
        <v>0</v>
      </c>
      <c r="Z220" s="128">
        <f t="shared" si="345"/>
        <v>0</v>
      </c>
      <c r="AA220" s="128">
        <f t="shared" si="330"/>
        <v>0</v>
      </c>
      <c r="AB220" s="128">
        <f t="shared" si="345"/>
        <v>15</v>
      </c>
      <c r="AC220" s="128">
        <f t="shared" si="345"/>
        <v>80</v>
      </c>
      <c r="AD220" s="128">
        <f t="shared" si="345"/>
        <v>0</v>
      </c>
      <c r="AE220" s="128">
        <f t="shared" si="345"/>
        <v>0</v>
      </c>
      <c r="AF220" s="128">
        <f t="shared" si="345"/>
        <v>0</v>
      </c>
      <c r="AG220" s="128">
        <f t="shared" ref="AG220" si="346">SUM(AG219:AG219)</f>
        <v>0</v>
      </c>
      <c r="AH220" s="128">
        <f t="shared" si="345"/>
        <v>0</v>
      </c>
      <c r="AI220" s="128">
        <f t="shared" si="331"/>
        <v>0</v>
      </c>
      <c r="AJ220" s="128">
        <f t="shared" si="345"/>
        <v>80</v>
      </c>
      <c r="AK220" s="127"/>
      <c r="AL220" s="127"/>
      <c r="AM220" s="127"/>
      <c r="AN220" s="127"/>
      <c r="AO220" s="127"/>
      <c r="AP220" s="127"/>
      <c r="AQ220" s="128">
        <f>SUM(AQ219:AQ219)</f>
        <v>80</v>
      </c>
      <c r="AR220" s="128">
        <f>SUM(AR219:AR219)</f>
        <v>0</v>
      </c>
      <c r="AS220" s="128">
        <f>SUM(AS219:AS219)</f>
        <v>80</v>
      </c>
      <c r="AT220" s="128">
        <f>SUM(AT219:AT219)</f>
        <v>0</v>
      </c>
      <c r="AU220" s="129"/>
      <c r="AV220" s="127"/>
      <c r="AW220" s="127"/>
      <c r="AX220" s="127" t="s">
        <v>68</v>
      </c>
    </row>
    <row r="221" spans="1:50" s="77" customFormat="1" ht="36" customHeight="1" x14ac:dyDescent="0.25">
      <c r="A221" s="307"/>
      <c r="B221" s="115" t="s">
        <v>224</v>
      </c>
      <c r="C221" s="115" t="s">
        <v>88</v>
      </c>
      <c r="D221" s="117" t="s">
        <v>89</v>
      </c>
      <c r="E221" s="117" t="s">
        <v>70</v>
      </c>
      <c r="F221" s="138" t="s">
        <v>49</v>
      </c>
      <c r="G221" s="119" t="s">
        <v>228</v>
      </c>
      <c r="H221" s="136">
        <v>50</v>
      </c>
      <c r="I221" s="89">
        <v>3</v>
      </c>
      <c r="J221" s="90">
        <v>45</v>
      </c>
      <c r="K221" s="91">
        <v>5</v>
      </c>
      <c r="L221" s="92">
        <v>4</v>
      </c>
      <c r="M221" s="81">
        <v>0</v>
      </c>
      <c r="N221" s="133">
        <f t="shared" si="338"/>
        <v>57</v>
      </c>
      <c r="O221" s="71">
        <v>25</v>
      </c>
      <c r="P221" s="71"/>
      <c r="Q221" s="136"/>
      <c r="R221" s="119" t="s">
        <v>51</v>
      </c>
      <c r="S221" s="120" t="s">
        <v>273</v>
      </c>
      <c r="T221" s="119" t="s">
        <v>77</v>
      </c>
      <c r="U221" s="136">
        <v>250</v>
      </c>
      <c r="V221" s="197">
        <v>3</v>
      </c>
      <c r="W221" s="90">
        <v>45</v>
      </c>
      <c r="X221" s="91">
        <v>5</v>
      </c>
      <c r="Y221" s="92">
        <v>4</v>
      </c>
      <c r="Z221" s="81">
        <v>0</v>
      </c>
      <c r="AA221" s="133">
        <f t="shared" si="330"/>
        <v>57</v>
      </c>
      <c r="AB221" s="71">
        <v>225</v>
      </c>
      <c r="AC221" s="136">
        <v>15</v>
      </c>
      <c r="AD221" s="197">
        <v>1</v>
      </c>
      <c r="AE221" s="90">
        <v>1</v>
      </c>
      <c r="AF221" s="91">
        <v>1</v>
      </c>
      <c r="AG221" s="92">
        <v>0</v>
      </c>
      <c r="AH221" s="81">
        <v>0</v>
      </c>
      <c r="AI221" s="133">
        <f t="shared" si="331"/>
        <v>3</v>
      </c>
      <c r="AJ221" s="71">
        <v>12</v>
      </c>
      <c r="AK221" s="136"/>
      <c r="AL221" s="136"/>
      <c r="AM221" s="72"/>
      <c r="AN221" s="136"/>
      <c r="AO221" s="72"/>
      <c r="AP221" s="119" t="s">
        <v>91</v>
      </c>
      <c r="AQ221" s="136">
        <v>15</v>
      </c>
      <c r="AR221" s="122">
        <v>15</v>
      </c>
      <c r="AS221" s="123">
        <v>0</v>
      </c>
      <c r="AT221" s="124">
        <v>0</v>
      </c>
      <c r="AU221" s="119"/>
      <c r="AV221" s="136"/>
      <c r="AW221" s="119"/>
      <c r="AX221" s="117" t="s">
        <v>68</v>
      </c>
    </row>
    <row r="222" spans="1:50" s="144" customFormat="1" ht="54" x14ac:dyDescent="0.25">
      <c r="A222" s="308"/>
      <c r="B222" s="115" t="s">
        <v>224</v>
      </c>
      <c r="C222" s="115" t="s">
        <v>88</v>
      </c>
      <c r="D222" s="117" t="s">
        <v>89</v>
      </c>
      <c r="E222" s="117" t="s">
        <v>70</v>
      </c>
      <c r="F222" s="142" t="s">
        <v>61</v>
      </c>
      <c r="G222" s="127"/>
      <c r="H222" s="142">
        <f>SUM(H221:H221)</f>
        <v>50</v>
      </c>
      <c r="I222" s="142">
        <f t="shared" ref="I222" si="347">SUM(I221:I221)</f>
        <v>3</v>
      </c>
      <c r="J222" s="142">
        <f t="shared" ref="J222:M222" si="348">SUM(J221:J221)</f>
        <v>45</v>
      </c>
      <c r="K222" s="142">
        <f t="shared" si="348"/>
        <v>5</v>
      </c>
      <c r="L222" s="142">
        <f t="shared" si="348"/>
        <v>4</v>
      </c>
      <c r="M222" s="142">
        <f t="shared" si="348"/>
        <v>0</v>
      </c>
      <c r="N222" s="142">
        <f t="shared" si="338"/>
        <v>57</v>
      </c>
      <c r="O222" s="142">
        <f>SUM(O221:O221)</f>
        <v>25</v>
      </c>
      <c r="P222" s="142"/>
      <c r="Q222" s="142"/>
      <c r="R222" s="129"/>
      <c r="S222" s="142"/>
      <c r="T222" s="130"/>
      <c r="U222" s="143">
        <f t="shared" ref="U222:AJ222" si="349">SUM(U221:U221)</f>
        <v>250</v>
      </c>
      <c r="V222" s="143">
        <f t="shared" si="349"/>
        <v>3</v>
      </c>
      <c r="W222" s="143">
        <f t="shared" si="349"/>
        <v>45</v>
      </c>
      <c r="X222" s="143">
        <f t="shared" si="349"/>
        <v>5</v>
      </c>
      <c r="Y222" s="142">
        <f t="shared" si="349"/>
        <v>4</v>
      </c>
      <c r="Z222" s="143">
        <f t="shared" si="349"/>
        <v>0</v>
      </c>
      <c r="AA222" s="143">
        <f t="shared" si="330"/>
        <v>57</v>
      </c>
      <c r="AB222" s="143">
        <f t="shared" si="349"/>
        <v>225</v>
      </c>
      <c r="AC222" s="143">
        <f t="shared" si="349"/>
        <v>15</v>
      </c>
      <c r="AD222" s="143">
        <f t="shared" si="349"/>
        <v>1</v>
      </c>
      <c r="AE222" s="143">
        <f t="shared" si="349"/>
        <v>1</v>
      </c>
      <c r="AF222" s="143">
        <f t="shared" si="349"/>
        <v>1</v>
      </c>
      <c r="AG222" s="143">
        <f t="shared" ref="AG222" si="350">SUM(AG221:AG221)</f>
        <v>0</v>
      </c>
      <c r="AH222" s="143">
        <f t="shared" si="349"/>
        <v>0</v>
      </c>
      <c r="AI222" s="143">
        <f t="shared" si="331"/>
        <v>3</v>
      </c>
      <c r="AJ222" s="143">
        <f t="shared" si="349"/>
        <v>12</v>
      </c>
      <c r="AK222" s="142"/>
      <c r="AL222" s="142"/>
      <c r="AM222" s="142"/>
      <c r="AN222" s="142"/>
      <c r="AO222" s="142"/>
      <c r="AP222" s="127"/>
      <c r="AQ222" s="143">
        <f>SUM(AQ221:AQ221)</f>
        <v>15</v>
      </c>
      <c r="AR222" s="143">
        <f>SUM(AR221:AR221)</f>
        <v>15</v>
      </c>
      <c r="AS222" s="143">
        <f>SUM(AS221:AS221)</f>
        <v>0</v>
      </c>
      <c r="AT222" s="143">
        <f>SUM(AT221:AT221)</f>
        <v>0</v>
      </c>
      <c r="AU222" s="129"/>
      <c r="AV222" s="142"/>
      <c r="AW222" s="127"/>
      <c r="AX222" s="127" t="s">
        <v>68</v>
      </c>
    </row>
    <row r="223" spans="1:50" s="144" customFormat="1" ht="36" x14ac:dyDescent="0.25">
      <c r="A223" s="308"/>
      <c r="B223" s="115" t="s">
        <v>224</v>
      </c>
      <c r="C223" s="115" t="s">
        <v>274</v>
      </c>
      <c r="D223" s="117" t="s">
        <v>106</v>
      </c>
      <c r="E223" s="117" t="s">
        <v>75</v>
      </c>
      <c r="F223" s="267"/>
      <c r="G223" s="119" t="s">
        <v>231</v>
      </c>
      <c r="H223" s="136">
        <v>5</v>
      </c>
      <c r="I223" s="89">
        <v>0</v>
      </c>
      <c r="J223" s="90">
        <v>0</v>
      </c>
      <c r="K223" s="91">
        <v>0</v>
      </c>
      <c r="L223" s="92">
        <v>0</v>
      </c>
      <c r="M223" s="81">
        <v>13</v>
      </c>
      <c r="N223" s="133">
        <f t="shared" si="338"/>
        <v>13</v>
      </c>
      <c r="O223" s="71">
        <v>5</v>
      </c>
      <c r="P223" s="71"/>
      <c r="Q223" s="136"/>
      <c r="R223" s="119" t="s">
        <v>51</v>
      </c>
      <c r="S223" s="120" t="s">
        <v>275</v>
      </c>
      <c r="T223" s="119" t="s">
        <v>276</v>
      </c>
      <c r="U223" s="136">
        <v>5</v>
      </c>
      <c r="V223" s="197">
        <v>0</v>
      </c>
      <c r="W223" s="90">
        <v>0</v>
      </c>
      <c r="X223" s="91">
        <v>0</v>
      </c>
      <c r="Y223" s="92">
        <v>0</v>
      </c>
      <c r="Z223" s="81">
        <v>0</v>
      </c>
      <c r="AA223" s="133">
        <f t="shared" si="330"/>
        <v>0</v>
      </c>
      <c r="AB223" s="71">
        <v>5</v>
      </c>
      <c r="AC223" s="136">
        <v>5</v>
      </c>
      <c r="AD223" s="197">
        <v>0</v>
      </c>
      <c r="AE223" s="90">
        <v>0</v>
      </c>
      <c r="AF223" s="91">
        <v>0</v>
      </c>
      <c r="AG223" s="92">
        <v>0</v>
      </c>
      <c r="AH223" s="81">
        <v>0</v>
      </c>
      <c r="AI223" s="133">
        <f t="shared" si="331"/>
        <v>0</v>
      </c>
      <c r="AJ223" s="71">
        <v>5</v>
      </c>
      <c r="AK223" s="136"/>
      <c r="AL223" s="136"/>
      <c r="AM223" s="72"/>
      <c r="AN223" s="136"/>
      <c r="AO223" s="72"/>
      <c r="AP223" s="119" t="s">
        <v>58</v>
      </c>
      <c r="AQ223" s="136">
        <v>5</v>
      </c>
      <c r="AR223" s="122">
        <v>0</v>
      </c>
      <c r="AS223" s="123">
        <v>0</v>
      </c>
      <c r="AT223" s="124">
        <v>0</v>
      </c>
      <c r="AU223" s="119"/>
      <c r="AV223" s="136"/>
      <c r="AW223" s="119"/>
      <c r="AX223" s="117" t="s">
        <v>147</v>
      </c>
    </row>
    <row r="224" spans="1:50" s="144" customFormat="1" ht="36" x14ac:dyDescent="0.25">
      <c r="A224" s="308"/>
      <c r="B224" s="115" t="s">
        <v>224</v>
      </c>
      <c r="C224" s="115" t="s">
        <v>274</v>
      </c>
      <c r="D224" s="117" t="s">
        <v>106</v>
      </c>
      <c r="E224" s="117" t="s">
        <v>75</v>
      </c>
      <c r="F224" s="268"/>
      <c r="G224" s="119" t="s">
        <v>227</v>
      </c>
      <c r="H224" s="136">
        <v>5</v>
      </c>
      <c r="I224" s="89">
        <v>0</v>
      </c>
      <c r="J224" s="90">
        <v>0</v>
      </c>
      <c r="K224" s="91">
        <v>0</v>
      </c>
      <c r="L224" s="92">
        <v>0</v>
      </c>
      <c r="M224" s="81">
        <v>0</v>
      </c>
      <c r="N224" s="133">
        <f t="shared" si="338"/>
        <v>0</v>
      </c>
      <c r="O224" s="71">
        <v>5</v>
      </c>
      <c r="P224" s="71"/>
      <c r="Q224" s="136"/>
      <c r="R224" s="119" t="s">
        <v>51</v>
      </c>
      <c r="S224" s="120" t="s">
        <v>275</v>
      </c>
      <c r="T224" s="119" t="s">
        <v>276</v>
      </c>
      <c r="U224" s="136">
        <v>5</v>
      </c>
      <c r="V224" s="197">
        <v>0</v>
      </c>
      <c r="W224" s="90">
        <v>0</v>
      </c>
      <c r="X224" s="91">
        <v>0</v>
      </c>
      <c r="Y224" s="92">
        <v>0</v>
      </c>
      <c r="Z224" s="81">
        <v>0</v>
      </c>
      <c r="AA224" s="133">
        <f t="shared" si="330"/>
        <v>0</v>
      </c>
      <c r="AB224" s="71">
        <v>5</v>
      </c>
      <c r="AC224" s="136">
        <v>0</v>
      </c>
      <c r="AD224" s="197">
        <v>0</v>
      </c>
      <c r="AE224" s="90">
        <v>0</v>
      </c>
      <c r="AF224" s="91">
        <v>0</v>
      </c>
      <c r="AG224" s="92">
        <v>0</v>
      </c>
      <c r="AH224" s="81">
        <v>0</v>
      </c>
      <c r="AI224" s="133">
        <f t="shared" si="331"/>
        <v>0</v>
      </c>
      <c r="AJ224" s="71">
        <v>0</v>
      </c>
      <c r="AK224" s="136"/>
      <c r="AL224" s="136"/>
      <c r="AM224" s="72"/>
      <c r="AN224" s="136"/>
      <c r="AO224" s="72"/>
      <c r="AP224" s="119"/>
      <c r="AQ224" s="136"/>
      <c r="AR224" s="122"/>
      <c r="AS224" s="123"/>
      <c r="AT224" s="124"/>
      <c r="AU224" s="119"/>
      <c r="AV224" s="136"/>
      <c r="AW224" s="119"/>
      <c r="AX224" s="117" t="s">
        <v>147</v>
      </c>
    </row>
    <row r="225" spans="1:50" s="144" customFormat="1" ht="36" x14ac:dyDescent="0.25">
      <c r="A225" s="308"/>
      <c r="B225" s="115" t="s">
        <v>224</v>
      </c>
      <c r="C225" s="115" t="s">
        <v>274</v>
      </c>
      <c r="D225" s="117" t="s">
        <v>106</v>
      </c>
      <c r="E225" s="117" t="s">
        <v>75</v>
      </c>
      <c r="F225" s="269"/>
      <c r="G225" s="119" t="s">
        <v>229</v>
      </c>
      <c r="H225" s="136">
        <v>5</v>
      </c>
      <c r="I225" s="89">
        <v>0</v>
      </c>
      <c r="J225" s="90">
        <v>0</v>
      </c>
      <c r="K225" s="91">
        <v>0</v>
      </c>
      <c r="L225" s="92">
        <v>0</v>
      </c>
      <c r="M225" s="81">
        <v>0</v>
      </c>
      <c r="N225" s="133">
        <f t="shared" si="338"/>
        <v>0</v>
      </c>
      <c r="O225" s="71">
        <v>5</v>
      </c>
      <c r="P225" s="71"/>
      <c r="Q225" s="136"/>
      <c r="R225" s="119" t="s">
        <v>51</v>
      </c>
      <c r="S225" s="120" t="s">
        <v>275</v>
      </c>
      <c r="T225" s="119" t="s">
        <v>276</v>
      </c>
      <c r="U225" s="136">
        <v>5</v>
      </c>
      <c r="V225" s="197">
        <v>0</v>
      </c>
      <c r="W225" s="90">
        <v>0</v>
      </c>
      <c r="X225" s="91">
        <v>0</v>
      </c>
      <c r="Y225" s="92">
        <v>0</v>
      </c>
      <c r="Z225" s="81">
        <v>0</v>
      </c>
      <c r="AA225" s="133">
        <f t="shared" si="330"/>
        <v>0</v>
      </c>
      <c r="AB225" s="71">
        <v>5</v>
      </c>
      <c r="AC225" s="136">
        <v>0</v>
      </c>
      <c r="AD225" s="197">
        <v>0</v>
      </c>
      <c r="AE225" s="90">
        <v>0</v>
      </c>
      <c r="AF225" s="91">
        <v>0</v>
      </c>
      <c r="AG225" s="92">
        <v>0</v>
      </c>
      <c r="AH225" s="81">
        <v>0</v>
      </c>
      <c r="AI225" s="133">
        <f t="shared" si="331"/>
        <v>0</v>
      </c>
      <c r="AJ225" s="71">
        <v>0</v>
      </c>
      <c r="AK225" s="136"/>
      <c r="AL225" s="136"/>
      <c r="AM225" s="72"/>
      <c r="AN225" s="136"/>
      <c r="AO225" s="72"/>
      <c r="AP225" s="119"/>
      <c r="AQ225" s="136"/>
      <c r="AR225" s="122"/>
      <c r="AS225" s="123"/>
      <c r="AT225" s="124"/>
      <c r="AU225" s="119"/>
      <c r="AV225" s="136"/>
      <c r="AW225" s="119"/>
      <c r="AX225" s="117" t="s">
        <v>147</v>
      </c>
    </row>
    <row r="226" spans="1:50" s="144" customFormat="1" ht="36" x14ac:dyDescent="0.25">
      <c r="A226" s="308"/>
      <c r="B226" s="115" t="s">
        <v>224</v>
      </c>
      <c r="C226" s="115" t="s">
        <v>274</v>
      </c>
      <c r="D226" s="117" t="s">
        <v>106</v>
      </c>
      <c r="E226" s="117" t="s">
        <v>75</v>
      </c>
      <c r="F226" s="142" t="s">
        <v>61</v>
      </c>
      <c r="G226" s="127"/>
      <c r="H226" s="142">
        <f>SUBTOTAL(9,H223:H225)</f>
        <v>15</v>
      </c>
      <c r="I226" s="142">
        <f t="shared" ref="I226" si="351">SUBTOTAL(9,I223:I225)</f>
        <v>0</v>
      </c>
      <c r="J226" s="142">
        <f t="shared" ref="J226:O226" si="352">SUBTOTAL(9,J223:J225)</f>
        <v>0</v>
      </c>
      <c r="K226" s="142">
        <f t="shared" si="352"/>
        <v>0</v>
      </c>
      <c r="L226" s="142">
        <f t="shared" si="352"/>
        <v>0</v>
      </c>
      <c r="M226" s="142">
        <f t="shared" si="352"/>
        <v>13</v>
      </c>
      <c r="N226" s="142">
        <f t="shared" si="338"/>
        <v>13</v>
      </c>
      <c r="O226" s="142">
        <f t="shared" si="352"/>
        <v>15</v>
      </c>
      <c r="P226" s="142"/>
      <c r="Q226" s="142"/>
      <c r="R226" s="129"/>
      <c r="S226" s="142"/>
      <c r="T226" s="130"/>
      <c r="U226" s="143">
        <f>SUBTOTAL(9,U223:U225)</f>
        <v>15</v>
      </c>
      <c r="V226" s="143">
        <f t="shared" ref="V226" si="353">SUBTOTAL(9,V223:V225)</f>
        <v>0</v>
      </c>
      <c r="W226" s="143">
        <f t="shared" ref="W226:AJ226" si="354">SUBTOTAL(9,W223:W225)</f>
        <v>0</v>
      </c>
      <c r="X226" s="143">
        <f t="shared" si="354"/>
        <v>0</v>
      </c>
      <c r="Y226" s="142">
        <f t="shared" si="354"/>
        <v>0</v>
      </c>
      <c r="Z226" s="143">
        <f t="shared" si="354"/>
        <v>0</v>
      </c>
      <c r="AA226" s="143">
        <f t="shared" si="330"/>
        <v>0</v>
      </c>
      <c r="AB226" s="143">
        <f t="shared" si="354"/>
        <v>15</v>
      </c>
      <c r="AC226" s="143">
        <f t="shared" si="354"/>
        <v>5</v>
      </c>
      <c r="AD226" s="143">
        <f t="shared" si="354"/>
        <v>0</v>
      </c>
      <c r="AE226" s="143">
        <f t="shared" si="354"/>
        <v>0</v>
      </c>
      <c r="AF226" s="143">
        <f t="shared" si="354"/>
        <v>0</v>
      </c>
      <c r="AG226" s="143">
        <f t="shared" ref="AG226" si="355">SUBTOTAL(9,AG223:AG225)</f>
        <v>0</v>
      </c>
      <c r="AH226" s="143">
        <f t="shared" si="354"/>
        <v>0</v>
      </c>
      <c r="AI226" s="143">
        <f t="shared" si="331"/>
        <v>0</v>
      </c>
      <c r="AJ226" s="143">
        <f t="shared" si="354"/>
        <v>5</v>
      </c>
      <c r="AK226" s="142"/>
      <c r="AL226" s="142"/>
      <c r="AM226" s="142"/>
      <c r="AN226" s="142"/>
      <c r="AO226" s="142"/>
      <c r="AP226" s="127"/>
      <c r="AQ226" s="143">
        <f>SUBTOTAL(9,AQ223:AQ225)</f>
        <v>5</v>
      </c>
      <c r="AR226" s="143">
        <f t="shared" ref="AR226:AT226" si="356">SUBTOTAL(9,AR223:AR225)</f>
        <v>0</v>
      </c>
      <c r="AS226" s="143">
        <f t="shared" si="356"/>
        <v>0</v>
      </c>
      <c r="AT226" s="143">
        <f t="shared" si="356"/>
        <v>0</v>
      </c>
      <c r="AU226" s="129"/>
      <c r="AV226" s="142"/>
      <c r="AW226" s="127"/>
      <c r="AX226" s="127"/>
    </row>
    <row r="227" spans="1:50" s="77" customFormat="1" ht="36" customHeight="1" x14ac:dyDescent="0.25">
      <c r="A227" s="308"/>
      <c r="B227" s="115" t="s">
        <v>224</v>
      </c>
      <c r="C227" s="115" t="s">
        <v>92</v>
      </c>
      <c r="D227" s="117" t="s">
        <v>89</v>
      </c>
      <c r="E227" s="117" t="s">
        <v>70</v>
      </c>
      <c r="F227" s="270" t="s">
        <v>49</v>
      </c>
      <c r="G227" s="136" t="s">
        <v>237</v>
      </c>
      <c r="H227" s="136">
        <v>15</v>
      </c>
      <c r="I227" s="89">
        <v>0</v>
      </c>
      <c r="J227" s="90">
        <v>0</v>
      </c>
      <c r="K227" s="91">
        <v>3</v>
      </c>
      <c r="L227" s="92">
        <v>2</v>
      </c>
      <c r="M227" s="81">
        <v>0</v>
      </c>
      <c r="N227" s="133">
        <f t="shared" si="338"/>
        <v>5</v>
      </c>
      <c r="O227" s="71">
        <v>10</v>
      </c>
      <c r="P227" s="71"/>
      <c r="Q227" s="136"/>
      <c r="R227" s="119" t="s">
        <v>51</v>
      </c>
      <c r="S227" s="120" t="s">
        <v>163</v>
      </c>
      <c r="T227" s="251" t="s">
        <v>77</v>
      </c>
      <c r="U227" s="136">
        <v>15</v>
      </c>
      <c r="V227" s="197">
        <v>0</v>
      </c>
      <c r="W227" s="90">
        <v>0</v>
      </c>
      <c r="X227" s="91">
        <v>3</v>
      </c>
      <c r="Y227" s="92">
        <v>2</v>
      </c>
      <c r="Z227" s="81">
        <v>0</v>
      </c>
      <c r="AA227" s="133">
        <f t="shared" si="330"/>
        <v>5</v>
      </c>
      <c r="AB227" s="71">
        <v>10</v>
      </c>
      <c r="AC227" s="136">
        <v>0</v>
      </c>
      <c r="AD227" s="197">
        <v>0</v>
      </c>
      <c r="AE227" s="90">
        <v>0</v>
      </c>
      <c r="AF227" s="91">
        <v>0</v>
      </c>
      <c r="AG227" s="92">
        <v>0</v>
      </c>
      <c r="AH227" s="81">
        <v>0</v>
      </c>
      <c r="AI227" s="133">
        <f t="shared" si="331"/>
        <v>0</v>
      </c>
      <c r="AJ227" s="71">
        <f>AC227/4*3</f>
        <v>0</v>
      </c>
      <c r="AK227" s="136"/>
      <c r="AL227" s="136"/>
      <c r="AM227" s="72"/>
      <c r="AN227" s="136"/>
      <c r="AO227" s="72"/>
      <c r="AP227" s="119"/>
      <c r="AQ227" s="136"/>
      <c r="AR227" s="122">
        <v>0</v>
      </c>
      <c r="AS227" s="123">
        <v>0</v>
      </c>
      <c r="AT227" s="124">
        <v>0</v>
      </c>
      <c r="AU227" s="119"/>
      <c r="AV227" s="136"/>
      <c r="AW227" s="119"/>
      <c r="AX227" s="146" t="s">
        <v>87</v>
      </c>
    </row>
    <row r="228" spans="1:50" s="77" customFormat="1" ht="54" x14ac:dyDescent="0.25">
      <c r="A228" s="308"/>
      <c r="B228" s="115" t="s">
        <v>224</v>
      </c>
      <c r="C228" s="115" t="s">
        <v>92</v>
      </c>
      <c r="D228" s="117" t="s">
        <v>89</v>
      </c>
      <c r="E228" s="117" t="s">
        <v>70</v>
      </c>
      <c r="F228" s="270"/>
      <c r="G228" s="136" t="s">
        <v>227</v>
      </c>
      <c r="H228" s="136">
        <v>80</v>
      </c>
      <c r="I228" s="89">
        <v>0</v>
      </c>
      <c r="J228" s="90">
        <v>3</v>
      </c>
      <c r="K228" s="91">
        <v>32</v>
      </c>
      <c r="L228" s="92">
        <v>5</v>
      </c>
      <c r="M228" s="81">
        <v>0</v>
      </c>
      <c r="N228" s="133">
        <f t="shared" si="338"/>
        <v>40</v>
      </c>
      <c r="O228" s="71">
        <v>40</v>
      </c>
      <c r="P228" s="71"/>
      <c r="Q228" s="136"/>
      <c r="R228" s="119" t="s">
        <v>51</v>
      </c>
      <c r="S228" s="120" t="s">
        <v>163</v>
      </c>
      <c r="T228" s="251"/>
      <c r="U228" s="136">
        <v>100</v>
      </c>
      <c r="V228" s="197">
        <v>0</v>
      </c>
      <c r="W228" s="90">
        <v>3</v>
      </c>
      <c r="X228" s="91">
        <v>32</v>
      </c>
      <c r="Y228" s="92">
        <v>5</v>
      </c>
      <c r="Z228" s="81">
        <v>0</v>
      </c>
      <c r="AA228" s="133">
        <f t="shared" si="330"/>
        <v>40</v>
      </c>
      <c r="AB228" s="71">
        <v>60</v>
      </c>
      <c r="AC228" s="136">
        <v>5</v>
      </c>
      <c r="AD228" s="197">
        <v>0</v>
      </c>
      <c r="AE228" s="90">
        <v>0</v>
      </c>
      <c r="AF228" s="91">
        <v>0</v>
      </c>
      <c r="AG228" s="92">
        <v>0</v>
      </c>
      <c r="AH228" s="81">
        <v>0</v>
      </c>
      <c r="AI228" s="133">
        <f t="shared" si="331"/>
        <v>0</v>
      </c>
      <c r="AJ228" s="71">
        <v>5</v>
      </c>
      <c r="AK228" s="136"/>
      <c r="AL228" s="136"/>
      <c r="AM228" s="72"/>
      <c r="AN228" s="136"/>
      <c r="AO228" s="72"/>
      <c r="AP228" s="119" t="s">
        <v>94</v>
      </c>
      <c r="AQ228" s="136">
        <v>5</v>
      </c>
      <c r="AR228" s="122">
        <v>0</v>
      </c>
      <c r="AS228" s="123">
        <v>0</v>
      </c>
      <c r="AT228" s="124">
        <v>5</v>
      </c>
      <c r="AU228" s="119"/>
      <c r="AV228" s="136"/>
      <c r="AW228" s="119"/>
      <c r="AX228" s="146" t="s">
        <v>87</v>
      </c>
    </row>
    <row r="229" spans="1:50" s="77" customFormat="1" ht="54" x14ac:dyDescent="0.25">
      <c r="A229" s="308"/>
      <c r="B229" s="115" t="s">
        <v>224</v>
      </c>
      <c r="C229" s="115" t="s">
        <v>92</v>
      </c>
      <c r="D229" s="117" t="s">
        <v>89</v>
      </c>
      <c r="E229" s="117" t="s">
        <v>70</v>
      </c>
      <c r="F229" s="270"/>
      <c r="G229" s="136" t="s">
        <v>228</v>
      </c>
      <c r="H229" s="136">
        <v>200</v>
      </c>
      <c r="I229" s="89">
        <v>0</v>
      </c>
      <c r="J229" s="90">
        <v>15</v>
      </c>
      <c r="K229" s="91">
        <v>34</v>
      </c>
      <c r="L229" s="92">
        <v>10</v>
      </c>
      <c r="M229" s="81">
        <v>3</v>
      </c>
      <c r="N229" s="133">
        <f t="shared" si="338"/>
        <v>62</v>
      </c>
      <c r="O229" s="71">
        <v>150</v>
      </c>
      <c r="P229" s="71"/>
      <c r="Q229" s="136"/>
      <c r="R229" s="119" t="s">
        <v>51</v>
      </c>
      <c r="S229" s="120" t="s">
        <v>163</v>
      </c>
      <c r="T229" s="251"/>
      <c r="U229" s="136">
        <v>220</v>
      </c>
      <c r="V229" s="197">
        <v>0</v>
      </c>
      <c r="W229" s="90">
        <v>3</v>
      </c>
      <c r="X229" s="91">
        <v>34</v>
      </c>
      <c r="Y229" s="92">
        <v>10</v>
      </c>
      <c r="Z229" s="81">
        <v>3</v>
      </c>
      <c r="AA229" s="133">
        <f t="shared" si="330"/>
        <v>50</v>
      </c>
      <c r="AB229" s="71">
        <v>140</v>
      </c>
      <c r="AC229" s="136">
        <v>5</v>
      </c>
      <c r="AD229" s="197">
        <v>0</v>
      </c>
      <c r="AE229" s="90">
        <v>0</v>
      </c>
      <c r="AF229" s="91">
        <v>0</v>
      </c>
      <c r="AG229" s="92">
        <v>0</v>
      </c>
      <c r="AH229" s="81">
        <v>0</v>
      </c>
      <c r="AI229" s="133">
        <f t="shared" si="331"/>
        <v>0</v>
      </c>
      <c r="AJ229" s="71">
        <v>5</v>
      </c>
      <c r="AK229" s="136"/>
      <c r="AL229" s="136"/>
      <c r="AM229" s="72"/>
      <c r="AN229" s="136"/>
      <c r="AO229" s="72"/>
      <c r="AP229" s="119" t="s">
        <v>94</v>
      </c>
      <c r="AQ229" s="136">
        <v>5</v>
      </c>
      <c r="AR229" s="122">
        <v>0</v>
      </c>
      <c r="AS229" s="123">
        <v>0</v>
      </c>
      <c r="AT229" s="124">
        <v>5</v>
      </c>
      <c r="AU229" s="119"/>
      <c r="AV229" s="136"/>
      <c r="AW229" s="119"/>
      <c r="AX229" s="146" t="s">
        <v>87</v>
      </c>
    </row>
    <row r="230" spans="1:50" s="77" customFormat="1" ht="36" customHeight="1" x14ac:dyDescent="0.25">
      <c r="A230" s="308"/>
      <c r="B230" s="115" t="s">
        <v>224</v>
      </c>
      <c r="C230" s="115" t="s">
        <v>92</v>
      </c>
      <c r="D230" s="117" t="s">
        <v>89</v>
      </c>
      <c r="E230" s="117" t="s">
        <v>70</v>
      </c>
      <c r="F230" s="270"/>
      <c r="G230" s="136" t="s">
        <v>260</v>
      </c>
      <c r="H230" s="136">
        <v>5</v>
      </c>
      <c r="I230" s="89">
        <v>0</v>
      </c>
      <c r="J230" s="90">
        <v>0</v>
      </c>
      <c r="K230" s="91">
        <v>0</v>
      </c>
      <c r="L230" s="92">
        <v>0</v>
      </c>
      <c r="M230" s="81">
        <v>0</v>
      </c>
      <c r="N230" s="133">
        <f t="shared" si="338"/>
        <v>0</v>
      </c>
      <c r="O230" s="71">
        <v>5</v>
      </c>
      <c r="P230" s="71"/>
      <c r="Q230" s="136"/>
      <c r="R230" s="119" t="s">
        <v>51</v>
      </c>
      <c r="S230" s="120" t="s">
        <v>163</v>
      </c>
      <c r="T230" s="251"/>
      <c r="U230" s="136">
        <v>10</v>
      </c>
      <c r="V230" s="197">
        <v>0</v>
      </c>
      <c r="W230" s="90">
        <v>0</v>
      </c>
      <c r="X230" s="91">
        <v>0</v>
      </c>
      <c r="Y230" s="92">
        <v>0</v>
      </c>
      <c r="Z230" s="81">
        <v>0</v>
      </c>
      <c r="AA230" s="133">
        <f t="shared" si="330"/>
        <v>0</v>
      </c>
      <c r="AB230" s="71">
        <v>10</v>
      </c>
      <c r="AC230" s="136">
        <v>0</v>
      </c>
      <c r="AD230" s="197">
        <v>0</v>
      </c>
      <c r="AE230" s="90">
        <v>0</v>
      </c>
      <c r="AF230" s="91">
        <v>0</v>
      </c>
      <c r="AG230" s="92">
        <v>0</v>
      </c>
      <c r="AH230" s="81">
        <v>0</v>
      </c>
      <c r="AI230" s="133">
        <f t="shared" si="331"/>
        <v>0</v>
      </c>
      <c r="AJ230" s="71">
        <f>AC230/4*3</f>
        <v>0</v>
      </c>
      <c r="AK230" s="136"/>
      <c r="AL230" s="136"/>
      <c r="AM230" s="72"/>
      <c r="AN230" s="136"/>
      <c r="AO230" s="72"/>
      <c r="AP230" s="119"/>
      <c r="AQ230" s="136"/>
      <c r="AR230" s="122">
        <v>0</v>
      </c>
      <c r="AS230" s="123">
        <v>0</v>
      </c>
      <c r="AT230" s="124">
        <v>0</v>
      </c>
      <c r="AU230" s="119"/>
      <c r="AV230" s="136"/>
      <c r="AW230" s="119"/>
      <c r="AX230" s="146" t="s">
        <v>87</v>
      </c>
    </row>
    <row r="231" spans="1:50" s="77" customFormat="1" ht="54" x14ac:dyDescent="0.25">
      <c r="A231" s="308"/>
      <c r="B231" s="115" t="s">
        <v>224</v>
      </c>
      <c r="C231" s="115" t="s">
        <v>92</v>
      </c>
      <c r="D231" s="117" t="s">
        <v>89</v>
      </c>
      <c r="E231" s="117" t="s">
        <v>70</v>
      </c>
      <c r="F231" s="270"/>
      <c r="G231" s="119" t="s">
        <v>229</v>
      </c>
      <c r="H231" s="136">
        <v>20</v>
      </c>
      <c r="I231" s="89">
        <v>0</v>
      </c>
      <c r="J231" s="90">
        <v>3</v>
      </c>
      <c r="K231" s="91">
        <v>8</v>
      </c>
      <c r="L231" s="92">
        <v>0</v>
      </c>
      <c r="M231" s="81">
        <v>0</v>
      </c>
      <c r="N231" s="133">
        <f t="shared" si="338"/>
        <v>11</v>
      </c>
      <c r="O231" s="71">
        <v>0</v>
      </c>
      <c r="P231" s="71"/>
      <c r="Q231" s="136"/>
      <c r="R231" s="119" t="s">
        <v>51</v>
      </c>
      <c r="S231" s="120" t="s">
        <v>163</v>
      </c>
      <c r="T231" s="251"/>
      <c r="U231" s="136">
        <v>40</v>
      </c>
      <c r="V231" s="197">
        <v>0</v>
      </c>
      <c r="W231" s="90">
        <v>3</v>
      </c>
      <c r="X231" s="91">
        <v>8</v>
      </c>
      <c r="Y231" s="92">
        <v>0</v>
      </c>
      <c r="Z231" s="81">
        <v>0</v>
      </c>
      <c r="AA231" s="133">
        <f t="shared" si="330"/>
        <v>11</v>
      </c>
      <c r="AB231" s="71">
        <v>20</v>
      </c>
      <c r="AC231" s="136">
        <v>5</v>
      </c>
      <c r="AD231" s="197">
        <v>0</v>
      </c>
      <c r="AE231" s="90">
        <v>0</v>
      </c>
      <c r="AF231" s="91">
        <v>0</v>
      </c>
      <c r="AG231" s="92">
        <v>0</v>
      </c>
      <c r="AH231" s="81">
        <v>0</v>
      </c>
      <c r="AI231" s="133">
        <f t="shared" si="331"/>
        <v>0</v>
      </c>
      <c r="AJ231" s="71">
        <v>5</v>
      </c>
      <c r="AK231" s="136"/>
      <c r="AL231" s="136"/>
      <c r="AM231" s="72"/>
      <c r="AN231" s="136"/>
      <c r="AO231" s="72"/>
      <c r="AP231" s="119" t="s">
        <v>94</v>
      </c>
      <c r="AQ231" s="136">
        <v>5</v>
      </c>
      <c r="AR231" s="122">
        <v>0</v>
      </c>
      <c r="AS231" s="123">
        <v>0</v>
      </c>
      <c r="AT231" s="124">
        <v>5</v>
      </c>
      <c r="AU231" s="119"/>
      <c r="AV231" s="136"/>
      <c r="AW231" s="119"/>
      <c r="AX231" s="146" t="s">
        <v>87</v>
      </c>
    </row>
    <row r="232" spans="1:50" s="144" customFormat="1" ht="36" customHeight="1" x14ac:dyDescent="0.25">
      <c r="A232" s="308"/>
      <c r="B232" s="115" t="s">
        <v>224</v>
      </c>
      <c r="C232" s="115" t="s">
        <v>92</v>
      </c>
      <c r="D232" s="117" t="s">
        <v>89</v>
      </c>
      <c r="E232" s="117" t="s">
        <v>70</v>
      </c>
      <c r="F232" s="142" t="s">
        <v>61</v>
      </c>
      <c r="G232" s="142"/>
      <c r="H232" s="143">
        <f t="shared" ref="H232:O232" si="357">SUM(H227:H231)</f>
        <v>320</v>
      </c>
      <c r="I232" s="143">
        <f t="shared" si="357"/>
        <v>0</v>
      </c>
      <c r="J232" s="143">
        <f t="shared" si="357"/>
        <v>21</v>
      </c>
      <c r="K232" s="143">
        <f t="shared" si="357"/>
        <v>77</v>
      </c>
      <c r="L232" s="143">
        <f t="shared" si="357"/>
        <v>17</v>
      </c>
      <c r="M232" s="143">
        <f t="shared" si="357"/>
        <v>3</v>
      </c>
      <c r="N232" s="143">
        <f t="shared" si="338"/>
        <v>118</v>
      </c>
      <c r="O232" s="143">
        <f t="shared" si="357"/>
        <v>205</v>
      </c>
      <c r="P232" s="143"/>
      <c r="Q232" s="142"/>
      <c r="R232" s="129"/>
      <c r="S232" s="142"/>
      <c r="T232" s="130"/>
      <c r="U232" s="143">
        <f t="shared" ref="U232:AJ232" si="358">SUM(U227:U231)</f>
        <v>385</v>
      </c>
      <c r="V232" s="197">
        <v>0</v>
      </c>
      <c r="W232" s="143">
        <f t="shared" si="358"/>
        <v>9</v>
      </c>
      <c r="X232" s="143">
        <f t="shared" si="358"/>
        <v>77</v>
      </c>
      <c r="Y232" s="143">
        <f t="shared" ref="Y232" si="359">SUM(Y227:Y231)</f>
        <v>17</v>
      </c>
      <c r="Z232" s="143">
        <f t="shared" si="358"/>
        <v>3</v>
      </c>
      <c r="AA232" s="143">
        <f t="shared" si="330"/>
        <v>106</v>
      </c>
      <c r="AB232" s="143">
        <f t="shared" si="358"/>
        <v>240</v>
      </c>
      <c r="AC232" s="143">
        <f t="shared" si="358"/>
        <v>15</v>
      </c>
      <c r="AD232" s="143">
        <f t="shared" si="358"/>
        <v>0</v>
      </c>
      <c r="AE232" s="143">
        <f t="shared" si="358"/>
        <v>0</v>
      </c>
      <c r="AF232" s="143">
        <f t="shared" si="358"/>
        <v>0</v>
      </c>
      <c r="AG232" s="143">
        <f t="shared" ref="AG232" si="360">SUM(AG227:AG231)</f>
        <v>0</v>
      </c>
      <c r="AH232" s="143">
        <f t="shared" si="358"/>
        <v>0</v>
      </c>
      <c r="AI232" s="143">
        <f t="shared" si="331"/>
        <v>0</v>
      </c>
      <c r="AJ232" s="143">
        <f t="shared" si="358"/>
        <v>15</v>
      </c>
      <c r="AK232" s="142"/>
      <c r="AL232" s="142"/>
      <c r="AM232" s="142"/>
      <c r="AN232" s="142"/>
      <c r="AO232" s="142"/>
      <c r="AP232" s="127"/>
      <c r="AQ232" s="143">
        <f>SUM(AQ227:AQ231)</f>
        <v>15</v>
      </c>
      <c r="AR232" s="143">
        <f>SUM(AR227:AR231)</f>
        <v>0</v>
      </c>
      <c r="AS232" s="143">
        <f>SUM(AS227:AS231)</f>
        <v>0</v>
      </c>
      <c r="AT232" s="143">
        <f>SUM(AT227:AT231)</f>
        <v>15</v>
      </c>
      <c r="AU232" s="129"/>
      <c r="AV232" s="142"/>
      <c r="AW232" s="127"/>
      <c r="AX232" s="127" t="s">
        <v>87</v>
      </c>
    </row>
    <row r="233" spans="1:50" s="77" customFormat="1" ht="36" customHeight="1" x14ac:dyDescent="0.25">
      <c r="A233" s="308"/>
      <c r="B233" s="115" t="s">
        <v>224</v>
      </c>
      <c r="C233" s="115" t="s">
        <v>95</v>
      </c>
      <c r="D233" s="117" t="s">
        <v>89</v>
      </c>
      <c r="E233" s="117" t="s">
        <v>70</v>
      </c>
      <c r="F233" s="267" t="s">
        <v>49</v>
      </c>
      <c r="G233" s="136" t="s">
        <v>178</v>
      </c>
      <c r="H233" s="136">
        <v>30</v>
      </c>
      <c r="I233" s="89">
        <v>0</v>
      </c>
      <c r="J233" s="90">
        <v>2</v>
      </c>
      <c r="K233" s="91">
        <v>1</v>
      </c>
      <c r="L233" s="92">
        <v>2</v>
      </c>
      <c r="M233" s="81">
        <v>0</v>
      </c>
      <c r="N233" s="133">
        <f t="shared" si="338"/>
        <v>5</v>
      </c>
      <c r="O233" s="71">
        <v>25</v>
      </c>
      <c r="P233" s="71"/>
      <c r="Q233" s="136"/>
      <c r="R233" s="119" t="s">
        <v>51</v>
      </c>
      <c r="S233" s="120" t="s">
        <v>277</v>
      </c>
      <c r="T233" s="249" t="s">
        <v>77</v>
      </c>
      <c r="U233" s="136">
        <v>60</v>
      </c>
      <c r="V233" s="197">
        <v>0</v>
      </c>
      <c r="W233" s="90">
        <v>2</v>
      </c>
      <c r="X233" s="91">
        <v>1</v>
      </c>
      <c r="Y233" s="92">
        <v>2</v>
      </c>
      <c r="Z233" s="81">
        <v>0</v>
      </c>
      <c r="AA233" s="133">
        <f t="shared" si="330"/>
        <v>5</v>
      </c>
      <c r="AB233" s="71">
        <v>55</v>
      </c>
      <c r="AC233" s="136">
        <v>2</v>
      </c>
      <c r="AD233" s="197">
        <v>0</v>
      </c>
      <c r="AE233" s="90">
        <v>0</v>
      </c>
      <c r="AF233" s="91">
        <v>0</v>
      </c>
      <c r="AG233" s="92">
        <v>0</v>
      </c>
      <c r="AH233" s="81">
        <v>0</v>
      </c>
      <c r="AI233" s="133">
        <f t="shared" si="331"/>
        <v>0</v>
      </c>
      <c r="AJ233" s="71">
        <v>2</v>
      </c>
      <c r="AK233" s="136"/>
      <c r="AL233" s="136"/>
      <c r="AM233" s="72"/>
      <c r="AN233" s="136"/>
      <c r="AO233" s="72"/>
      <c r="AP233" s="147" t="s">
        <v>91</v>
      </c>
      <c r="AQ233" s="136">
        <v>2</v>
      </c>
      <c r="AR233" s="122">
        <v>0</v>
      </c>
      <c r="AS233" s="123">
        <v>2</v>
      </c>
      <c r="AT233" s="124">
        <v>0</v>
      </c>
      <c r="AU233" s="119"/>
      <c r="AV233" s="136"/>
      <c r="AW233" s="119"/>
      <c r="AX233" s="117" t="s">
        <v>55</v>
      </c>
    </row>
    <row r="234" spans="1:50" s="9" customFormat="1" ht="54" x14ac:dyDescent="0.25">
      <c r="A234" s="308"/>
      <c r="B234" s="115" t="s">
        <v>224</v>
      </c>
      <c r="C234" s="115" t="s">
        <v>95</v>
      </c>
      <c r="D234" s="117" t="s">
        <v>89</v>
      </c>
      <c r="E234" s="117" t="s">
        <v>70</v>
      </c>
      <c r="F234" s="268"/>
      <c r="G234" s="119" t="s">
        <v>227</v>
      </c>
      <c r="H234" s="119">
        <v>50</v>
      </c>
      <c r="I234" s="89">
        <v>0</v>
      </c>
      <c r="J234" s="90">
        <v>5</v>
      </c>
      <c r="K234" s="91">
        <v>15</v>
      </c>
      <c r="L234" s="92">
        <v>0</v>
      </c>
      <c r="M234" s="81">
        <v>0</v>
      </c>
      <c r="N234" s="34">
        <f t="shared" si="338"/>
        <v>20</v>
      </c>
      <c r="O234" s="35">
        <v>40</v>
      </c>
      <c r="P234" s="35"/>
      <c r="Q234" s="119"/>
      <c r="R234" s="119" t="s">
        <v>51</v>
      </c>
      <c r="S234" s="120" t="s">
        <v>277</v>
      </c>
      <c r="T234" s="250"/>
      <c r="U234" s="119">
        <v>80</v>
      </c>
      <c r="V234" s="197">
        <v>0</v>
      </c>
      <c r="W234" s="90">
        <v>5</v>
      </c>
      <c r="X234" s="91">
        <v>15</v>
      </c>
      <c r="Y234" s="92">
        <v>0</v>
      </c>
      <c r="Z234" s="81">
        <v>0</v>
      </c>
      <c r="AA234" s="34">
        <f t="shared" si="330"/>
        <v>20</v>
      </c>
      <c r="AB234" s="35">
        <f>U234/4*3</f>
        <v>60</v>
      </c>
      <c r="AC234" s="119">
        <v>2</v>
      </c>
      <c r="AD234" s="197">
        <v>0</v>
      </c>
      <c r="AE234" s="90">
        <v>0</v>
      </c>
      <c r="AF234" s="91">
        <v>0</v>
      </c>
      <c r="AG234" s="92">
        <v>0</v>
      </c>
      <c r="AH234" s="81">
        <v>0</v>
      </c>
      <c r="AI234" s="34">
        <f t="shared" si="331"/>
        <v>0</v>
      </c>
      <c r="AJ234" s="35">
        <v>2</v>
      </c>
      <c r="AK234" s="119"/>
      <c r="AL234" s="119"/>
      <c r="AM234" s="46"/>
      <c r="AN234" s="119"/>
      <c r="AO234" s="46"/>
      <c r="AP234" s="147" t="s">
        <v>91</v>
      </c>
      <c r="AQ234" s="119">
        <v>2</v>
      </c>
      <c r="AR234" s="122">
        <v>0</v>
      </c>
      <c r="AS234" s="123">
        <v>2</v>
      </c>
      <c r="AT234" s="124">
        <v>0</v>
      </c>
      <c r="AU234" s="119"/>
      <c r="AV234" s="119"/>
      <c r="AW234" s="119"/>
      <c r="AX234" s="117" t="s">
        <v>55</v>
      </c>
    </row>
    <row r="235" spans="1:50" s="77" customFormat="1" ht="54" x14ac:dyDescent="0.25">
      <c r="A235" s="308"/>
      <c r="B235" s="115" t="s">
        <v>224</v>
      </c>
      <c r="C235" s="115" t="s">
        <v>95</v>
      </c>
      <c r="D235" s="117" t="s">
        <v>89</v>
      </c>
      <c r="E235" s="117" t="s">
        <v>70</v>
      </c>
      <c r="F235" s="268"/>
      <c r="G235" s="119" t="s">
        <v>228</v>
      </c>
      <c r="H235" s="119">
        <v>15</v>
      </c>
      <c r="I235" s="89">
        <v>0</v>
      </c>
      <c r="J235" s="90">
        <v>10</v>
      </c>
      <c r="K235" s="91">
        <v>0</v>
      </c>
      <c r="L235" s="92">
        <v>5</v>
      </c>
      <c r="M235" s="81">
        <v>0</v>
      </c>
      <c r="N235" s="34">
        <f t="shared" si="338"/>
        <v>15</v>
      </c>
      <c r="O235" s="35">
        <v>15</v>
      </c>
      <c r="P235" s="35"/>
      <c r="Q235" s="119"/>
      <c r="R235" s="119" t="s">
        <v>51</v>
      </c>
      <c r="S235" s="120" t="s">
        <v>277</v>
      </c>
      <c r="T235" s="250"/>
      <c r="U235" s="119">
        <v>15</v>
      </c>
      <c r="V235" s="197">
        <v>0</v>
      </c>
      <c r="W235" s="90">
        <v>0</v>
      </c>
      <c r="X235" s="91">
        <v>0</v>
      </c>
      <c r="Y235" s="92">
        <v>5</v>
      </c>
      <c r="Z235" s="81">
        <v>0</v>
      </c>
      <c r="AA235" s="34">
        <f t="shared" si="330"/>
        <v>5</v>
      </c>
      <c r="AB235" s="35">
        <v>15</v>
      </c>
      <c r="AC235" s="119">
        <v>0</v>
      </c>
      <c r="AD235" s="197">
        <v>0</v>
      </c>
      <c r="AE235" s="90">
        <v>0</v>
      </c>
      <c r="AF235" s="91">
        <v>0</v>
      </c>
      <c r="AG235" s="92">
        <v>0</v>
      </c>
      <c r="AH235" s="81">
        <v>0</v>
      </c>
      <c r="AI235" s="34">
        <f t="shared" si="331"/>
        <v>0</v>
      </c>
      <c r="AJ235" s="35">
        <f>AC235/4*3</f>
        <v>0</v>
      </c>
      <c r="AK235" s="119"/>
      <c r="AL235" s="119"/>
      <c r="AM235" s="46"/>
      <c r="AN235" s="119"/>
      <c r="AO235" s="46"/>
      <c r="AP235" s="119"/>
      <c r="AQ235" s="119"/>
      <c r="AR235" s="122">
        <v>0</v>
      </c>
      <c r="AS235" s="123">
        <f>AQ235/4*3</f>
        <v>0</v>
      </c>
      <c r="AT235" s="124">
        <v>0</v>
      </c>
      <c r="AU235" s="119"/>
      <c r="AV235" s="119"/>
      <c r="AW235" s="119"/>
      <c r="AX235" s="117" t="s">
        <v>55</v>
      </c>
    </row>
    <row r="236" spans="1:50" s="77" customFormat="1" ht="90" customHeight="1" x14ac:dyDescent="0.25">
      <c r="A236" s="308"/>
      <c r="B236" s="115" t="s">
        <v>224</v>
      </c>
      <c r="C236" s="115" t="s">
        <v>95</v>
      </c>
      <c r="D236" s="117" t="s">
        <v>89</v>
      </c>
      <c r="E236" s="117" t="s">
        <v>70</v>
      </c>
      <c r="F236" s="269"/>
      <c r="G236" s="119" t="s">
        <v>278</v>
      </c>
      <c r="H236" s="119">
        <v>5</v>
      </c>
      <c r="I236" s="89">
        <v>0</v>
      </c>
      <c r="J236" s="90">
        <v>0</v>
      </c>
      <c r="K236" s="91">
        <v>0</v>
      </c>
      <c r="L236" s="92">
        <v>0</v>
      </c>
      <c r="M236" s="81">
        <v>0</v>
      </c>
      <c r="N236" s="34">
        <f t="shared" si="338"/>
        <v>0</v>
      </c>
      <c r="O236" s="35">
        <v>5</v>
      </c>
      <c r="P236" s="35"/>
      <c r="Q236" s="119"/>
      <c r="R236" s="119" t="s">
        <v>279</v>
      </c>
      <c r="S236" s="120" t="s">
        <v>277</v>
      </c>
      <c r="T236" s="271"/>
      <c r="U236" s="119">
        <v>5</v>
      </c>
      <c r="V236" s="197">
        <v>0</v>
      </c>
      <c r="W236" s="90">
        <v>0</v>
      </c>
      <c r="X236" s="91">
        <v>0</v>
      </c>
      <c r="Y236" s="92">
        <v>0</v>
      </c>
      <c r="Z236" s="81">
        <v>0</v>
      </c>
      <c r="AA236" s="34">
        <f t="shared" si="330"/>
        <v>0</v>
      </c>
      <c r="AB236" s="35">
        <v>5</v>
      </c>
      <c r="AC236" s="119">
        <v>0</v>
      </c>
      <c r="AD236" s="197">
        <v>0</v>
      </c>
      <c r="AE236" s="90">
        <v>0</v>
      </c>
      <c r="AF236" s="91">
        <v>0</v>
      </c>
      <c r="AG236" s="92">
        <v>0</v>
      </c>
      <c r="AH236" s="81">
        <v>0</v>
      </c>
      <c r="AI236" s="34">
        <f t="shared" si="331"/>
        <v>0</v>
      </c>
      <c r="AJ236" s="35">
        <f>AC236/4*3</f>
        <v>0</v>
      </c>
      <c r="AK236" s="119"/>
      <c r="AL236" s="119"/>
      <c r="AM236" s="46"/>
      <c r="AN236" s="119"/>
      <c r="AO236" s="46"/>
      <c r="AP236" s="119"/>
      <c r="AQ236" s="119"/>
      <c r="AR236" s="122"/>
      <c r="AS236" s="123"/>
      <c r="AT236" s="124"/>
      <c r="AU236" s="119"/>
      <c r="AV236" s="119"/>
      <c r="AW236" s="119"/>
      <c r="AX236" s="117"/>
    </row>
    <row r="237" spans="1:50" s="144" customFormat="1" ht="54" x14ac:dyDescent="0.25">
      <c r="A237" s="308"/>
      <c r="B237" s="115" t="s">
        <v>224</v>
      </c>
      <c r="C237" s="115" t="s">
        <v>95</v>
      </c>
      <c r="D237" s="117" t="s">
        <v>89</v>
      </c>
      <c r="E237" s="117" t="s">
        <v>70</v>
      </c>
      <c r="F237" s="142" t="s">
        <v>61</v>
      </c>
      <c r="G237" s="142"/>
      <c r="H237" s="142">
        <f>SUM(H233:H236)</f>
        <v>100</v>
      </c>
      <c r="I237" s="142">
        <f t="shared" ref="I237" si="361">SUM(I233:I236)</f>
        <v>0</v>
      </c>
      <c r="J237" s="142">
        <f t="shared" ref="J237:O237" si="362">SUM(J233:J236)</f>
        <v>17</v>
      </c>
      <c r="K237" s="142">
        <f t="shared" si="362"/>
        <v>16</v>
      </c>
      <c r="L237" s="142">
        <f t="shared" si="362"/>
        <v>7</v>
      </c>
      <c r="M237" s="142">
        <f t="shared" si="362"/>
        <v>0</v>
      </c>
      <c r="N237" s="142">
        <f t="shared" si="338"/>
        <v>40</v>
      </c>
      <c r="O237" s="142">
        <f t="shared" si="362"/>
        <v>85</v>
      </c>
      <c r="P237" s="142"/>
      <c r="Q237" s="142"/>
      <c r="R237" s="129"/>
      <c r="S237" s="142"/>
      <c r="T237" s="130"/>
      <c r="U237" s="143">
        <f>SUM(U233:U236)</f>
        <v>160</v>
      </c>
      <c r="V237" s="143">
        <f t="shared" ref="V237" si="363">SUM(V233:V236)</f>
        <v>0</v>
      </c>
      <c r="W237" s="143">
        <f t="shared" ref="W237:AJ237" si="364">SUM(W233:W236)</f>
        <v>7</v>
      </c>
      <c r="X237" s="143">
        <f t="shared" si="364"/>
        <v>16</v>
      </c>
      <c r="Y237" s="142">
        <f t="shared" si="364"/>
        <v>7</v>
      </c>
      <c r="Z237" s="143">
        <f t="shared" si="364"/>
        <v>0</v>
      </c>
      <c r="AA237" s="143">
        <f t="shared" si="330"/>
        <v>30</v>
      </c>
      <c r="AB237" s="143">
        <f t="shared" si="364"/>
        <v>135</v>
      </c>
      <c r="AC237" s="143">
        <f t="shared" si="364"/>
        <v>4</v>
      </c>
      <c r="AD237" s="143">
        <f t="shared" si="364"/>
        <v>0</v>
      </c>
      <c r="AE237" s="143">
        <f t="shared" si="364"/>
        <v>0</v>
      </c>
      <c r="AF237" s="143">
        <f t="shared" si="364"/>
        <v>0</v>
      </c>
      <c r="AG237" s="143">
        <f t="shared" ref="AG237" si="365">SUM(AG233:AG236)</f>
        <v>0</v>
      </c>
      <c r="AH237" s="143">
        <f t="shared" si="364"/>
        <v>0</v>
      </c>
      <c r="AI237" s="143">
        <f t="shared" si="331"/>
        <v>0</v>
      </c>
      <c r="AJ237" s="143">
        <f t="shared" si="364"/>
        <v>4</v>
      </c>
      <c r="AK237" s="142"/>
      <c r="AL237" s="142"/>
      <c r="AM237" s="142"/>
      <c r="AN237" s="142"/>
      <c r="AO237" s="142"/>
      <c r="AP237" s="127"/>
      <c r="AQ237" s="143">
        <f>SUM(AQ233:AQ235)</f>
        <v>4</v>
      </c>
      <c r="AR237" s="143">
        <f>SUM(AR233:AR235)</f>
        <v>0</v>
      </c>
      <c r="AS237" s="143">
        <f>SUM(AS233:AS235)</f>
        <v>4</v>
      </c>
      <c r="AT237" s="143">
        <f>SUM(AT233:AT235)</f>
        <v>0</v>
      </c>
      <c r="AU237" s="129"/>
      <c r="AV237" s="142"/>
      <c r="AW237" s="127"/>
      <c r="AX237" s="127" t="s">
        <v>55</v>
      </c>
    </row>
    <row r="238" spans="1:50" s="77" customFormat="1" ht="36" customHeight="1" x14ac:dyDescent="0.25">
      <c r="A238" s="308"/>
      <c r="B238" s="115" t="s">
        <v>224</v>
      </c>
      <c r="C238" s="115" t="s">
        <v>97</v>
      </c>
      <c r="D238" s="117" t="s">
        <v>89</v>
      </c>
      <c r="E238" s="117" t="s">
        <v>48</v>
      </c>
      <c r="F238" s="267" t="s">
        <v>49</v>
      </c>
      <c r="G238" s="119" t="s">
        <v>178</v>
      </c>
      <c r="H238" s="119">
        <v>70</v>
      </c>
      <c r="I238" s="89">
        <v>0</v>
      </c>
      <c r="J238" s="90">
        <v>0</v>
      </c>
      <c r="K238" s="91">
        <v>0</v>
      </c>
      <c r="L238" s="92">
        <v>0</v>
      </c>
      <c r="M238" s="81">
        <v>0</v>
      </c>
      <c r="N238" s="34">
        <f t="shared" si="338"/>
        <v>0</v>
      </c>
      <c r="O238" s="35">
        <v>25</v>
      </c>
      <c r="P238" s="35"/>
      <c r="Q238" s="119"/>
      <c r="R238" s="119" t="s">
        <v>51</v>
      </c>
      <c r="S238" s="120" t="s">
        <v>280</v>
      </c>
      <c r="T238" s="249" t="s">
        <v>77</v>
      </c>
      <c r="U238" s="136">
        <v>100</v>
      </c>
      <c r="V238" s="197">
        <v>0</v>
      </c>
      <c r="W238" s="90">
        <v>0</v>
      </c>
      <c r="X238" s="91">
        <v>0</v>
      </c>
      <c r="Y238" s="92">
        <v>0</v>
      </c>
      <c r="Z238" s="81">
        <v>0</v>
      </c>
      <c r="AA238" s="133">
        <f t="shared" si="330"/>
        <v>0</v>
      </c>
      <c r="AB238" s="71">
        <v>100</v>
      </c>
      <c r="AC238" s="136">
        <v>70</v>
      </c>
      <c r="AD238" s="197">
        <v>0</v>
      </c>
      <c r="AE238" s="90">
        <v>0</v>
      </c>
      <c r="AF238" s="91">
        <v>0</v>
      </c>
      <c r="AG238" s="92">
        <v>0</v>
      </c>
      <c r="AH238" s="81">
        <v>0</v>
      </c>
      <c r="AI238" s="133">
        <f t="shared" si="331"/>
        <v>0</v>
      </c>
      <c r="AJ238" s="71">
        <v>70</v>
      </c>
      <c r="AK238" s="136"/>
      <c r="AL238" s="136"/>
      <c r="AM238" s="72"/>
      <c r="AN238" s="136"/>
      <c r="AO238" s="72"/>
      <c r="AP238" s="119" t="s">
        <v>281</v>
      </c>
      <c r="AQ238" s="136">
        <v>70</v>
      </c>
      <c r="AR238" s="122">
        <v>0</v>
      </c>
      <c r="AS238" s="123">
        <v>70</v>
      </c>
      <c r="AT238" s="124">
        <v>0</v>
      </c>
      <c r="AU238" s="119"/>
      <c r="AV238" s="136"/>
      <c r="AW238" s="119"/>
      <c r="AX238" s="117" t="s">
        <v>55</v>
      </c>
    </row>
    <row r="239" spans="1:50" s="77" customFormat="1" ht="36" customHeight="1" x14ac:dyDescent="0.25">
      <c r="A239" s="308"/>
      <c r="B239" s="115" t="s">
        <v>224</v>
      </c>
      <c r="C239" s="115" t="s">
        <v>97</v>
      </c>
      <c r="D239" s="117" t="s">
        <v>89</v>
      </c>
      <c r="E239" s="117" t="s">
        <v>48</v>
      </c>
      <c r="F239" s="268"/>
      <c r="G239" s="136" t="s">
        <v>227</v>
      </c>
      <c r="H239" s="136">
        <v>100</v>
      </c>
      <c r="I239" s="89">
        <v>0</v>
      </c>
      <c r="J239" s="90">
        <v>0</v>
      </c>
      <c r="K239" s="91">
        <v>0</v>
      </c>
      <c r="L239" s="92">
        <v>0</v>
      </c>
      <c r="M239" s="81">
        <v>0</v>
      </c>
      <c r="N239" s="133">
        <f t="shared" si="338"/>
        <v>0</v>
      </c>
      <c r="O239" s="71">
        <v>90</v>
      </c>
      <c r="P239" s="71"/>
      <c r="Q239" s="136"/>
      <c r="R239" s="119" t="s">
        <v>51</v>
      </c>
      <c r="S239" s="120" t="s">
        <v>280</v>
      </c>
      <c r="T239" s="250"/>
      <c r="U239" s="136">
        <v>100</v>
      </c>
      <c r="V239" s="197">
        <v>0</v>
      </c>
      <c r="W239" s="90">
        <v>0</v>
      </c>
      <c r="X239" s="91">
        <v>0</v>
      </c>
      <c r="Y239" s="92">
        <v>0</v>
      </c>
      <c r="Z239" s="81">
        <v>0</v>
      </c>
      <c r="AA239" s="133">
        <f t="shared" si="330"/>
        <v>0</v>
      </c>
      <c r="AB239" s="71">
        <v>100</v>
      </c>
      <c r="AC239" s="136">
        <v>70</v>
      </c>
      <c r="AD239" s="197">
        <v>0</v>
      </c>
      <c r="AE239" s="90">
        <v>0</v>
      </c>
      <c r="AF239" s="91">
        <v>0</v>
      </c>
      <c r="AG239" s="92">
        <v>0</v>
      </c>
      <c r="AH239" s="81">
        <v>0</v>
      </c>
      <c r="AI239" s="133">
        <f t="shared" si="331"/>
        <v>0</v>
      </c>
      <c r="AJ239" s="71">
        <v>70</v>
      </c>
      <c r="AK239" s="136"/>
      <c r="AL239" s="136"/>
      <c r="AM239" s="72"/>
      <c r="AN239" s="136"/>
      <c r="AO239" s="72"/>
      <c r="AP239" s="119" t="s">
        <v>281</v>
      </c>
      <c r="AQ239" s="136">
        <v>70</v>
      </c>
      <c r="AR239" s="122">
        <v>0</v>
      </c>
      <c r="AS239" s="123">
        <v>70</v>
      </c>
      <c r="AT239" s="124">
        <v>0</v>
      </c>
      <c r="AU239" s="119"/>
      <c r="AV239" s="136"/>
      <c r="AW239" s="119"/>
      <c r="AX239" s="117" t="s">
        <v>55</v>
      </c>
    </row>
    <row r="240" spans="1:50" s="77" customFormat="1" ht="54" x14ac:dyDescent="0.25">
      <c r="A240" s="308"/>
      <c r="B240" s="115" t="s">
        <v>224</v>
      </c>
      <c r="C240" s="115" t="s">
        <v>97</v>
      </c>
      <c r="D240" s="117" t="s">
        <v>89</v>
      </c>
      <c r="E240" s="117" t="s">
        <v>48</v>
      </c>
      <c r="F240" s="268"/>
      <c r="G240" s="119" t="s">
        <v>282</v>
      </c>
      <c r="H240" s="136">
        <v>10</v>
      </c>
      <c r="I240" s="89">
        <v>0</v>
      </c>
      <c r="J240" s="90">
        <v>0</v>
      </c>
      <c r="K240" s="91">
        <v>0</v>
      </c>
      <c r="L240" s="92">
        <v>0</v>
      </c>
      <c r="M240" s="81">
        <v>0</v>
      </c>
      <c r="N240" s="133">
        <f t="shared" si="338"/>
        <v>0</v>
      </c>
      <c r="O240" s="71">
        <v>5</v>
      </c>
      <c r="P240" s="71"/>
      <c r="Q240" s="136"/>
      <c r="R240" s="119" t="s">
        <v>179</v>
      </c>
      <c r="S240" s="120" t="s">
        <v>280</v>
      </c>
      <c r="T240" s="250"/>
      <c r="U240" s="136">
        <v>20</v>
      </c>
      <c r="V240" s="197">
        <v>0</v>
      </c>
      <c r="W240" s="90">
        <v>0</v>
      </c>
      <c r="X240" s="91">
        <v>3</v>
      </c>
      <c r="Y240" s="92">
        <v>0</v>
      </c>
      <c r="Z240" s="81">
        <v>0</v>
      </c>
      <c r="AA240" s="133">
        <f t="shared" si="330"/>
        <v>3</v>
      </c>
      <c r="AB240" s="71">
        <v>20</v>
      </c>
      <c r="AC240" s="136">
        <v>2</v>
      </c>
      <c r="AD240" s="197">
        <v>0</v>
      </c>
      <c r="AE240" s="90">
        <v>0</v>
      </c>
      <c r="AF240" s="91">
        <v>3</v>
      </c>
      <c r="AG240" s="92">
        <v>0</v>
      </c>
      <c r="AH240" s="81">
        <v>0</v>
      </c>
      <c r="AI240" s="133">
        <f t="shared" si="331"/>
        <v>3</v>
      </c>
      <c r="AJ240" s="71">
        <v>2</v>
      </c>
      <c r="AK240" s="136"/>
      <c r="AL240" s="136"/>
      <c r="AM240" s="72"/>
      <c r="AN240" s="136"/>
      <c r="AO240" s="72"/>
      <c r="AP240" s="119" t="s">
        <v>281</v>
      </c>
      <c r="AQ240" s="136">
        <v>2</v>
      </c>
      <c r="AR240" s="122">
        <v>0</v>
      </c>
      <c r="AS240" s="123">
        <v>2</v>
      </c>
      <c r="AT240" s="124">
        <v>0</v>
      </c>
      <c r="AU240" s="119"/>
      <c r="AV240" s="136"/>
      <c r="AW240" s="119"/>
      <c r="AX240" s="117" t="s">
        <v>55</v>
      </c>
    </row>
    <row r="241" spans="1:50" s="9" customFormat="1" ht="36" customHeight="1" x14ac:dyDescent="0.25">
      <c r="A241" s="308"/>
      <c r="B241" s="115" t="s">
        <v>224</v>
      </c>
      <c r="C241" s="115" t="s">
        <v>97</v>
      </c>
      <c r="D241" s="117" t="s">
        <v>89</v>
      </c>
      <c r="E241" s="117" t="s">
        <v>48</v>
      </c>
      <c r="F241" s="268"/>
      <c r="G241" s="119" t="s">
        <v>172</v>
      </c>
      <c r="H241" s="136">
        <v>30</v>
      </c>
      <c r="I241" s="89">
        <v>0</v>
      </c>
      <c r="J241" s="90">
        <v>0</v>
      </c>
      <c r="K241" s="91">
        <v>3</v>
      </c>
      <c r="L241" s="92">
        <v>7</v>
      </c>
      <c r="M241" s="81">
        <v>0</v>
      </c>
      <c r="N241" s="133">
        <f t="shared" si="338"/>
        <v>10</v>
      </c>
      <c r="O241" s="71">
        <v>0</v>
      </c>
      <c r="P241" s="71"/>
      <c r="Q241" s="136"/>
      <c r="R241" s="119" t="s">
        <v>179</v>
      </c>
      <c r="S241" s="120" t="s">
        <v>280</v>
      </c>
      <c r="T241" s="250"/>
      <c r="U241" s="119">
        <v>0</v>
      </c>
      <c r="V241" s="197">
        <v>0</v>
      </c>
      <c r="W241" s="90">
        <v>0</v>
      </c>
      <c r="X241" s="91">
        <v>0</v>
      </c>
      <c r="Y241" s="92">
        <v>7</v>
      </c>
      <c r="Z241" s="81">
        <v>10</v>
      </c>
      <c r="AA241" s="34">
        <f t="shared" si="330"/>
        <v>17</v>
      </c>
      <c r="AB241" s="35">
        <v>25</v>
      </c>
      <c r="AC241" s="119">
        <v>20</v>
      </c>
      <c r="AD241" s="197">
        <v>0</v>
      </c>
      <c r="AE241" s="90">
        <v>0</v>
      </c>
      <c r="AF241" s="91">
        <v>0</v>
      </c>
      <c r="AG241" s="92">
        <v>0</v>
      </c>
      <c r="AH241" s="81">
        <v>10</v>
      </c>
      <c r="AI241" s="34">
        <f t="shared" si="331"/>
        <v>10</v>
      </c>
      <c r="AJ241" s="35">
        <v>15</v>
      </c>
      <c r="AK241" s="119"/>
      <c r="AL241" s="119"/>
      <c r="AM241" s="46"/>
      <c r="AN241" s="119"/>
      <c r="AO241" s="46"/>
      <c r="AP241" s="119" t="s">
        <v>281</v>
      </c>
      <c r="AQ241" s="119">
        <v>15</v>
      </c>
      <c r="AR241" s="122">
        <v>0</v>
      </c>
      <c r="AS241" s="123">
        <v>15</v>
      </c>
      <c r="AT241" s="124">
        <v>0</v>
      </c>
      <c r="AU241" s="119"/>
      <c r="AV241" s="119"/>
      <c r="AW241" s="119"/>
      <c r="AX241" s="117" t="s">
        <v>55</v>
      </c>
    </row>
    <row r="242" spans="1:50" s="77" customFormat="1" ht="36" customHeight="1" x14ac:dyDescent="0.25">
      <c r="A242" s="308"/>
      <c r="B242" s="115" t="s">
        <v>224</v>
      </c>
      <c r="C242" s="115" t="s">
        <v>97</v>
      </c>
      <c r="D242" s="117" t="s">
        <v>89</v>
      </c>
      <c r="E242" s="117" t="s">
        <v>48</v>
      </c>
      <c r="F242" s="268"/>
      <c r="G242" s="119" t="s">
        <v>283</v>
      </c>
      <c r="H242" s="119">
        <v>5</v>
      </c>
      <c r="I242" s="89">
        <v>0</v>
      </c>
      <c r="J242" s="90">
        <v>0</v>
      </c>
      <c r="K242" s="91">
        <v>0</v>
      </c>
      <c r="L242" s="92">
        <v>0</v>
      </c>
      <c r="M242" s="81">
        <v>0</v>
      </c>
      <c r="N242" s="34">
        <f t="shared" si="338"/>
        <v>0</v>
      </c>
      <c r="O242" s="35">
        <v>0</v>
      </c>
      <c r="P242" s="35"/>
      <c r="Q242" s="119"/>
      <c r="R242" s="119" t="s">
        <v>179</v>
      </c>
      <c r="S242" s="120" t="s">
        <v>280</v>
      </c>
      <c r="T242" s="250"/>
      <c r="U242" s="119">
        <v>0</v>
      </c>
      <c r="V242" s="197">
        <v>0</v>
      </c>
      <c r="W242" s="90">
        <v>0</v>
      </c>
      <c r="X242" s="91">
        <v>0</v>
      </c>
      <c r="Y242" s="92">
        <v>0</v>
      </c>
      <c r="Z242" s="81">
        <v>0</v>
      </c>
      <c r="AA242" s="34">
        <f t="shared" si="330"/>
        <v>0</v>
      </c>
      <c r="AB242" s="35">
        <v>0</v>
      </c>
      <c r="AC242" s="119">
        <v>0</v>
      </c>
      <c r="AD242" s="197">
        <v>0</v>
      </c>
      <c r="AE242" s="90">
        <v>0</v>
      </c>
      <c r="AF242" s="91">
        <v>0</v>
      </c>
      <c r="AG242" s="92">
        <v>0</v>
      </c>
      <c r="AH242" s="81">
        <v>0</v>
      </c>
      <c r="AI242" s="34">
        <f t="shared" si="331"/>
        <v>0</v>
      </c>
      <c r="AJ242" s="35">
        <v>0</v>
      </c>
      <c r="AK242" s="119"/>
      <c r="AL242" s="119"/>
      <c r="AM242" s="46"/>
      <c r="AN242" s="119"/>
      <c r="AO242" s="46"/>
      <c r="AP242" s="119" t="s">
        <v>281</v>
      </c>
      <c r="AQ242" s="136">
        <v>0</v>
      </c>
      <c r="AR242" s="122">
        <v>0</v>
      </c>
      <c r="AS242" s="123">
        <v>0</v>
      </c>
      <c r="AT242" s="124">
        <v>0</v>
      </c>
      <c r="AU242" s="119"/>
      <c r="AV242" s="136"/>
      <c r="AW242" s="119"/>
      <c r="AX242" s="117" t="s">
        <v>55</v>
      </c>
    </row>
    <row r="243" spans="1:50" s="77" customFormat="1" ht="54" x14ac:dyDescent="0.25">
      <c r="A243" s="308"/>
      <c r="B243" s="115" t="s">
        <v>224</v>
      </c>
      <c r="C243" s="115" t="s">
        <v>97</v>
      </c>
      <c r="D243" s="117" t="s">
        <v>89</v>
      </c>
      <c r="E243" s="117" t="s">
        <v>48</v>
      </c>
      <c r="F243" s="269"/>
      <c r="G243" s="119" t="s">
        <v>284</v>
      </c>
      <c r="H243" s="119">
        <v>10</v>
      </c>
      <c r="I243" s="89">
        <v>0</v>
      </c>
      <c r="J243" s="90">
        <v>0</v>
      </c>
      <c r="K243" s="91">
        <v>0</v>
      </c>
      <c r="L243" s="92">
        <v>0</v>
      </c>
      <c r="M243" s="81">
        <v>0</v>
      </c>
      <c r="N243" s="34">
        <f t="shared" si="338"/>
        <v>0</v>
      </c>
      <c r="O243" s="35">
        <v>5</v>
      </c>
      <c r="P243" s="35"/>
      <c r="Q243" s="119"/>
      <c r="R243" s="119" t="s">
        <v>179</v>
      </c>
      <c r="S243" s="120" t="s">
        <v>280</v>
      </c>
      <c r="T243" s="271"/>
      <c r="U243" s="119">
        <v>20</v>
      </c>
      <c r="V243" s="197">
        <v>0</v>
      </c>
      <c r="W243" s="90">
        <v>0</v>
      </c>
      <c r="X243" s="91">
        <v>0</v>
      </c>
      <c r="Y243" s="92">
        <v>0</v>
      </c>
      <c r="Z243" s="81">
        <v>0</v>
      </c>
      <c r="AA243" s="34">
        <f t="shared" si="330"/>
        <v>0</v>
      </c>
      <c r="AB243" s="35">
        <v>20</v>
      </c>
      <c r="AC243" s="119">
        <v>2</v>
      </c>
      <c r="AD243" s="197">
        <v>0</v>
      </c>
      <c r="AE243" s="90">
        <v>0</v>
      </c>
      <c r="AF243" s="91">
        <v>0</v>
      </c>
      <c r="AG243" s="92">
        <v>0</v>
      </c>
      <c r="AH243" s="81">
        <v>0</v>
      </c>
      <c r="AI243" s="34">
        <f t="shared" si="331"/>
        <v>0</v>
      </c>
      <c r="AJ243" s="35">
        <v>2</v>
      </c>
      <c r="AK243" s="119"/>
      <c r="AL243" s="119"/>
      <c r="AM243" s="46"/>
      <c r="AN243" s="119"/>
      <c r="AO243" s="46"/>
      <c r="AP243" s="119" t="s">
        <v>281</v>
      </c>
      <c r="AQ243" s="136">
        <v>2</v>
      </c>
      <c r="AR243" s="122">
        <v>0</v>
      </c>
      <c r="AS243" s="123">
        <v>2</v>
      </c>
      <c r="AT243" s="124">
        <v>0</v>
      </c>
      <c r="AU243" s="119"/>
      <c r="AV243" s="136"/>
      <c r="AW243" s="119"/>
      <c r="AX243" s="117" t="s">
        <v>55</v>
      </c>
    </row>
    <row r="244" spans="1:50" s="77" customFormat="1" ht="36" customHeight="1" x14ac:dyDescent="0.25">
      <c r="A244" s="308"/>
      <c r="B244" s="115" t="s">
        <v>224</v>
      </c>
      <c r="C244" s="115" t="s">
        <v>97</v>
      </c>
      <c r="D244" s="117" t="s">
        <v>89</v>
      </c>
      <c r="E244" s="117" t="s">
        <v>48</v>
      </c>
      <c r="F244" s="142" t="s">
        <v>61</v>
      </c>
      <c r="G244" s="142"/>
      <c r="H244" s="142">
        <f>SUM(H238:H243)</f>
        <v>225</v>
      </c>
      <c r="I244" s="142">
        <f t="shared" ref="I244" si="366">SUM(I238:I243)</f>
        <v>0</v>
      </c>
      <c r="J244" s="142">
        <f t="shared" ref="J244:M244" si="367">SUM(J238:J243)</f>
        <v>0</v>
      </c>
      <c r="K244" s="142">
        <f t="shared" si="367"/>
        <v>3</v>
      </c>
      <c r="L244" s="142">
        <f t="shared" si="367"/>
        <v>7</v>
      </c>
      <c r="M244" s="142">
        <f t="shared" si="367"/>
        <v>0</v>
      </c>
      <c r="N244" s="142">
        <f t="shared" si="338"/>
        <v>10</v>
      </c>
      <c r="O244" s="142">
        <f>SUM(O238:O243)</f>
        <v>125</v>
      </c>
      <c r="P244" s="142"/>
      <c r="Q244" s="142"/>
      <c r="R244" s="129"/>
      <c r="S244" s="142"/>
      <c r="T244" s="130"/>
      <c r="U244" s="143">
        <f t="shared" ref="U244:AJ244" si="368">SUM(U238:U243)</f>
        <v>240</v>
      </c>
      <c r="V244" s="143">
        <f t="shared" si="368"/>
        <v>0</v>
      </c>
      <c r="W244" s="143">
        <f t="shared" si="368"/>
        <v>0</v>
      </c>
      <c r="X244" s="143">
        <f t="shared" si="368"/>
        <v>3</v>
      </c>
      <c r="Y244" s="142">
        <f t="shared" si="368"/>
        <v>7</v>
      </c>
      <c r="Z244" s="143">
        <f t="shared" si="368"/>
        <v>10</v>
      </c>
      <c r="AA244" s="143">
        <f t="shared" si="330"/>
        <v>20</v>
      </c>
      <c r="AB244" s="143">
        <f t="shared" si="368"/>
        <v>265</v>
      </c>
      <c r="AC244" s="143">
        <f t="shared" si="368"/>
        <v>164</v>
      </c>
      <c r="AD244" s="143">
        <f t="shared" si="368"/>
        <v>0</v>
      </c>
      <c r="AE244" s="143">
        <f t="shared" si="368"/>
        <v>0</v>
      </c>
      <c r="AF244" s="143">
        <f t="shared" si="368"/>
        <v>3</v>
      </c>
      <c r="AG244" s="143">
        <f t="shared" ref="AG244" si="369">SUM(AG238:AG243)</f>
        <v>0</v>
      </c>
      <c r="AH244" s="143">
        <f t="shared" si="368"/>
        <v>10</v>
      </c>
      <c r="AI244" s="143">
        <f t="shared" si="331"/>
        <v>13</v>
      </c>
      <c r="AJ244" s="143">
        <f t="shared" si="368"/>
        <v>159</v>
      </c>
      <c r="AK244" s="143"/>
      <c r="AL244" s="142"/>
      <c r="AM244" s="142"/>
      <c r="AN244" s="142"/>
      <c r="AO244" s="142"/>
      <c r="AP244" s="127"/>
      <c r="AQ244" s="143">
        <f>SUM(AQ238:AQ243)</f>
        <v>159</v>
      </c>
      <c r="AR244" s="143">
        <f>SUM(AR238:AR242)</f>
        <v>0</v>
      </c>
      <c r="AS244" s="143">
        <f>SUM(AS238:AS243)</f>
        <v>159</v>
      </c>
      <c r="AT244" s="143">
        <f>SUM(AT238:AT242)</f>
        <v>0</v>
      </c>
      <c r="AU244" s="129"/>
      <c r="AV244" s="142"/>
      <c r="AW244" s="127"/>
      <c r="AX244" s="127" t="s">
        <v>55</v>
      </c>
    </row>
    <row r="245" spans="1:50" s="77" customFormat="1" ht="36" x14ac:dyDescent="0.25">
      <c r="A245" s="308"/>
      <c r="B245" s="115" t="s">
        <v>224</v>
      </c>
      <c r="C245" s="115" t="s">
        <v>157</v>
      </c>
      <c r="D245" s="117" t="s">
        <v>89</v>
      </c>
      <c r="E245" s="117" t="s">
        <v>75</v>
      </c>
      <c r="F245" s="267"/>
      <c r="G245" s="119" t="s">
        <v>178</v>
      </c>
      <c r="H245" s="119">
        <v>15</v>
      </c>
      <c r="I245" s="89">
        <v>0</v>
      </c>
      <c r="J245" s="90">
        <v>0</v>
      </c>
      <c r="K245" s="91">
        <v>0</v>
      </c>
      <c r="L245" s="92">
        <v>0</v>
      </c>
      <c r="M245" s="81">
        <v>0</v>
      </c>
      <c r="N245" s="34">
        <f t="shared" si="338"/>
        <v>0</v>
      </c>
      <c r="O245" s="35">
        <v>10</v>
      </c>
      <c r="P245" s="35"/>
      <c r="Q245" s="119"/>
      <c r="R245" s="119" t="s">
        <v>51</v>
      </c>
      <c r="S245" s="120" t="s">
        <v>285</v>
      </c>
      <c r="T245" s="119" t="s">
        <v>66</v>
      </c>
      <c r="U245" s="119">
        <v>50</v>
      </c>
      <c r="V245" s="197">
        <v>0</v>
      </c>
      <c r="W245" s="90">
        <v>0</v>
      </c>
      <c r="X245" s="91">
        <v>0</v>
      </c>
      <c r="Y245" s="92">
        <v>0</v>
      </c>
      <c r="Z245" s="81">
        <v>0</v>
      </c>
      <c r="AA245" s="34">
        <f t="shared" si="330"/>
        <v>0</v>
      </c>
      <c r="AB245" s="35">
        <v>50</v>
      </c>
      <c r="AC245" s="119">
        <v>5</v>
      </c>
      <c r="AD245" s="197">
        <v>0</v>
      </c>
      <c r="AE245" s="90">
        <v>0</v>
      </c>
      <c r="AF245" s="91">
        <v>0</v>
      </c>
      <c r="AG245" s="92">
        <v>0</v>
      </c>
      <c r="AH245" s="81">
        <v>0</v>
      </c>
      <c r="AI245" s="34">
        <f t="shared" si="331"/>
        <v>0</v>
      </c>
      <c r="AJ245" s="35">
        <v>5</v>
      </c>
      <c r="AK245" s="119"/>
      <c r="AL245" s="119"/>
      <c r="AM245" s="46"/>
      <c r="AN245" s="119"/>
      <c r="AO245" s="46"/>
      <c r="AP245" s="119" t="s">
        <v>281</v>
      </c>
      <c r="AQ245" s="119">
        <v>5</v>
      </c>
      <c r="AR245" s="122">
        <v>0</v>
      </c>
      <c r="AS245" s="123">
        <v>5</v>
      </c>
      <c r="AT245" s="124">
        <v>0</v>
      </c>
      <c r="AU245" s="119"/>
      <c r="AV245" s="119"/>
      <c r="AW245" s="119"/>
      <c r="AX245" s="117" t="s">
        <v>55</v>
      </c>
    </row>
    <row r="246" spans="1:50" s="77" customFormat="1" ht="36" x14ac:dyDescent="0.25">
      <c r="A246" s="308"/>
      <c r="B246" s="115" t="s">
        <v>224</v>
      </c>
      <c r="C246" s="115" t="s">
        <v>157</v>
      </c>
      <c r="D246" s="117" t="s">
        <v>89</v>
      </c>
      <c r="E246" s="117" t="s">
        <v>75</v>
      </c>
      <c r="F246" s="268"/>
      <c r="G246" s="119" t="s">
        <v>227</v>
      </c>
      <c r="H246" s="119">
        <v>15</v>
      </c>
      <c r="I246" s="89">
        <v>0</v>
      </c>
      <c r="J246" s="90">
        <v>0</v>
      </c>
      <c r="K246" s="91">
        <v>0</v>
      </c>
      <c r="L246" s="92">
        <v>0</v>
      </c>
      <c r="M246" s="81">
        <v>0</v>
      </c>
      <c r="N246" s="34">
        <f t="shared" si="338"/>
        <v>0</v>
      </c>
      <c r="O246" s="35">
        <v>5</v>
      </c>
      <c r="P246" s="35"/>
      <c r="Q246" s="119"/>
      <c r="R246" s="119" t="s">
        <v>51</v>
      </c>
      <c r="S246" s="120" t="s">
        <v>285</v>
      </c>
      <c r="T246" s="119" t="s">
        <v>66</v>
      </c>
      <c r="U246" s="119">
        <v>50</v>
      </c>
      <c r="V246" s="197">
        <v>0</v>
      </c>
      <c r="W246" s="90">
        <v>0</v>
      </c>
      <c r="X246" s="91">
        <v>0</v>
      </c>
      <c r="Y246" s="92">
        <v>0</v>
      </c>
      <c r="Z246" s="81">
        <v>0</v>
      </c>
      <c r="AA246" s="34">
        <f t="shared" si="330"/>
        <v>0</v>
      </c>
      <c r="AB246" s="35">
        <v>5</v>
      </c>
      <c r="AC246" s="119">
        <v>0</v>
      </c>
      <c r="AD246" s="197">
        <v>0</v>
      </c>
      <c r="AE246" s="90">
        <v>0</v>
      </c>
      <c r="AF246" s="91">
        <v>0</v>
      </c>
      <c r="AG246" s="92">
        <v>0</v>
      </c>
      <c r="AH246" s="81">
        <v>0</v>
      </c>
      <c r="AI246" s="34">
        <f t="shared" si="331"/>
        <v>0</v>
      </c>
      <c r="AJ246" s="35">
        <v>0</v>
      </c>
      <c r="AK246" s="119"/>
      <c r="AL246" s="119"/>
      <c r="AM246" s="46"/>
      <c r="AN246" s="119"/>
      <c r="AO246" s="46"/>
      <c r="AP246" s="119"/>
      <c r="AQ246" s="119"/>
      <c r="AR246" s="122"/>
      <c r="AS246" s="123"/>
      <c r="AT246" s="124"/>
      <c r="AU246" s="119"/>
      <c r="AV246" s="119"/>
      <c r="AW246" s="119"/>
      <c r="AX246" s="117" t="s">
        <v>55</v>
      </c>
    </row>
    <row r="247" spans="1:50" s="77" customFormat="1" ht="36" x14ac:dyDescent="0.25">
      <c r="A247" s="308"/>
      <c r="B247" s="115" t="s">
        <v>224</v>
      </c>
      <c r="C247" s="115" t="s">
        <v>157</v>
      </c>
      <c r="D247" s="117" t="s">
        <v>89</v>
      </c>
      <c r="E247" s="117" t="s">
        <v>75</v>
      </c>
      <c r="F247" s="269"/>
      <c r="G247" s="119" t="s">
        <v>228</v>
      </c>
      <c r="H247" s="119">
        <v>5</v>
      </c>
      <c r="I247" s="89">
        <v>0</v>
      </c>
      <c r="J247" s="90">
        <v>0</v>
      </c>
      <c r="K247" s="91">
        <v>0</v>
      </c>
      <c r="L247" s="92">
        <v>0</v>
      </c>
      <c r="M247" s="81">
        <v>0</v>
      </c>
      <c r="N247" s="34">
        <f t="shared" si="338"/>
        <v>0</v>
      </c>
      <c r="O247" s="35">
        <v>0</v>
      </c>
      <c r="P247" s="35"/>
      <c r="Q247" s="119"/>
      <c r="R247" s="119" t="s">
        <v>51</v>
      </c>
      <c r="S247" s="120" t="s">
        <v>285</v>
      </c>
      <c r="T247" s="119" t="s">
        <v>66</v>
      </c>
      <c r="U247" s="119">
        <v>5</v>
      </c>
      <c r="V247" s="197">
        <v>0</v>
      </c>
      <c r="W247" s="90">
        <v>0</v>
      </c>
      <c r="X247" s="91">
        <v>0</v>
      </c>
      <c r="Y247" s="92">
        <v>0</v>
      </c>
      <c r="Z247" s="81">
        <v>0</v>
      </c>
      <c r="AA247" s="34">
        <f t="shared" si="330"/>
        <v>0</v>
      </c>
      <c r="AB247" s="35">
        <v>0</v>
      </c>
      <c r="AC247" s="119">
        <v>0</v>
      </c>
      <c r="AD247" s="197">
        <v>0</v>
      </c>
      <c r="AE247" s="90">
        <v>0</v>
      </c>
      <c r="AF247" s="91">
        <v>0</v>
      </c>
      <c r="AG247" s="92">
        <v>0</v>
      </c>
      <c r="AH247" s="81">
        <v>0</v>
      </c>
      <c r="AI247" s="34">
        <f t="shared" si="331"/>
        <v>0</v>
      </c>
      <c r="AJ247" s="35">
        <v>0</v>
      </c>
      <c r="AK247" s="119"/>
      <c r="AL247" s="119"/>
      <c r="AM247" s="46"/>
      <c r="AN247" s="119"/>
      <c r="AO247" s="46"/>
      <c r="AP247" s="119"/>
      <c r="AQ247" s="119"/>
      <c r="AR247" s="122"/>
      <c r="AS247" s="123"/>
      <c r="AT247" s="124"/>
      <c r="AU247" s="119"/>
      <c r="AV247" s="119"/>
      <c r="AW247" s="119"/>
      <c r="AX247" s="117" t="s">
        <v>55</v>
      </c>
    </row>
    <row r="248" spans="1:50" s="77" customFormat="1" ht="36" x14ac:dyDescent="0.25">
      <c r="A248" s="308"/>
      <c r="B248" s="115" t="s">
        <v>224</v>
      </c>
      <c r="C248" s="115" t="s">
        <v>157</v>
      </c>
      <c r="D248" s="117" t="s">
        <v>89</v>
      </c>
      <c r="E248" s="117" t="s">
        <v>75</v>
      </c>
      <c r="F248" s="142" t="s">
        <v>61</v>
      </c>
      <c r="G248" s="142"/>
      <c r="H248" s="142">
        <f>SUBTOTAL(9,H245:H247)</f>
        <v>35</v>
      </c>
      <c r="I248" s="142">
        <f t="shared" ref="I248" si="370">SUBTOTAL(9,I245:I247)</f>
        <v>0</v>
      </c>
      <c r="J248" s="142">
        <f t="shared" ref="J248:O248" si="371">SUBTOTAL(9,J245:J247)</f>
        <v>0</v>
      </c>
      <c r="K248" s="142">
        <f t="shared" si="371"/>
        <v>0</v>
      </c>
      <c r="L248" s="142">
        <f t="shared" si="371"/>
        <v>0</v>
      </c>
      <c r="M248" s="142">
        <f t="shared" si="371"/>
        <v>0</v>
      </c>
      <c r="N248" s="142">
        <f t="shared" si="338"/>
        <v>0</v>
      </c>
      <c r="O248" s="142">
        <f t="shared" si="371"/>
        <v>15</v>
      </c>
      <c r="P248" s="142"/>
      <c r="Q248" s="142"/>
      <c r="R248" s="129"/>
      <c r="S248" s="142"/>
      <c r="T248" s="130"/>
      <c r="U248" s="143">
        <f>SUBTOTAL(9,U245:U247)</f>
        <v>105</v>
      </c>
      <c r="V248" s="143">
        <f t="shared" ref="V248" si="372">SUBTOTAL(9,V245:V247)</f>
        <v>0</v>
      </c>
      <c r="W248" s="143">
        <f t="shared" ref="W248:AJ248" si="373">SUBTOTAL(9,W245:W247)</f>
        <v>0</v>
      </c>
      <c r="X248" s="143">
        <f t="shared" si="373"/>
        <v>0</v>
      </c>
      <c r="Y248" s="142">
        <f t="shared" si="373"/>
        <v>0</v>
      </c>
      <c r="Z248" s="143">
        <f t="shared" si="373"/>
        <v>0</v>
      </c>
      <c r="AA248" s="143">
        <f t="shared" si="330"/>
        <v>0</v>
      </c>
      <c r="AB248" s="143">
        <f t="shared" si="373"/>
        <v>55</v>
      </c>
      <c r="AC248" s="143">
        <f t="shared" si="373"/>
        <v>5</v>
      </c>
      <c r="AD248" s="143">
        <f t="shared" si="373"/>
        <v>0</v>
      </c>
      <c r="AE248" s="143">
        <f t="shared" si="373"/>
        <v>0</v>
      </c>
      <c r="AF248" s="143">
        <f t="shared" si="373"/>
        <v>0</v>
      </c>
      <c r="AG248" s="143">
        <f t="shared" ref="AG248" si="374">SUBTOTAL(9,AG245:AG247)</f>
        <v>0</v>
      </c>
      <c r="AH248" s="143">
        <f t="shared" si="373"/>
        <v>0</v>
      </c>
      <c r="AI248" s="143">
        <f t="shared" si="331"/>
        <v>0</v>
      </c>
      <c r="AJ248" s="143">
        <f t="shared" si="373"/>
        <v>5</v>
      </c>
      <c r="AK248" s="143"/>
      <c r="AL248" s="142"/>
      <c r="AM248" s="142"/>
      <c r="AN248" s="142"/>
      <c r="AO248" s="142"/>
      <c r="AP248" s="127"/>
      <c r="AQ248" s="143">
        <f>SUBTOTAL(9,AQ245:AQ247)</f>
        <v>5</v>
      </c>
      <c r="AR248" s="143">
        <f t="shared" ref="AR248:AT248" si="375">SUBTOTAL(9,AR245:AR247)</f>
        <v>0</v>
      </c>
      <c r="AS248" s="143">
        <f t="shared" si="375"/>
        <v>5</v>
      </c>
      <c r="AT248" s="143">
        <f t="shared" si="375"/>
        <v>0</v>
      </c>
      <c r="AU248" s="129"/>
      <c r="AV248" s="142"/>
      <c r="AW248" s="127"/>
      <c r="AX248" s="127" t="s">
        <v>55</v>
      </c>
    </row>
    <row r="249" spans="1:50" s="77" customFormat="1" ht="131.25" x14ac:dyDescent="0.25">
      <c r="A249" s="308"/>
      <c r="B249" s="115" t="s">
        <v>224</v>
      </c>
      <c r="C249" s="115" t="s">
        <v>102</v>
      </c>
      <c r="D249" s="117" t="s">
        <v>89</v>
      </c>
      <c r="E249" s="117" t="s">
        <v>75</v>
      </c>
      <c r="F249" s="270"/>
      <c r="G249" s="136" t="s">
        <v>237</v>
      </c>
      <c r="H249" s="136">
        <v>10</v>
      </c>
      <c r="I249" s="89">
        <v>0</v>
      </c>
      <c r="J249" s="90">
        <v>2</v>
      </c>
      <c r="K249" s="91">
        <v>6</v>
      </c>
      <c r="L249" s="92">
        <v>2</v>
      </c>
      <c r="M249" s="81">
        <v>0</v>
      </c>
      <c r="N249" s="133">
        <f t="shared" si="338"/>
        <v>10</v>
      </c>
      <c r="O249" s="71">
        <v>0</v>
      </c>
      <c r="P249" s="71"/>
      <c r="Q249" s="136"/>
      <c r="R249" s="119" t="s">
        <v>51</v>
      </c>
      <c r="S249" s="120" t="s">
        <v>286</v>
      </c>
      <c r="T249" s="251" t="s">
        <v>77</v>
      </c>
      <c r="U249" s="119">
        <v>10</v>
      </c>
      <c r="V249" s="197">
        <v>0</v>
      </c>
      <c r="W249" s="90">
        <v>2</v>
      </c>
      <c r="X249" s="91">
        <v>6</v>
      </c>
      <c r="Y249" s="92">
        <v>2</v>
      </c>
      <c r="Z249" s="81">
        <v>0</v>
      </c>
      <c r="AA249" s="133">
        <f t="shared" si="330"/>
        <v>10</v>
      </c>
      <c r="AB249" s="71">
        <v>0</v>
      </c>
      <c r="AC249" s="136">
        <v>1</v>
      </c>
      <c r="AD249" s="197">
        <v>0</v>
      </c>
      <c r="AE249" s="90">
        <v>0</v>
      </c>
      <c r="AF249" s="91">
        <v>1</v>
      </c>
      <c r="AG249" s="92">
        <v>0</v>
      </c>
      <c r="AH249" s="81">
        <v>0</v>
      </c>
      <c r="AI249" s="133">
        <f t="shared" si="331"/>
        <v>1</v>
      </c>
      <c r="AJ249" s="71">
        <v>0</v>
      </c>
      <c r="AK249" s="136"/>
      <c r="AL249" s="136"/>
      <c r="AM249" s="72"/>
      <c r="AN249" s="136"/>
      <c r="AO249" s="72"/>
      <c r="AP249" s="119" t="s">
        <v>104</v>
      </c>
      <c r="AQ249" s="136">
        <v>1</v>
      </c>
      <c r="AR249" s="122">
        <v>1</v>
      </c>
      <c r="AS249" s="123">
        <v>0</v>
      </c>
      <c r="AT249" s="124">
        <v>0</v>
      </c>
      <c r="AU249" s="119"/>
      <c r="AV249" s="136"/>
      <c r="AW249" s="119"/>
      <c r="AX249" s="117" t="s">
        <v>68</v>
      </c>
    </row>
    <row r="250" spans="1:50" s="77" customFormat="1" ht="131.25" x14ac:dyDescent="0.25">
      <c r="A250" s="308"/>
      <c r="B250" s="115" t="s">
        <v>224</v>
      </c>
      <c r="C250" s="115" t="s">
        <v>102</v>
      </c>
      <c r="D250" s="117" t="s">
        <v>89</v>
      </c>
      <c r="E250" s="117" t="s">
        <v>75</v>
      </c>
      <c r="F250" s="270"/>
      <c r="G250" s="136" t="s">
        <v>227</v>
      </c>
      <c r="H250" s="136">
        <v>10</v>
      </c>
      <c r="I250" s="89">
        <v>0</v>
      </c>
      <c r="J250" s="90">
        <v>3</v>
      </c>
      <c r="K250" s="91">
        <v>1</v>
      </c>
      <c r="L250" s="92">
        <v>2</v>
      </c>
      <c r="M250" s="81">
        <v>0</v>
      </c>
      <c r="N250" s="133">
        <f t="shared" si="338"/>
        <v>6</v>
      </c>
      <c r="O250" s="71">
        <v>3</v>
      </c>
      <c r="P250" s="71"/>
      <c r="Q250" s="136"/>
      <c r="R250" s="119" t="s">
        <v>51</v>
      </c>
      <c r="S250" s="120" t="s">
        <v>286</v>
      </c>
      <c r="T250" s="251"/>
      <c r="U250" s="119">
        <v>10</v>
      </c>
      <c r="V250" s="197">
        <v>0</v>
      </c>
      <c r="W250" s="90">
        <v>3</v>
      </c>
      <c r="X250" s="91">
        <v>1</v>
      </c>
      <c r="Y250" s="92">
        <v>2</v>
      </c>
      <c r="Z250" s="81">
        <v>0</v>
      </c>
      <c r="AA250" s="133">
        <f t="shared" si="330"/>
        <v>6</v>
      </c>
      <c r="AB250" s="71">
        <v>3</v>
      </c>
      <c r="AC250" s="136">
        <v>1</v>
      </c>
      <c r="AD250" s="197">
        <v>0</v>
      </c>
      <c r="AE250" s="90">
        <v>0</v>
      </c>
      <c r="AF250" s="91">
        <v>1</v>
      </c>
      <c r="AG250" s="92">
        <v>0</v>
      </c>
      <c r="AH250" s="81">
        <v>0</v>
      </c>
      <c r="AI250" s="133">
        <f t="shared" si="331"/>
        <v>1</v>
      </c>
      <c r="AJ250" s="71">
        <v>0</v>
      </c>
      <c r="AK250" s="136"/>
      <c r="AL250" s="136"/>
      <c r="AM250" s="72"/>
      <c r="AN250" s="136"/>
      <c r="AO250" s="72"/>
      <c r="AP250" s="119" t="s">
        <v>104</v>
      </c>
      <c r="AQ250" s="136">
        <v>1</v>
      </c>
      <c r="AR250" s="122">
        <v>1</v>
      </c>
      <c r="AS250" s="123">
        <v>0</v>
      </c>
      <c r="AT250" s="124">
        <v>0</v>
      </c>
      <c r="AU250" s="119"/>
      <c r="AV250" s="136"/>
      <c r="AW250" s="119"/>
      <c r="AX250" s="117" t="s">
        <v>68</v>
      </c>
    </row>
    <row r="251" spans="1:50" s="77" customFormat="1" ht="131.25" x14ac:dyDescent="0.25">
      <c r="A251" s="308"/>
      <c r="B251" s="115" t="s">
        <v>224</v>
      </c>
      <c r="C251" s="115" t="s">
        <v>102</v>
      </c>
      <c r="D251" s="117" t="s">
        <v>89</v>
      </c>
      <c r="E251" s="117" t="s">
        <v>75</v>
      </c>
      <c r="F251" s="270"/>
      <c r="G251" s="136" t="s">
        <v>228</v>
      </c>
      <c r="H251" s="136">
        <v>10</v>
      </c>
      <c r="I251" s="89">
        <v>0</v>
      </c>
      <c r="J251" s="90">
        <v>3</v>
      </c>
      <c r="K251" s="91">
        <v>1</v>
      </c>
      <c r="L251" s="92">
        <v>2</v>
      </c>
      <c r="M251" s="81">
        <v>0</v>
      </c>
      <c r="N251" s="133">
        <f t="shared" si="338"/>
        <v>6</v>
      </c>
      <c r="O251" s="71">
        <v>3</v>
      </c>
      <c r="P251" s="71"/>
      <c r="Q251" s="136"/>
      <c r="R251" s="119" t="s">
        <v>51</v>
      </c>
      <c r="S251" s="120" t="s">
        <v>286</v>
      </c>
      <c r="T251" s="251"/>
      <c r="U251" s="119">
        <v>10</v>
      </c>
      <c r="V251" s="197">
        <v>0</v>
      </c>
      <c r="W251" s="90">
        <v>3</v>
      </c>
      <c r="X251" s="91">
        <v>1</v>
      </c>
      <c r="Y251" s="92">
        <v>2</v>
      </c>
      <c r="Z251" s="81">
        <v>0</v>
      </c>
      <c r="AA251" s="133">
        <f t="shared" si="330"/>
        <v>6</v>
      </c>
      <c r="AB251" s="71">
        <v>3</v>
      </c>
      <c r="AC251" s="136">
        <v>1</v>
      </c>
      <c r="AD251" s="197">
        <v>0</v>
      </c>
      <c r="AE251" s="90">
        <v>0</v>
      </c>
      <c r="AF251" s="91">
        <v>1</v>
      </c>
      <c r="AG251" s="92">
        <v>0</v>
      </c>
      <c r="AH251" s="81">
        <v>0</v>
      </c>
      <c r="AI251" s="133">
        <f t="shared" si="331"/>
        <v>1</v>
      </c>
      <c r="AJ251" s="71">
        <v>0</v>
      </c>
      <c r="AK251" s="136"/>
      <c r="AL251" s="136"/>
      <c r="AM251" s="72"/>
      <c r="AN251" s="136"/>
      <c r="AO251" s="72"/>
      <c r="AP251" s="119" t="s">
        <v>104</v>
      </c>
      <c r="AQ251" s="136">
        <v>1</v>
      </c>
      <c r="AR251" s="122">
        <v>1</v>
      </c>
      <c r="AS251" s="123">
        <v>0</v>
      </c>
      <c r="AT251" s="124">
        <v>0</v>
      </c>
      <c r="AU251" s="119"/>
      <c r="AV251" s="136"/>
      <c r="AW251" s="119"/>
      <c r="AX251" s="117" t="s">
        <v>68</v>
      </c>
    </row>
    <row r="252" spans="1:50" s="144" customFormat="1" ht="54" x14ac:dyDescent="0.25">
      <c r="A252" s="308"/>
      <c r="B252" s="115" t="s">
        <v>224</v>
      </c>
      <c r="C252" s="115" t="s">
        <v>102</v>
      </c>
      <c r="D252" s="117" t="s">
        <v>89</v>
      </c>
      <c r="E252" s="117" t="s">
        <v>75</v>
      </c>
      <c r="F252" s="142" t="s">
        <v>61</v>
      </c>
      <c r="G252" s="142"/>
      <c r="H252" s="142">
        <f t="shared" ref="H252:O252" si="376">SUM(H249:H251)</f>
        <v>30</v>
      </c>
      <c r="I252" s="142">
        <f t="shared" si="376"/>
        <v>0</v>
      </c>
      <c r="J252" s="142">
        <f t="shared" si="376"/>
        <v>8</v>
      </c>
      <c r="K252" s="142">
        <f t="shared" si="376"/>
        <v>8</v>
      </c>
      <c r="L252" s="142">
        <f t="shared" si="376"/>
        <v>6</v>
      </c>
      <c r="M252" s="142">
        <f t="shared" si="376"/>
        <v>0</v>
      </c>
      <c r="N252" s="143">
        <f t="shared" si="338"/>
        <v>22</v>
      </c>
      <c r="O252" s="143">
        <f t="shared" si="376"/>
        <v>6</v>
      </c>
      <c r="P252" s="143"/>
      <c r="Q252" s="142"/>
      <c r="R252" s="127"/>
      <c r="S252" s="142"/>
      <c r="T252" s="130"/>
      <c r="U252" s="142">
        <f t="shared" ref="U252:AJ252" si="377">SUM(U249:U251)</f>
        <v>30</v>
      </c>
      <c r="V252" s="142">
        <f t="shared" si="377"/>
        <v>0</v>
      </c>
      <c r="W252" s="142">
        <f t="shared" si="377"/>
        <v>8</v>
      </c>
      <c r="X252" s="142">
        <f t="shared" si="377"/>
        <v>8</v>
      </c>
      <c r="Y252" s="142">
        <f t="shared" ref="Y252" si="378">SUM(Y249:Y251)</f>
        <v>6</v>
      </c>
      <c r="Z252" s="142">
        <f t="shared" si="377"/>
        <v>0</v>
      </c>
      <c r="AA252" s="142">
        <f t="shared" si="330"/>
        <v>22</v>
      </c>
      <c r="AB252" s="142">
        <f t="shared" si="377"/>
        <v>6</v>
      </c>
      <c r="AC252" s="142">
        <f t="shared" si="377"/>
        <v>3</v>
      </c>
      <c r="AD252" s="142">
        <f t="shared" si="377"/>
        <v>0</v>
      </c>
      <c r="AE252" s="142">
        <f t="shared" si="377"/>
        <v>0</v>
      </c>
      <c r="AF252" s="142">
        <f t="shared" si="377"/>
        <v>3</v>
      </c>
      <c r="AG252" s="143">
        <f>SUM(AG249:AG251)</f>
        <v>0</v>
      </c>
      <c r="AH252" s="142">
        <f t="shared" si="377"/>
        <v>0</v>
      </c>
      <c r="AI252" s="143">
        <f t="shared" si="331"/>
        <v>3</v>
      </c>
      <c r="AJ252" s="143">
        <f t="shared" si="377"/>
        <v>0</v>
      </c>
      <c r="AK252" s="142"/>
      <c r="AL252" s="142"/>
      <c r="AM252" s="142"/>
      <c r="AN252" s="142"/>
      <c r="AO252" s="142"/>
      <c r="AP252" s="127"/>
      <c r="AQ252" s="142">
        <f>SUM(AQ249:AQ251)</f>
        <v>3</v>
      </c>
      <c r="AR252" s="143">
        <f>SUM(AR249:AR251)</f>
        <v>3</v>
      </c>
      <c r="AS252" s="143">
        <f>SUM(AS249:AS251)</f>
        <v>0</v>
      </c>
      <c r="AT252" s="143">
        <f>SUM(AT249:AT251)</f>
        <v>0</v>
      </c>
      <c r="AU252" s="127"/>
      <c r="AV252" s="142"/>
      <c r="AW252" s="127"/>
      <c r="AX252" s="127" t="s">
        <v>68</v>
      </c>
    </row>
    <row r="253" spans="1:50" s="9" customFormat="1" ht="54" x14ac:dyDescent="0.25">
      <c r="A253" s="308"/>
      <c r="B253" s="115" t="s">
        <v>224</v>
      </c>
      <c r="C253" s="115" t="s">
        <v>171</v>
      </c>
      <c r="D253" s="117" t="s">
        <v>89</v>
      </c>
      <c r="E253" s="117" t="s">
        <v>70</v>
      </c>
      <c r="F253" s="251" t="s">
        <v>49</v>
      </c>
      <c r="G253" s="119" t="s">
        <v>231</v>
      </c>
      <c r="H253" s="119">
        <v>120</v>
      </c>
      <c r="I253" s="89">
        <v>0</v>
      </c>
      <c r="J253" s="90">
        <v>0</v>
      </c>
      <c r="K253" s="91">
        <v>40</v>
      </c>
      <c r="L253" s="92">
        <v>25</v>
      </c>
      <c r="M253" s="81">
        <v>20</v>
      </c>
      <c r="N253" s="34">
        <f t="shared" si="338"/>
        <v>85</v>
      </c>
      <c r="O253" s="35">
        <v>35</v>
      </c>
      <c r="P253" s="35"/>
      <c r="Q253" s="119"/>
      <c r="R253" s="119" t="s">
        <v>173</v>
      </c>
      <c r="S253" s="120" t="s">
        <v>232</v>
      </c>
      <c r="T253" s="251" t="s">
        <v>53</v>
      </c>
      <c r="U253" s="119">
        <v>120</v>
      </c>
      <c r="V253" s="197">
        <v>0</v>
      </c>
      <c r="W253" s="90">
        <v>0</v>
      </c>
      <c r="X253" s="91">
        <v>40</v>
      </c>
      <c r="Y253" s="92">
        <v>25</v>
      </c>
      <c r="Z253" s="81">
        <v>20</v>
      </c>
      <c r="AA253" s="34">
        <f t="shared" si="330"/>
        <v>85</v>
      </c>
      <c r="AB253" s="35">
        <v>35</v>
      </c>
      <c r="AC253" s="119">
        <v>120</v>
      </c>
      <c r="AD253" s="197">
        <v>0</v>
      </c>
      <c r="AE253" s="90">
        <v>0</v>
      </c>
      <c r="AF253" s="91">
        <v>40</v>
      </c>
      <c r="AG253" s="92">
        <v>0</v>
      </c>
      <c r="AH253" s="81">
        <v>20</v>
      </c>
      <c r="AI253" s="34">
        <f t="shared" si="331"/>
        <v>60</v>
      </c>
      <c r="AJ253" s="35">
        <v>35</v>
      </c>
      <c r="AK253" s="119"/>
      <c r="AL253" s="119"/>
      <c r="AM253" s="46"/>
      <c r="AN253" s="119"/>
      <c r="AO253" s="46"/>
      <c r="AP253" s="119" t="s">
        <v>287</v>
      </c>
      <c r="AQ253" s="119">
        <v>120</v>
      </c>
      <c r="AR253" s="122">
        <v>120</v>
      </c>
      <c r="AS253" s="123">
        <v>0</v>
      </c>
      <c r="AT253" s="124">
        <v>0</v>
      </c>
      <c r="AU253" s="119"/>
      <c r="AV253" s="119"/>
      <c r="AW253" s="119"/>
      <c r="AX253" s="117" t="s">
        <v>68</v>
      </c>
    </row>
    <row r="254" spans="1:50" s="9" customFormat="1" ht="54" x14ac:dyDescent="0.25">
      <c r="A254" s="308"/>
      <c r="B254" s="115" t="s">
        <v>224</v>
      </c>
      <c r="C254" s="115" t="s">
        <v>171</v>
      </c>
      <c r="D254" s="117" t="s">
        <v>89</v>
      </c>
      <c r="E254" s="117" t="s">
        <v>70</v>
      </c>
      <c r="F254" s="251"/>
      <c r="G254" s="119" t="s">
        <v>227</v>
      </c>
      <c r="H254" s="119">
        <v>15</v>
      </c>
      <c r="I254" s="89">
        <v>0</v>
      </c>
      <c r="J254" s="90">
        <v>0</v>
      </c>
      <c r="K254" s="91">
        <v>6</v>
      </c>
      <c r="L254" s="92">
        <v>0</v>
      </c>
      <c r="M254" s="81">
        <v>0</v>
      </c>
      <c r="N254" s="34">
        <f t="shared" si="338"/>
        <v>6</v>
      </c>
      <c r="O254" s="35">
        <v>5</v>
      </c>
      <c r="P254" s="35"/>
      <c r="Q254" s="119"/>
      <c r="R254" s="119" t="s">
        <v>173</v>
      </c>
      <c r="S254" s="120" t="s">
        <v>232</v>
      </c>
      <c r="T254" s="251"/>
      <c r="U254" s="119">
        <v>40</v>
      </c>
      <c r="V254" s="197">
        <v>0</v>
      </c>
      <c r="W254" s="90">
        <v>0</v>
      </c>
      <c r="X254" s="91">
        <v>6</v>
      </c>
      <c r="Y254" s="92">
        <v>0</v>
      </c>
      <c r="Z254" s="81">
        <v>0</v>
      </c>
      <c r="AA254" s="34">
        <f t="shared" si="330"/>
        <v>6</v>
      </c>
      <c r="AB254" s="35">
        <v>30</v>
      </c>
      <c r="AC254" s="119">
        <v>50</v>
      </c>
      <c r="AD254" s="197">
        <v>0</v>
      </c>
      <c r="AE254" s="90">
        <v>0</v>
      </c>
      <c r="AF254" s="91">
        <v>6</v>
      </c>
      <c r="AG254" s="92">
        <v>0</v>
      </c>
      <c r="AH254" s="81">
        <v>0</v>
      </c>
      <c r="AI254" s="34">
        <f t="shared" si="331"/>
        <v>6</v>
      </c>
      <c r="AJ254" s="35">
        <v>40</v>
      </c>
      <c r="AK254" s="119"/>
      <c r="AL254" s="119"/>
      <c r="AM254" s="46"/>
      <c r="AN254" s="119"/>
      <c r="AO254" s="46"/>
      <c r="AP254" s="119" t="s">
        <v>287</v>
      </c>
      <c r="AQ254" s="119">
        <v>50</v>
      </c>
      <c r="AR254" s="122">
        <v>50</v>
      </c>
      <c r="AS254" s="123">
        <v>0</v>
      </c>
      <c r="AT254" s="124">
        <v>0</v>
      </c>
      <c r="AU254" s="119"/>
      <c r="AV254" s="119"/>
      <c r="AW254" s="119"/>
      <c r="AX254" s="117" t="s">
        <v>68</v>
      </c>
    </row>
    <row r="255" spans="1:50" s="9" customFormat="1" ht="54" x14ac:dyDescent="0.25">
      <c r="A255" s="308"/>
      <c r="B255" s="115" t="s">
        <v>224</v>
      </c>
      <c r="C255" s="115" t="s">
        <v>171</v>
      </c>
      <c r="D255" s="117" t="s">
        <v>89</v>
      </c>
      <c r="E255" s="117" t="s">
        <v>70</v>
      </c>
      <c r="F255" s="251"/>
      <c r="G255" s="119" t="s">
        <v>229</v>
      </c>
      <c r="H255" s="119">
        <v>5</v>
      </c>
      <c r="I255" s="89">
        <v>0</v>
      </c>
      <c r="J255" s="90">
        <v>0</v>
      </c>
      <c r="K255" s="91">
        <v>3</v>
      </c>
      <c r="L255" s="92">
        <v>0</v>
      </c>
      <c r="M255" s="81">
        <v>1</v>
      </c>
      <c r="N255" s="34">
        <f t="shared" si="338"/>
        <v>4</v>
      </c>
      <c r="O255" s="35">
        <v>0</v>
      </c>
      <c r="P255" s="35"/>
      <c r="Q255" s="119"/>
      <c r="R255" s="119" t="s">
        <v>173</v>
      </c>
      <c r="S255" s="120" t="s">
        <v>232</v>
      </c>
      <c r="T255" s="251"/>
      <c r="U255" s="119">
        <v>10</v>
      </c>
      <c r="V255" s="197">
        <v>0</v>
      </c>
      <c r="W255" s="90">
        <v>0</v>
      </c>
      <c r="X255" s="91">
        <v>3</v>
      </c>
      <c r="Y255" s="92">
        <v>0</v>
      </c>
      <c r="Z255" s="81">
        <v>1</v>
      </c>
      <c r="AA255" s="34">
        <f t="shared" si="330"/>
        <v>4</v>
      </c>
      <c r="AB255" s="35">
        <v>5</v>
      </c>
      <c r="AC255" s="119">
        <v>5</v>
      </c>
      <c r="AD255" s="197">
        <v>0</v>
      </c>
      <c r="AE255" s="90">
        <v>0</v>
      </c>
      <c r="AF255" s="91">
        <v>3</v>
      </c>
      <c r="AG255" s="92">
        <v>0</v>
      </c>
      <c r="AH255" s="81">
        <v>1</v>
      </c>
      <c r="AI255" s="34">
        <f t="shared" si="331"/>
        <v>4</v>
      </c>
      <c r="AJ255" s="35">
        <v>0</v>
      </c>
      <c r="AK255" s="119"/>
      <c r="AL255" s="119"/>
      <c r="AM255" s="46"/>
      <c r="AN255" s="119"/>
      <c r="AO255" s="46"/>
      <c r="AP255" s="119" t="s">
        <v>287</v>
      </c>
      <c r="AQ255" s="119">
        <v>5</v>
      </c>
      <c r="AR255" s="122">
        <v>5</v>
      </c>
      <c r="AS255" s="123">
        <v>0</v>
      </c>
      <c r="AT255" s="124">
        <v>0</v>
      </c>
      <c r="AU255" s="119"/>
      <c r="AV255" s="119"/>
      <c r="AW255" s="119"/>
      <c r="AX255" s="117" t="s">
        <v>68</v>
      </c>
    </row>
    <row r="256" spans="1:50" s="9" customFormat="1" ht="54" x14ac:dyDescent="0.25">
      <c r="A256" s="308"/>
      <c r="B256" s="115" t="s">
        <v>224</v>
      </c>
      <c r="C256" s="115" t="s">
        <v>171</v>
      </c>
      <c r="D256" s="117" t="s">
        <v>89</v>
      </c>
      <c r="E256" s="117" t="s">
        <v>70</v>
      </c>
      <c r="F256" s="251"/>
      <c r="G256" s="119" t="s">
        <v>234</v>
      </c>
      <c r="H256" s="119">
        <v>10</v>
      </c>
      <c r="I256" s="89">
        <v>0</v>
      </c>
      <c r="J256" s="90">
        <v>0</v>
      </c>
      <c r="K256" s="91">
        <v>8</v>
      </c>
      <c r="L256" s="92">
        <v>0</v>
      </c>
      <c r="M256" s="81">
        <v>2</v>
      </c>
      <c r="N256" s="34">
        <f t="shared" si="338"/>
        <v>10</v>
      </c>
      <c r="O256" s="35">
        <v>0</v>
      </c>
      <c r="P256" s="35"/>
      <c r="Q256" s="119"/>
      <c r="R256" s="119" t="s">
        <v>173</v>
      </c>
      <c r="S256" s="120" t="s">
        <v>232</v>
      </c>
      <c r="T256" s="251"/>
      <c r="U256" s="119">
        <v>15</v>
      </c>
      <c r="V256" s="197">
        <v>0</v>
      </c>
      <c r="W256" s="90">
        <v>0</v>
      </c>
      <c r="X256" s="91">
        <v>8</v>
      </c>
      <c r="Y256" s="92">
        <v>0</v>
      </c>
      <c r="Z256" s="81">
        <v>2</v>
      </c>
      <c r="AA256" s="34">
        <f t="shared" si="330"/>
        <v>10</v>
      </c>
      <c r="AB256" s="35">
        <v>5</v>
      </c>
      <c r="AC256" s="119">
        <v>15</v>
      </c>
      <c r="AD256" s="197">
        <v>0</v>
      </c>
      <c r="AE256" s="90">
        <v>0</v>
      </c>
      <c r="AF256" s="91">
        <v>8</v>
      </c>
      <c r="AG256" s="92">
        <v>0</v>
      </c>
      <c r="AH256" s="81">
        <v>2</v>
      </c>
      <c r="AI256" s="34">
        <f t="shared" si="331"/>
        <v>10</v>
      </c>
      <c r="AJ256" s="35">
        <v>5</v>
      </c>
      <c r="AK256" s="119"/>
      <c r="AL256" s="119"/>
      <c r="AM256" s="46"/>
      <c r="AN256" s="119"/>
      <c r="AO256" s="46"/>
      <c r="AP256" s="119" t="s">
        <v>287</v>
      </c>
      <c r="AQ256" s="119">
        <v>15</v>
      </c>
      <c r="AR256" s="122">
        <v>15</v>
      </c>
      <c r="AS256" s="123">
        <v>0</v>
      </c>
      <c r="AT256" s="124">
        <v>0</v>
      </c>
      <c r="AU256" s="119"/>
      <c r="AV256" s="119"/>
      <c r="AW256" s="119"/>
      <c r="AX256" s="117" t="s">
        <v>68</v>
      </c>
    </row>
    <row r="257" spans="1:50" s="9" customFormat="1" ht="54" x14ac:dyDescent="0.25">
      <c r="A257" s="308"/>
      <c r="B257" s="115" t="s">
        <v>224</v>
      </c>
      <c r="C257" s="115" t="s">
        <v>171</v>
      </c>
      <c r="D257" s="117" t="s">
        <v>89</v>
      </c>
      <c r="E257" s="117" t="s">
        <v>70</v>
      </c>
      <c r="F257" s="251"/>
      <c r="G257" s="119" t="s">
        <v>172</v>
      </c>
      <c r="H257" s="119">
        <v>60</v>
      </c>
      <c r="I257" s="89">
        <v>0</v>
      </c>
      <c r="J257" s="90">
        <v>1</v>
      </c>
      <c r="K257" s="91">
        <v>30</v>
      </c>
      <c r="L257" s="92">
        <v>20</v>
      </c>
      <c r="M257" s="81">
        <v>4</v>
      </c>
      <c r="N257" s="34">
        <f t="shared" si="338"/>
        <v>55</v>
      </c>
      <c r="O257" s="35">
        <v>0</v>
      </c>
      <c r="P257" s="35"/>
      <c r="Q257" s="119"/>
      <c r="R257" s="119" t="s">
        <v>173</v>
      </c>
      <c r="S257" s="120" t="s">
        <v>232</v>
      </c>
      <c r="T257" s="251"/>
      <c r="U257" s="119">
        <v>110</v>
      </c>
      <c r="V257" s="197">
        <v>0</v>
      </c>
      <c r="W257" s="90">
        <v>1</v>
      </c>
      <c r="X257" s="91">
        <v>30</v>
      </c>
      <c r="Y257" s="92">
        <v>20</v>
      </c>
      <c r="Z257" s="81">
        <v>4</v>
      </c>
      <c r="AA257" s="34">
        <f t="shared" si="330"/>
        <v>55</v>
      </c>
      <c r="AB257" s="35">
        <v>50</v>
      </c>
      <c r="AC257" s="119">
        <v>130</v>
      </c>
      <c r="AD257" s="197">
        <v>0</v>
      </c>
      <c r="AE257" s="90">
        <v>2</v>
      </c>
      <c r="AF257" s="91">
        <v>50</v>
      </c>
      <c r="AG257" s="92">
        <v>0</v>
      </c>
      <c r="AH257" s="81">
        <v>20</v>
      </c>
      <c r="AI257" s="34">
        <f t="shared" si="331"/>
        <v>72</v>
      </c>
      <c r="AJ257" s="35">
        <v>0</v>
      </c>
      <c r="AK257" s="119"/>
      <c r="AL257" s="119"/>
      <c r="AM257" s="46"/>
      <c r="AN257" s="119"/>
      <c r="AO257" s="46"/>
      <c r="AP257" s="119" t="s">
        <v>287</v>
      </c>
      <c r="AQ257" s="119">
        <v>130</v>
      </c>
      <c r="AR257" s="122">
        <v>150</v>
      </c>
      <c r="AS257" s="123">
        <v>0</v>
      </c>
      <c r="AT257" s="124">
        <v>0</v>
      </c>
      <c r="AU257" s="119"/>
      <c r="AV257" s="119"/>
      <c r="AW257" s="119"/>
      <c r="AX257" s="117" t="s">
        <v>68</v>
      </c>
    </row>
    <row r="258" spans="1:50" s="9" customFormat="1" ht="54" x14ac:dyDescent="0.25">
      <c r="A258" s="308"/>
      <c r="B258" s="115" t="s">
        <v>224</v>
      </c>
      <c r="C258" s="115" t="s">
        <v>171</v>
      </c>
      <c r="D258" s="117" t="s">
        <v>89</v>
      </c>
      <c r="E258" s="117" t="s">
        <v>70</v>
      </c>
      <c r="F258" s="251"/>
      <c r="G258" s="119" t="s">
        <v>235</v>
      </c>
      <c r="H258" s="119">
        <v>5</v>
      </c>
      <c r="I258" s="89">
        <v>2</v>
      </c>
      <c r="J258" s="90">
        <v>5</v>
      </c>
      <c r="K258" s="91">
        <v>1</v>
      </c>
      <c r="L258" s="92">
        <v>0</v>
      </c>
      <c r="M258" s="81">
        <v>1</v>
      </c>
      <c r="N258" s="34">
        <f t="shared" si="338"/>
        <v>9</v>
      </c>
      <c r="O258" s="35">
        <v>0</v>
      </c>
      <c r="P258" s="35"/>
      <c r="Q258" s="119"/>
      <c r="R258" s="119" t="s">
        <v>173</v>
      </c>
      <c r="S258" s="120" t="s">
        <v>232</v>
      </c>
      <c r="T258" s="251"/>
      <c r="U258" s="119">
        <v>5</v>
      </c>
      <c r="V258" s="197">
        <v>2</v>
      </c>
      <c r="W258" s="90">
        <v>5</v>
      </c>
      <c r="X258" s="91">
        <v>1</v>
      </c>
      <c r="Y258" s="92">
        <v>0</v>
      </c>
      <c r="Z258" s="81">
        <v>1</v>
      </c>
      <c r="AA258" s="34">
        <f t="shared" si="330"/>
        <v>9</v>
      </c>
      <c r="AB258" s="35">
        <v>0</v>
      </c>
      <c r="AC258" s="119">
        <v>5</v>
      </c>
      <c r="AD258" s="197">
        <v>4</v>
      </c>
      <c r="AE258" s="90">
        <v>10</v>
      </c>
      <c r="AF258" s="91">
        <v>1</v>
      </c>
      <c r="AG258" s="92">
        <v>0</v>
      </c>
      <c r="AH258" s="81">
        <v>1</v>
      </c>
      <c r="AI258" s="34">
        <f t="shared" si="331"/>
        <v>16</v>
      </c>
      <c r="AJ258" s="35">
        <v>0</v>
      </c>
      <c r="AK258" s="119"/>
      <c r="AL258" s="119"/>
      <c r="AM258" s="46"/>
      <c r="AN258" s="119"/>
      <c r="AO258" s="46"/>
      <c r="AP258" s="119" t="s">
        <v>287</v>
      </c>
      <c r="AQ258" s="119">
        <v>5</v>
      </c>
      <c r="AR258" s="122">
        <v>5</v>
      </c>
      <c r="AS258" s="123">
        <v>0</v>
      </c>
      <c r="AT258" s="124">
        <v>0</v>
      </c>
      <c r="AU258" s="119"/>
      <c r="AV258" s="119"/>
      <c r="AW258" s="119"/>
      <c r="AX258" s="117" t="s">
        <v>68</v>
      </c>
    </row>
    <row r="259" spans="1:50" s="9" customFormat="1" ht="72" x14ac:dyDescent="0.25">
      <c r="A259" s="308"/>
      <c r="B259" s="115" t="s">
        <v>224</v>
      </c>
      <c r="C259" s="115" t="s">
        <v>171</v>
      </c>
      <c r="D259" s="117" t="s">
        <v>89</v>
      </c>
      <c r="E259" s="117" t="s">
        <v>70</v>
      </c>
      <c r="F259" s="251"/>
      <c r="G259" s="119" t="s">
        <v>288</v>
      </c>
      <c r="H259" s="119">
        <v>2</v>
      </c>
      <c r="I259" s="89">
        <v>0</v>
      </c>
      <c r="J259" s="90">
        <v>0</v>
      </c>
      <c r="K259" s="91">
        <v>0</v>
      </c>
      <c r="L259" s="92">
        <v>0</v>
      </c>
      <c r="M259" s="81">
        <v>1</v>
      </c>
      <c r="N259" s="34">
        <f t="shared" si="338"/>
        <v>1</v>
      </c>
      <c r="O259" s="35">
        <v>0</v>
      </c>
      <c r="P259" s="35"/>
      <c r="Q259" s="119"/>
      <c r="R259" s="119" t="s">
        <v>173</v>
      </c>
      <c r="S259" s="120" t="s">
        <v>232</v>
      </c>
      <c r="T259" s="251"/>
      <c r="U259" s="119">
        <v>2</v>
      </c>
      <c r="V259" s="197">
        <v>0</v>
      </c>
      <c r="W259" s="90">
        <v>0</v>
      </c>
      <c r="X259" s="91">
        <v>0</v>
      </c>
      <c r="Y259" s="92">
        <v>0</v>
      </c>
      <c r="Z259" s="81">
        <v>5</v>
      </c>
      <c r="AA259" s="34">
        <f t="shared" si="330"/>
        <v>5</v>
      </c>
      <c r="AB259" s="35">
        <v>0</v>
      </c>
      <c r="AC259" s="119">
        <v>5</v>
      </c>
      <c r="AD259" s="197">
        <v>0</v>
      </c>
      <c r="AE259" s="90">
        <v>0</v>
      </c>
      <c r="AF259" s="91">
        <v>0</v>
      </c>
      <c r="AG259" s="92">
        <v>0</v>
      </c>
      <c r="AH259" s="81">
        <v>5</v>
      </c>
      <c r="AI259" s="34">
        <f t="shared" si="331"/>
        <v>5</v>
      </c>
      <c r="AJ259" s="35">
        <v>0</v>
      </c>
      <c r="AK259" s="119"/>
      <c r="AL259" s="119"/>
      <c r="AM259" s="46"/>
      <c r="AN259" s="119"/>
      <c r="AO259" s="46"/>
      <c r="AP259" s="119" t="s">
        <v>287</v>
      </c>
      <c r="AQ259" s="119">
        <v>5</v>
      </c>
      <c r="AR259" s="122">
        <v>5</v>
      </c>
      <c r="AS259" s="123">
        <v>0</v>
      </c>
      <c r="AT259" s="124">
        <v>0</v>
      </c>
      <c r="AU259" s="119"/>
      <c r="AV259" s="119"/>
      <c r="AW259" s="119"/>
      <c r="AX259" s="117" t="s">
        <v>68</v>
      </c>
    </row>
    <row r="260" spans="1:50" s="150" customFormat="1" ht="36" x14ac:dyDescent="0.25">
      <c r="A260" s="309"/>
      <c r="B260" s="115" t="s">
        <v>224</v>
      </c>
      <c r="C260" s="115" t="s">
        <v>171</v>
      </c>
      <c r="D260" s="148" t="s">
        <v>89</v>
      </c>
      <c r="E260" s="148" t="s">
        <v>70</v>
      </c>
      <c r="F260" s="143" t="s">
        <v>61</v>
      </c>
      <c r="G260" s="143"/>
      <c r="H260" s="143">
        <f t="shared" ref="H260:O260" si="379">SUM(H253:H259)</f>
        <v>217</v>
      </c>
      <c r="I260" s="143">
        <f t="shared" si="379"/>
        <v>2</v>
      </c>
      <c r="J260" s="143">
        <f t="shared" si="379"/>
        <v>6</v>
      </c>
      <c r="K260" s="143">
        <f t="shared" si="379"/>
        <v>88</v>
      </c>
      <c r="L260" s="143">
        <f t="shared" si="379"/>
        <v>45</v>
      </c>
      <c r="M260" s="143">
        <f t="shared" si="379"/>
        <v>29</v>
      </c>
      <c r="N260" s="143">
        <f t="shared" si="338"/>
        <v>170</v>
      </c>
      <c r="O260" s="143">
        <f t="shared" si="379"/>
        <v>40</v>
      </c>
      <c r="P260" s="143"/>
      <c r="Q260" s="143"/>
      <c r="R260" s="149"/>
      <c r="S260" s="143"/>
      <c r="T260" s="128"/>
      <c r="U260" s="143">
        <f t="shared" ref="U260:AJ260" si="380">SUM(U253:U259)</f>
        <v>302</v>
      </c>
      <c r="V260" s="143">
        <f t="shared" si="380"/>
        <v>2</v>
      </c>
      <c r="W260" s="143">
        <f t="shared" si="380"/>
        <v>6</v>
      </c>
      <c r="X260" s="143">
        <f t="shared" si="380"/>
        <v>88</v>
      </c>
      <c r="Y260" s="143">
        <f t="shared" si="380"/>
        <v>45</v>
      </c>
      <c r="Z260" s="143">
        <f t="shared" si="380"/>
        <v>33</v>
      </c>
      <c r="AA260" s="143">
        <f t="shared" ref="AA260:AA323" si="381">SUM(V260:Z260)</f>
        <v>174</v>
      </c>
      <c r="AB260" s="143">
        <f t="shared" si="380"/>
        <v>125</v>
      </c>
      <c r="AC260" s="143">
        <f t="shared" si="380"/>
        <v>330</v>
      </c>
      <c r="AD260" s="143">
        <f t="shared" si="380"/>
        <v>4</v>
      </c>
      <c r="AE260" s="143">
        <f t="shared" si="380"/>
        <v>12</v>
      </c>
      <c r="AF260" s="143">
        <f t="shared" si="380"/>
        <v>108</v>
      </c>
      <c r="AG260" s="143">
        <f t="shared" ref="AG260" si="382">SUM(AG253:AG259)</f>
        <v>0</v>
      </c>
      <c r="AH260" s="143">
        <f t="shared" si="380"/>
        <v>49</v>
      </c>
      <c r="AI260" s="143">
        <f t="shared" ref="AI260:AI323" si="383">SUM(AD260:AH260)</f>
        <v>173</v>
      </c>
      <c r="AJ260" s="143">
        <f t="shared" si="380"/>
        <v>80</v>
      </c>
      <c r="AK260" s="143"/>
      <c r="AL260" s="143"/>
      <c r="AM260" s="143"/>
      <c r="AN260" s="143"/>
      <c r="AO260" s="143"/>
      <c r="AP260" s="128"/>
      <c r="AQ260" s="143">
        <f>SUM(AQ253:AQ259)</f>
        <v>330</v>
      </c>
      <c r="AR260" s="143">
        <f>SUM(AR253:AR259)</f>
        <v>350</v>
      </c>
      <c r="AS260" s="143">
        <f>SUM(AS253:AS259)</f>
        <v>0</v>
      </c>
      <c r="AT260" s="143">
        <f>SUM(AT253:AT259)</f>
        <v>0</v>
      </c>
      <c r="AU260" s="149"/>
      <c r="AV260" s="143"/>
      <c r="AW260" s="128"/>
      <c r="AX260" s="128" t="s">
        <v>68</v>
      </c>
    </row>
    <row r="261" spans="1:50" s="77" customFormat="1" ht="72" x14ac:dyDescent="0.25">
      <c r="A261" s="310"/>
      <c r="B261" s="115" t="s">
        <v>224</v>
      </c>
      <c r="C261" s="115" t="s">
        <v>105</v>
      </c>
      <c r="D261" s="117" t="s">
        <v>106</v>
      </c>
      <c r="E261" s="117" t="s">
        <v>48</v>
      </c>
      <c r="F261" s="272" t="s">
        <v>49</v>
      </c>
      <c r="G261" s="119" t="s">
        <v>237</v>
      </c>
      <c r="H261" s="151">
        <v>20</v>
      </c>
      <c r="I261" s="89">
        <v>0</v>
      </c>
      <c r="J261" s="90">
        <v>0</v>
      </c>
      <c r="K261" s="91">
        <v>0</v>
      </c>
      <c r="L261" s="92">
        <v>0</v>
      </c>
      <c r="M261" s="81">
        <v>0</v>
      </c>
      <c r="N261" s="133">
        <f t="shared" si="338"/>
        <v>0</v>
      </c>
      <c r="O261" s="71">
        <v>20</v>
      </c>
      <c r="P261" s="71"/>
      <c r="Q261" s="136"/>
      <c r="R261" s="119" t="s">
        <v>51</v>
      </c>
      <c r="S261" s="120" t="s">
        <v>289</v>
      </c>
      <c r="T261" s="135" t="s">
        <v>77</v>
      </c>
      <c r="U261" s="151">
        <v>20</v>
      </c>
      <c r="V261" s="197">
        <v>0</v>
      </c>
      <c r="W261" s="90">
        <v>0</v>
      </c>
      <c r="X261" s="91">
        <v>0</v>
      </c>
      <c r="Y261" s="92">
        <v>0</v>
      </c>
      <c r="Z261" s="81">
        <v>0</v>
      </c>
      <c r="AA261" s="133">
        <f t="shared" si="381"/>
        <v>0</v>
      </c>
      <c r="AB261" s="71">
        <v>20</v>
      </c>
      <c r="AC261" s="151">
        <v>2</v>
      </c>
      <c r="AD261" s="197">
        <v>0</v>
      </c>
      <c r="AE261" s="90">
        <v>0</v>
      </c>
      <c r="AF261" s="91">
        <v>0</v>
      </c>
      <c r="AG261" s="92">
        <v>0</v>
      </c>
      <c r="AH261" s="81">
        <v>0</v>
      </c>
      <c r="AI261" s="133">
        <f t="shared" si="383"/>
        <v>0</v>
      </c>
      <c r="AJ261" s="71">
        <f>AC261/4*3</f>
        <v>1.5</v>
      </c>
      <c r="AK261" s="136"/>
      <c r="AL261" s="136"/>
      <c r="AM261" s="72"/>
      <c r="AN261" s="136"/>
      <c r="AO261" s="72"/>
      <c r="AP261" s="119" t="s">
        <v>58</v>
      </c>
      <c r="AQ261" s="136">
        <v>2</v>
      </c>
      <c r="AR261" s="122">
        <v>0</v>
      </c>
      <c r="AS261" s="123">
        <f>AQ261/4*3</f>
        <v>1.5</v>
      </c>
      <c r="AT261" s="124">
        <v>0</v>
      </c>
      <c r="AU261" s="119"/>
      <c r="AV261" s="136"/>
      <c r="AW261" s="119"/>
      <c r="AX261" s="117" t="s">
        <v>108</v>
      </c>
    </row>
    <row r="262" spans="1:50" s="77" customFormat="1" ht="72" x14ac:dyDescent="0.25">
      <c r="A262" s="310"/>
      <c r="B262" s="115" t="s">
        <v>224</v>
      </c>
      <c r="C262" s="115" t="s">
        <v>105</v>
      </c>
      <c r="D262" s="117" t="s">
        <v>106</v>
      </c>
      <c r="E262" s="117" t="s">
        <v>48</v>
      </c>
      <c r="F262" s="272"/>
      <c r="G262" s="119" t="s">
        <v>228</v>
      </c>
      <c r="H262" s="151">
        <v>1</v>
      </c>
      <c r="I262" s="89">
        <v>0</v>
      </c>
      <c r="J262" s="90">
        <v>0</v>
      </c>
      <c r="K262" s="91">
        <v>0</v>
      </c>
      <c r="L262" s="92">
        <v>0</v>
      </c>
      <c r="M262" s="81">
        <v>0</v>
      </c>
      <c r="N262" s="133">
        <f t="shared" si="338"/>
        <v>0</v>
      </c>
      <c r="O262" s="71">
        <v>1</v>
      </c>
      <c r="P262" s="71"/>
      <c r="Q262" s="136"/>
      <c r="R262" s="119" t="s">
        <v>51</v>
      </c>
      <c r="S262" s="120" t="s">
        <v>289</v>
      </c>
      <c r="T262" s="135" t="s">
        <v>77</v>
      </c>
      <c r="U262" s="151">
        <v>10</v>
      </c>
      <c r="V262" s="197">
        <v>0</v>
      </c>
      <c r="W262" s="90">
        <v>0</v>
      </c>
      <c r="X262" s="91">
        <v>0</v>
      </c>
      <c r="Y262" s="92">
        <v>0</v>
      </c>
      <c r="Z262" s="81">
        <v>0</v>
      </c>
      <c r="AA262" s="133">
        <f t="shared" si="381"/>
        <v>0</v>
      </c>
      <c r="AB262" s="71">
        <v>10</v>
      </c>
      <c r="AC262" s="151">
        <v>0</v>
      </c>
      <c r="AD262" s="197">
        <v>0</v>
      </c>
      <c r="AE262" s="90">
        <v>0</v>
      </c>
      <c r="AF262" s="91">
        <v>0</v>
      </c>
      <c r="AG262" s="92">
        <v>0</v>
      </c>
      <c r="AH262" s="81">
        <v>0</v>
      </c>
      <c r="AI262" s="133">
        <f t="shared" si="383"/>
        <v>0</v>
      </c>
      <c r="AJ262" s="71">
        <f>AC262/4*3</f>
        <v>0</v>
      </c>
      <c r="AK262" s="136"/>
      <c r="AL262" s="136"/>
      <c r="AM262" s="72"/>
      <c r="AN262" s="136"/>
      <c r="AO262" s="72"/>
      <c r="AP262" s="119"/>
      <c r="AQ262" s="136"/>
      <c r="AR262" s="122">
        <v>0</v>
      </c>
      <c r="AS262" s="123">
        <v>0</v>
      </c>
      <c r="AT262" s="124">
        <v>0</v>
      </c>
      <c r="AU262" s="119"/>
      <c r="AV262" s="136"/>
      <c r="AW262" s="119"/>
      <c r="AX262" s="117" t="s">
        <v>108</v>
      </c>
    </row>
    <row r="263" spans="1:50" s="77" customFormat="1" ht="72" x14ac:dyDescent="0.25">
      <c r="A263" s="310"/>
      <c r="B263" s="115" t="s">
        <v>224</v>
      </c>
      <c r="C263" s="115" t="s">
        <v>105</v>
      </c>
      <c r="D263" s="117" t="s">
        <v>106</v>
      </c>
      <c r="E263" s="117" t="s">
        <v>48</v>
      </c>
      <c r="F263" s="272"/>
      <c r="G263" s="119" t="s">
        <v>290</v>
      </c>
      <c r="H263" s="151">
        <v>5</v>
      </c>
      <c r="I263" s="89">
        <v>0</v>
      </c>
      <c r="J263" s="90">
        <v>0</v>
      </c>
      <c r="K263" s="91">
        <v>0</v>
      </c>
      <c r="L263" s="92">
        <v>0</v>
      </c>
      <c r="M263" s="81">
        <v>0</v>
      </c>
      <c r="N263" s="133">
        <f t="shared" si="338"/>
        <v>0</v>
      </c>
      <c r="O263" s="71">
        <v>5</v>
      </c>
      <c r="P263" s="71"/>
      <c r="Q263" s="136"/>
      <c r="R263" s="119" t="s">
        <v>291</v>
      </c>
      <c r="S263" s="120" t="s">
        <v>289</v>
      </c>
      <c r="T263" s="135" t="s">
        <v>77</v>
      </c>
      <c r="U263" s="151">
        <v>5</v>
      </c>
      <c r="V263" s="197">
        <v>0</v>
      </c>
      <c r="W263" s="90">
        <v>0</v>
      </c>
      <c r="X263" s="91">
        <v>0</v>
      </c>
      <c r="Y263" s="92">
        <v>0</v>
      </c>
      <c r="Z263" s="81">
        <v>0</v>
      </c>
      <c r="AA263" s="133">
        <f t="shared" si="381"/>
        <v>0</v>
      </c>
      <c r="AB263" s="71">
        <v>5</v>
      </c>
      <c r="AC263" s="151">
        <v>0</v>
      </c>
      <c r="AD263" s="197">
        <v>0</v>
      </c>
      <c r="AE263" s="90">
        <v>0</v>
      </c>
      <c r="AF263" s="91">
        <v>0</v>
      </c>
      <c r="AG263" s="92">
        <v>0</v>
      </c>
      <c r="AH263" s="81">
        <v>0</v>
      </c>
      <c r="AI263" s="133">
        <f t="shared" si="383"/>
        <v>0</v>
      </c>
      <c r="AJ263" s="71">
        <f>AC263/4*3</f>
        <v>0</v>
      </c>
      <c r="AK263" s="136"/>
      <c r="AL263" s="136"/>
      <c r="AM263" s="72"/>
      <c r="AN263" s="136"/>
      <c r="AO263" s="72"/>
      <c r="AP263" s="119"/>
      <c r="AQ263" s="136"/>
      <c r="AR263" s="122">
        <v>0</v>
      </c>
      <c r="AS263" s="123">
        <v>0</v>
      </c>
      <c r="AT263" s="124">
        <v>0</v>
      </c>
      <c r="AU263" s="119"/>
      <c r="AV263" s="136"/>
      <c r="AW263" s="119"/>
      <c r="AX263" s="117" t="s">
        <v>108</v>
      </c>
    </row>
    <row r="264" spans="1:50" s="77" customFormat="1" ht="72" x14ac:dyDescent="0.25">
      <c r="A264" s="310"/>
      <c r="B264" s="115" t="s">
        <v>224</v>
      </c>
      <c r="C264" s="115" t="s">
        <v>105</v>
      </c>
      <c r="D264" s="117" t="s">
        <v>106</v>
      </c>
      <c r="E264" s="117" t="s">
        <v>48</v>
      </c>
      <c r="F264" s="272"/>
      <c r="G264" s="119" t="s">
        <v>292</v>
      </c>
      <c r="H264" s="151">
        <v>5</v>
      </c>
      <c r="I264" s="89">
        <v>0</v>
      </c>
      <c r="J264" s="90">
        <v>0</v>
      </c>
      <c r="K264" s="91">
        <v>0</v>
      </c>
      <c r="L264" s="92">
        <v>0</v>
      </c>
      <c r="M264" s="81">
        <v>0</v>
      </c>
      <c r="N264" s="133">
        <f t="shared" si="338"/>
        <v>0</v>
      </c>
      <c r="O264" s="71">
        <v>5</v>
      </c>
      <c r="P264" s="71"/>
      <c r="Q264" s="136"/>
      <c r="R264" s="119" t="s">
        <v>279</v>
      </c>
      <c r="S264" s="120" t="s">
        <v>289</v>
      </c>
      <c r="T264" s="135" t="s">
        <v>77</v>
      </c>
      <c r="U264" s="151">
        <v>5</v>
      </c>
      <c r="V264" s="197">
        <v>0</v>
      </c>
      <c r="W264" s="90">
        <v>0</v>
      </c>
      <c r="X264" s="91">
        <v>0</v>
      </c>
      <c r="Y264" s="92">
        <v>0</v>
      </c>
      <c r="Z264" s="81">
        <v>0</v>
      </c>
      <c r="AA264" s="133">
        <f t="shared" si="381"/>
        <v>0</v>
      </c>
      <c r="AB264" s="71">
        <v>5</v>
      </c>
      <c r="AC264" s="151">
        <v>0</v>
      </c>
      <c r="AD264" s="197">
        <v>0</v>
      </c>
      <c r="AE264" s="90">
        <v>0</v>
      </c>
      <c r="AF264" s="91">
        <v>0</v>
      </c>
      <c r="AG264" s="92">
        <v>0</v>
      </c>
      <c r="AH264" s="81">
        <v>0</v>
      </c>
      <c r="AI264" s="133">
        <f t="shared" si="383"/>
        <v>0</v>
      </c>
      <c r="AJ264" s="71">
        <f>AC264/4*3</f>
        <v>0</v>
      </c>
      <c r="AK264" s="136"/>
      <c r="AL264" s="136"/>
      <c r="AM264" s="72"/>
      <c r="AN264" s="136"/>
      <c r="AO264" s="72"/>
      <c r="AP264" s="119"/>
      <c r="AQ264" s="136"/>
      <c r="AR264" s="122">
        <v>0</v>
      </c>
      <c r="AS264" s="123">
        <v>0</v>
      </c>
      <c r="AT264" s="124">
        <v>0</v>
      </c>
      <c r="AU264" s="119"/>
      <c r="AV264" s="136"/>
      <c r="AW264" s="119"/>
      <c r="AX264" s="117" t="s">
        <v>108</v>
      </c>
    </row>
    <row r="265" spans="1:50" s="150" customFormat="1" ht="36" x14ac:dyDescent="0.25">
      <c r="A265" s="310"/>
      <c r="B265" s="115" t="s">
        <v>224</v>
      </c>
      <c r="C265" s="115" t="s">
        <v>105</v>
      </c>
      <c r="D265" s="148" t="s">
        <v>106</v>
      </c>
      <c r="E265" s="148" t="s">
        <v>48</v>
      </c>
      <c r="F265" s="143" t="s">
        <v>61</v>
      </c>
      <c r="G265" s="152"/>
      <c r="H265" s="153">
        <f t="shared" ref="H265:O265" si="384">SUM(H261:H264)</f>
        <v>31</v>
      </c>
      <c r="I265" s="153">
        <f t="shared" si="384"/>
        <v>0</v>
      </c>
      <c r="J265" s="153">
        <f t="shared" si="384"/>
        <v>0</v>
      </c>
      <c r="K265" s="153">
        <f t="shared" si="384"/>
        <v>0</v>
      </c>
      <c r="L265" s="153">
        <f t="shared" si="384"/>
        <v>0</v>
      </c>
      <c r="M265" s="153">
        <f t="shared" si="384"/>
        <v>0</v>
      </c>
      <c r="N265" s="153">
        <f t="shared" ref="N265:N328" si="385">SUM(I265:M265)</f>
        <v>0</v>
      </c>
      <c r="O265" s="153">
        <f t="shared" si="384"/>
        <v>31</v>
      </c>
      <c r="P265" s="153"/>
      <c r="Q265" s="153"/>
      <c r="R265" s="149"/>
      <c r="S265" s="154"/>
      <c r="T265" s="152"/>
      <c r="U265" s="153">
        <f t="shared" ref="U265:AJ265" si="386">SUM(U261:U264)</f>
        <v>40</v>
      </c>
      <c r="V265" s="153">
        <f t="shared" si="386"/>
        <v>0</v>
      </c>
      <c r="W265" s="153">
        <f t="shared" si="386"/>
        <v>0</v>
      </c>
      <c r="X265" s="153">
        <f t="shared" si="386"/>
        <v>0</v>
      </c>
      <c r="Y265" s="153">
        <f t="shared" si="386"/>
        <v>0</v>
      </c>
      <c r="Z265" s="153">
        <f t="shared" si="386"/>
        <v>0</v>
      </c>
      <c r="AA265" s="153">
        <f t="shared" si="381"/>
        <v>0</v>
      </c>
      <c r="AB265" s="153">
        <f t="shared" si="386"/>
        <v>40</v>
      </c>
      <c r="AC265" s="153">
        <f t="shared" si="386"/>
        <v>2</v>
      </c>
      <c r="AD265" s="153">
        <f t="shared" si="386"/>
        <v>0</v>
      </c>
      <c r="AE265" s="153">
        <f t="shared" si="386"/>
        <v>0</v>
      </c>
      <c r="AF265" s="153">
        <f t="shared" si="386"/>
        <v>0</v>
      </c>
      <c r="AG265" s="153">
        <f t="shared" ref="AG265" si="387">SUM(AG261:AG264)</f>
        <v>0</v>
      </c>
      <c r="AH265" s="153">
        <f t="shared" si="386"/>
        <v>0</v>
      </c>
      <c r="AI265" s="153">
        <f t="shared" si="383"/>
        <v>0</v>
      </c>
      <c r="AJ265" s="153">
        <f t="shared" si="386"/>
        <v>1.5</v>
      </c>
      <c r="AK265" s="153"/>
      <c r="AL265" s="153"/>
      <c r="AM265" s="153"/>
      <c r="AN265" s="153"/>
      <c r="AO265" s="153"/>
      <c r="AP265" s="152"/>
      <c r="AQ265" s="153">
        <f>SUM(AQ261:AQ264)</f>
        <v>2</v>
      </c>
      <c r="AR265" s="153">
        <f>SUM(AR261:AR264)</f>
        <v>0</v>
      </c>
      <c r="AS265" s="153">
        <f>SUM(AS261:AS264)</f>
        <v>1.5</v>
      </c>
      <c r="AT265" s="153">
        <f>SUM(AT261:AT264)</f>
        <v>0</v>
      </c>
      <c r="AU265" s="149"/>
      <c r="AV265" s="153"/>
      <c r="AW265" s="152"/>
      <c r="AX265" s="152" t="s">
        <v>108</v>
      </c>
    </row>
    <row r="266" spans="1:50" s="150" customFormat="1" ht="72" x14ac:dyDescent="0.25">
      <c r="A266" s="310"/>
      <c r="B266" s="115" t="s">
        <v>224</v>
      </c>
      <c r="C266" s="115" t="s">
        <v>109</v>
      </c>
      <c r="D266" s="117" t="s">
        <v>106</v>
      </c>
      <c r="E266" s="117" t="s">
        <v>48</v>
      </c>
      <c r="F266" s="267" t="s">
        <v>49</v>
      </c>
      <c r="G266" s="119" t="s">
        <v>178</v>
      </c>
      <c r="H266" s="151">
        <v>65</v>
      </c>
      <c r="I266" s="89">
        <v>0</v>
      </c>
      <c r="J266" s="90">
        <v>0</v>
      </c>
      <c r="K266" s="91">
        <v>0</v>
      </c>
      <c r="L266" s="92">
        <v>0</v>
      </c>
      <c r="M266" s="81">
        <v>0</v>
      </c>
      <c r="N266" s="133">
        <f t="shared" si="385"/>
        <v>0</v>
      </c>
      <c r="O266" s="71">
        <v>65</v>
      </c>
      <c r="P266" s="71"/>
      <c r="Q266" s="136"/>
      <c r="R266" s="119" t="s">
        <v>51</v>
      </c>
      <c r="S266" s="120" t="s">
        <v>293</v>
      </c>
      <c r="T266" s="135" t="s">
        <v>77</v>
      </c>
      <c r="U266" s="151">
        <v>80</v>
      </c>
      <c r="V266" s="197">
        <v>0</v>
      </c>
      <c r="W266" s="90">
        <v>0</v>
      </c>
      <c r="X266" s="91">
        <v>0</v>
      </c>
      <c r="Y266" s="92">
        <v>0</v>
      </c>
      <c r="Z266" s="81">
        <v>0</v>
      </c>
      <c r="AA266" s="133">
        <f t="shared" si="381"/>
        <v>0</v>
      </c>
      <c r="AB266" s="71">
        <v>80</v>
      </c>
      <c r="AC266" s="151">
        <v>1</v>
      </c>
      <c r="AD266" s="197">
        <v>0</v>
      </c>
      <c r="AE266" s="90">
        <v>0</v>
      </c>
      <c r="AF266" s="91">
        <v>0</v>
      </c>
      <c r="AG266" s="92">
        <v>0</v>
      </c>
      <c r="AH266" s="81">
        <v>0</v>
      </c>
      <c r="AI266" s="133">
        <f t="shared" si="383"/>
        <v>0</v>
      </c>
      <c r="AJ266" s="71">
        <v>1</v>
      </c>
      <c r="AK266" s="136"/>
      <c r="AL266" s="136"/>
      <c r="AM266" s="72"/>
      <c r="AN266" s="136"/>
      <c r="AO266" s="72"/>
      <c r="AP266" s="119" t="s">
        <v>58</v>
      </c>
      <c r="AQ266" s="136">
        <v>1</v>
      </c>
      <c r="AR266" s="122">
        <v>0</v>
      </c>
      <c r="AS266" s="123">
        <v>0</v>
      </c>
      <c r="AT266" s="124">
        <v>0</v>
      </c>
      <c r="AU266" s="119"/>
      <c r="AV266" s="136"/>
      <c r="AW266" s="119"/>
      <c r="AX266" s="117" t="s">
        <v>108</v>
      </c>
    </row>
    <row r="267" spans="1:50" s="77" customFormat="1" ht="72" x14ac:dyDescent="0.25">
      <c r="A267" s="310"/>
      <c r="B267" s="115" t="s">
        <v>224</v>
      </c>
      <c r="C267" s="115" t="s">
        <v>109</v>
      </c>
      <c r="D267" s="117" t="s">
        <v>106</v>
      </c>
      <c r="E267" s="117" t="s">
        <v>48</v>
      </c>
      <c r="F267" s="268"/>
      <c r="G267" s="119" t="s">
        <v>237</v>
      </c>
      <c r="H267" s="151">
        <v>50</v>
      </c>
      <c r="I267" s="89">
        <v>0</v>
      </c>
      <c r="J267" s="90">
        <v>0</v>
      </c>
      <c r="K267" s="91">
        <v>0</v>
      </c>
      <c r="L267" s="92">
        <v>0</v>
      </c>
      <c r="M267" s="81">
        <v>0</v>
      </c>
      <c r="N267" s="133">
        <f t="shared" si="385"/>
        <v>0</v>
      </c>
      <c r="O267" s="71">
        <v>50</v>
      </c>
      <c r="P267" s="71"/>
      <c r="Q267" s="136"/>
      <c r="R267" s="119" t="s">
        <v>51</v>
      </c>
      <c r="S267" s="120" t="s">
        <v>294</v>
      </c>
      <c r="T267" s="135" t="s">
        <v>77</v>
      </c>
      <c r="U267" s="151">
        <v>60</v>
      </c>
      <c r="V267" s="197">
        <v>0</v>
      </c>
      <c r="W267" s="90">
        <v>0</v>
      </c>
      <c r="X267" s="91">
        <v>0</v>
      </c>
      <c r="Y267" s="92">
        <v>0</v>
      </c>
      <c r="Z267" s="81">
        <v>0</v>
      </c>
      <c r="AA267" s="133">
        <f t="shared" si="381"/>
        <v>0</v>
      </c>
      <c r="AB267" s="71">
        <v>60</v>
      </c>
      <c r="AC267" s="151">
        <v>1</v>
      </c>
      <c r="AD267" s="197">
        <v>0</v>
      </c>
      <c r="AE267" s="90">
        <v>0</v>
      </c>
      <c r="AF267" s="91">
        <v>0</v>
      </c>
      <c r="AG267" s="92">
        <v>0</v>
      </c>
      <c r="AH267" s="81">
        <v>0</v>
      </c>
      <c r="AI267" s="133">
        <f t="shared" si="383"/>
        <v>0</v>
      </c>
      <c r="AJ267" s="71">
        <f>AC267/4*3</f>
        <v>0.75</v>
      </c>
      <c r="AK267" s="136"/>
      <c r="AL267" s="136"/>
      <c r="AM267" s="72"/>
      <c r="AN267" s="136"/>
      <c r="AO267" s="72"/>
      <c r="AP267" s="119" t="s">
        <v>58</v>
      </c>
      <c r="AQ267" s="136">
        <v>1</v>
      </c>
      <c r="AR267" s="122">
        <v>0</v>
      </c>
      <c r="AS267" s="123">
        <v>1</v>
      </c>
      <c r="AT267" s="124">
        <v>0</v>
      </c>
      <c r="AU267" s="119"/>
      <c r="AV267" s="136"/>
      <c r="AW267" s="119"/>
      <c r="AX267" s="117" t="s">
        <v>108</v>
      </c>
    </row>
    <row r="268" spans="1:50" s="77" customFormat="1" ht="72" x14ac:dyDescent="0.25">
      <c r="A268" s="310"/>
      <c r="B268" s="115" t="s">
        <v>224</v>
      </c>
      <c r="C268" s="115" t="s">
        <v>109</v>
      </c>
      <c r="D268" s="117" t="s">
        <v>106</v>
      </c>
      <c r="E268" s="117" t="s">
        <v>48</v>
      </c>
      <c r="F268" s="268"/>
      <c r="G268" s="119" t="s">
        <v>228</v>
      </c>
      <c r="H268" s="151">
        <v>20</v>
      </c>
      <c r="I268" s="89">
        <v>0</v>
      </c>
      <c r="J268" s="90">
        <v>10</v>
      </c>
      <c r="K268" s="91">
        <v>0</v>
      </c>
      <c r="L268" s="92">
        <v>0</v>
      </c>
      <c r="M268" s="81">
        <v>0</v>
      </c>
      <c r="N268" s="133">
        <f t="shared" si="385"/>
        <v>10</v>
      </c>
      <c r="O268" s="71">
        <v>20</v>
      </c>
      <c r="P268" s="71"/>
      <c r="Q268" s="136"/>
      <c r="R268" s="119" t="s">
        <v>51</v>
      </c>
      <c r="S268" s="120" t="s">
        <v>293</v>
      </c>
      <c r="T268" s="135" t="s">
        <v>77</v>
      </c>
      <c r="U268" s="151">
        <v>20</v>
      </c>
      <c r="V268" s="197">
        <v>0</v>
      </c>
      <c r="W268" s="90">
        <v>0</v>
      </c>
      <c r="X268" s="91">
        <v>0</v>
      </c>
      <c r="Y268" s="92">
        <v>0</v>
      </c>
      <c r="Z268" s="81">
        <v>0</v>
      </c>
      <c r="AA268" s="133">
        <f t="shared" si="381"/>
        <v>0</v>
      </c>
      <c r="AB268" s="71">
        <v>20</v>
      </c>
      <c r="AC268" s="151">
        <v>0</v>
      </c>
      <c r="AD268" s="197">
        <v>0</v>
      </c>
      <c r="AE268" s="90">
        <v>0</v>
      </c>
      <c r="AF268" s="91">
        <v>0</v>
      </c>
      <c r="AG268" s="92">
        <v>0</v>
      </c>
      <c r="AH268" s="81">
        <v>0</v>
      </c>
      <c r="AI268" s="133">
        <f t="shared" si="383"/>
        <v>0</v>
      </c>
      <c r="AJ268" s="71">
        <v>0</v>
      </c>
      <c r="AK268" s="136"/>
      <c r="AL268" s="136"/>
      <c r="AM268" s="72"/>
      <c r="AN268" s="136"/>
      <c r="AO268" s="72"/>
      <c r="AP268" s="119"/>
      <c r="AQ268" s="136">
        <v>0</v>
      </c>
      <c r="AR268" s="122">
        <v>0</v>
      </c>
      <c r="AS268" s="123">
        <v>0</v>
      </c>
      <c r="AT268" s="124">
        <v>0</v>
      </c>
      <c r="AU268" s="119"/>
      <c r="AV268" s="136"/>
      <c r="AW268" s="119"/>
      <c r="AX268" s="117" t="s">
        <v>108</v>
      </c>
    </row>
    <row r="269" spans="1:50" s="77" customFormat="1" ht="72" x14ac:dyDescent="0.25">
      <c r="A269" s="310"/>
      <c r="B269" s="115" t="s">
        <v>224</v>
      </c>
      <c r="C269" s="115" t="s">
        <v>109</v>
      </c>
      <c r="D269" s="117" t="s">
        <v>106</v>
      </c>
      <c r="E269" s="117" t="s">
        <v>48</v>
      </c>
      <c r="F269" s="268"/>
      <c r="G269" s="119" t="s">
        <v>290</v>
      </c>
      <c r="H269" s="151">
        <v>5</v>
      </c>
      <c r="I269" s="89">
        <v>0</v>
      </c>
      <c r="J269" s="90">
        <v>0</v>
      </c>
      <c r="K269" s="91">
        <v>0</v>
      </c>
      <c r="L269" s="92">
        <v>0</v>
      </c>
      <c r="M269" s="81">
        <v>0</v>
      </c>
      <c r="N269" s="133">
        <f t="shared" si="385"/>
        <v>0</v>
      </c>
      <c r="O269" s="71">
        <v>5</v>
      </c>
      <c r="P269" s="71"/>
      <c r="Q269" s="136"/>
      <c r="R269" s="119" t="s">
        <v>291</v>
      </c>
      <c r="S269" s="120" t="s">
        <v>294</v>
      </c>
      <c r="T269" s="135" t="s">
        <v>77</v>
      </c>
      <c r="U269" s="151">
        <v>5</v>
      </c>
      <c r="V269" s="197">
        <v>0</v>
      </c>
      <c r="W269" s="90">
        <v>0</v>
      </c>
      <c r="X269" s="91">
        <v>0</v>
      </c>
      <c r="Y269" s="92">
        <v>0</v>
      </c>
      <c r="Z269" s="81">
        <v>0</v>
      </c>
      <c r="AA269" s="133">
        <f t="shared" si="381"/>
        <v>0</v>
      </c>
      <c r="AB269" s="71">
        <v>5</v>
      </c>
      <c r="AC269" s="151">
        <v>0</v>
      </c>
      <c r="AD269" s="197">
        <v>0</v>
      </c>
      <c r="AE269" s="90">
        <v>0</v>
      </c>
      <c r="AF269" s="91">
        <v>0</v>
      </c>
      <c r="AG269" s="92">
        <v>0</v>
      </c>
      <c r="AH269" s="81">
        <v>0</v>
      </c>
      <c r="AI269" s="133">
        <f t="shared" si="383"/>
        <v>0</v>
      </c>
      <c r="AJ269" s="71">
        <f>AC269/4*3</f>
        <v>0</v>
      </c>
      <c r="AK269" s="136"/>
      <c r="AL269" s="136"/>
      <c r="AM269" s="72"/>
      <c r="AN269" s="136"/>
      <c r="AO269" s="72"/>
      <c r="AP269" s="119"/>
      <c r="AQ269" s="136">
        <v>0</v>
      </c>
      <c r="AR269" s="122">
        <v>0</v>
      </c>
      <c r="AS269" s="123">
        <v>0</v>
      </c>
      <c r="AT269" s="124">
        <v>0</v>
      </c>
      <c r="AU269" s="119"/>
      <c r="AV269" s="136"/>
      <c r="AW269" s="119"/>
      <c r="AX269" s="117" t="s">
        <v>108</v>
      </c>
    </row>
    <row r="270" spans="1:50" s="77" customFormat="1" ht="72" x14ac:dyDescent="0.25">
      <c r="A270" s="310"/>
      <c r="B270" s="115" t="s">
        <v>224</v>
      </c>
      <c r="C270" s="115" t="s">
        <v>109</v>
      </c>
      <c r="D270" s="117" t="s">
        <v>106</v>
      </c>
      <c r="E270" s="117" t="s">
        <v>48</v>
      </c>
      <c r="F270" s="269"/>
      <c r="G270" s="119" t="s">
        <v>292</v>
      </c>
      <c r="H270" s="151">
        <v>5</v>
      </c>
      <c r="I270" s="89">
        <v>0</v>
      </c>
      <c r="J270" s="90">
        <v>0</v>
      </c>
      <c r="K270" s="91">
        <v>0</v>
      </c>
      <c r="L270" s="92">
        <v>0</v>
      </c>
      <c r="M270" s="81">
        <v>0</v>
      </c>
      <c r="N270" s="133">
        <f t="shared" si="385"/>
        <v>0</v>
      </c>
      <c r="O270" s="71">
        <v>5</v>
      </c>
      <c r="P270" s="71"/>
      <c r="Q270" s="136"/>
      <c r="R270" s="119" t="s">
        <v>279</v>
      </c>
      <c r="S270" s="120" t="s">
        <v>294</v>
      </c>
      <c r="T270" s="135" t="s">
        <v>77</v>
      </c>
      <c r="U270" s="151">
        <v>5</v>
      </c>
      <c r="V270" s="197">
        <v>0</v>
      </c>
      <c r="W270" s="90">
        <v>0</v>
      </c>
      <c r="X270" s="91">
        <v>0</v>
      </c>
      <c r="Y270" s="92">
        <v>0</v>
      </c>
      <c r="Z270" s="81">
        <v>0</v>
      </c>
      <c r="AA270" s="133">
        <f t="shared" si="381"/>
        <v>0</v>
      </c>
      <c r="AB270" s="71">
        <v>5</v>
      </c>
      <c r="AC270" s="151">
        <v>1</v>
      </c>
      <c r="AD270" s="197">
        <v>0</v>
      </c>
      <c r="AE270" s="90">
        <v>0</v>
      </c>
      <c r="AF270" s="91">
        <v>0</v>
      </c>
      <c r="AG270" s="92">
        <v>0</v>
      </c>
      <c r="AH270" s="81">
        <v>0</v>
      </c>
      <c r="AI270" s="133">
        <f t="shared" si="383"/>
        <v>0</v>
      </c>
      <c r="AJ270" s="71">
        <f>AC270/4*3</f>
        <v>0.75</v>
      </c>
      <c r="AK270" s="136"/>
      <c r="AL270" s="136"/>
      <c r="AM270" s="72"/>
      <c r="AN270" s="136"/>
      <c r="AO270" s="72"/>
      <c r="AP270" s="119" t="s">
        <v>58</v>
      </c>
      <c r="AQ270" s="136">
        <v>1</v>
      </c>
      <c r="AR270" s="122">
        <v>0</v>
      </c>
      <c r="AS270" s="123">
        <v>1</v>
      </c>
      <c r="AT270" s="124">
        <v>0</v>
      </c>
      <c r="AU270" s="119"/>
      <c r="AV270" s="136"/>
      <c r="AW270" s="119"/>
      <c r="AX270" s="117" t="s">
        <v>108</v>
      </c>
    </row>
    <row r="271" spans="1:50" s="77" customFormat="1" ht="36" x14ac:dyDescent="0.25">
      <c r="A271" s="310"/>
      <c r="B271" s="115" t="s">
        <v>224</v>
      </c>
      <c r="C271" s="115" t="s">
        <v>109</v>
      </c>
      <c r="D271" s="117" t="s">
        <v>106</v>
      </c>
      <c r="E271" s="117" t="s">
        <v>48</v>
      </c>
      <c r="F271" s="142" t="s">
        <v>61</v>
      </c>
      <c r="G271" s="155"/>
      <c r="H271" s="153">
        <f>SUM(H266:H270)</f>
        <v>145</v>
      </c>
      <c r="I271" s="153">
        <f t="shared" ref="I271" si="388">SUM(I266:I270)</f>
        <v>0</v>
      </c>
      <c r="J271" s="153">
        <f t="shared" ref="J271:M271" si="389">SUM(J266:J270)</f>
        <v>10</v>
      </c>
      <c r="K271" s="153">
        <f t="shared" si="389"/>
        <v>0</v>
      </c>
      <c r="L271" s="153">
        <f t="shared" si="389"/>
        <v>0</v>
      </c>
      <c r="M271" s="153">
        <f t="shared" si="389"/>
        <v>0</v>
      </c>
      <c r="N271" s="153">
        <f t="shared" si="385"/>
        <v>10</v>
      </c>
      <c r="O271" s="153">
        <f>SUM(O266:O270)</f>
        <v>145</v>
      </c>
      <c r="P271" s="153"/>
      <c r="Q271" s="156"/>
      <c r="R271" s="129"/>
      <c r="S271" s="157"/>
      <c r="T271" s="158"/>
      <c r="U271" s="153">
        <f t="shared" ref="U271:AJ271" si="390">SUM(U266:U270)</f>
        <v>170</v>
      </c>
      <c r="V271" s="153">
        <f t="shared" si="390"/>
        <v>0</v>
      </c>
      <c r="W271" s="153">
        <f t="shared" si="390"/>
        <v>0</v>
      </c>
      <c r="X271" s="153">
        <f t="shared" si="390"/>
        <v>0</v>
      </c>
      <c r="Y271" s="153">
        <f t="shared" si="390"/>
        <v>0</v>
      </c>
      <c r="Z271" s="153">
        <f t="shared" si="390"/>
        <v>0</v>
      </c>
      <c r="AA271" s="153">
        <f t="shared" si="381"/>
        <v>0</v>
      </c>
      <c r="AB271" s="153">
        <f t="shared" si="390"/>
        <v>170</v>
      </c>
      <c r="AC271" s="153">
        <f t="shared" si="390"/>
        <v>3</v>
      </c>
      <c r="AD271" s="153">
        <f t="shared" si="390"/>
        <v>0</v>
      </c>
      <c r="AE271" s="153">
        <f t="shared" si="390"/>
        <v>0</v>
      </c>
      <c r="AF271" s="153">
        <f t="shared" si="390"/>
        <v>0</v>
      </c>
      <c r="AG271" s="153">
        <f t="shared" ref="AG271" si="391">SUM(AG266:AG270)</f>
        <v>0</v>
      </c>
      <c r="AH271" s="153">
        <f t="shared" si="390"/>
        <v>0</v>
      </c>
      <c r="AI271" s="153">
        <f t="shared" si="383"/>
        <v>0</v>
      </c>
      <c r="AJ271" s="153">
        <f t="shared" si="390"/>
        <v>2.5</v>
      </c>
      <c r="AK271" s="156"/>
      <c r="AL271" s="156"/>
      <c r="AM271" s="156"/>
      <c r="AN271" s="156"/>
      <c r="AO271" s="156"/>
      <c r="AP271" s="155"/>
      <c r="AQ271" s="153">
        <f>SUM(AQ266:AQ270)</f>
        <v>3</v>
      </c>
      <c r="AR271" s="153">
        <f t="shared" ref="AR271:AT271" si="392">SUM(AR266:AR270)</f>
        <v>0</v>
      </c>
      <c r="AS271" s="153">
        <f t="shared" si="392"/>
        <v>2</v>
      </c>
      <c r="AT271" s="153">
        <f t="shared" si="392"/>
        <v>0</v>
      </c>
      <c r="AU271" s="129"/>
      <c r="AV271" s="156"/>
      <c r="AW271" s="156"/>
      <c r="AX271" s="156" t="s">
        <v>108</v>
      </c>
    </row>
    <row r="272" spans="1:50" s="77" customFormat="1" ht="75" x14ac:dyDescent="0.25">
      <c r="A272" s="310"/>
      <c r="B272" s="115" t="s">
        <v>224</v>
      </c>
      <c r="C272" s="115" t="s">
        <v>113</v>
      </c>
      <c r="D272" s="117" t="s">
        <v>106</v>
      </c>
      <c r="E272" s="117" t="s">
        <v>75</v>
      </c>
      <c r="F272" s="251" t="s">
        <v>49</v>
      </c>
      <c r="G272" s="119" t="s">
        <v>178</v>
      </c>
      <c r="H272" s="121">
        <v>50</v>
      </c>
      <c r="I272" s="197">
        <v>0</v>
      </c>
      <c r="J272" s="90">
        <v>5</v>
      </c>
      <c r="K272" s="91">
        <v>5</v>
      </c>
      <c r="L272" s="92">
        <v>0</v>
      </c>
      <c r="M272" s="81">
        <v>5</v>
      </c>
      <c r="N272" s="133">
        <f t="shared" si="385"/>
        <v>15</v>
      </c>
      <c r="O272" s="71">
        <v>50</v>
      </c>
      <c r="P272" s="71"/>
      <c r="Q272" s="119"/>
      <c r="R272" s="119" t="s">
        <v>51</v>
      </c>
      <c r="S272" s="120" t="s">
        <v>295</v>
      </c>
      <c r="T272" s="135" t="s">
        <v>77</v>
      </c>
      <c r="U272" s="121">
        <v>70</v>
      </c>
      <c r="V272" s="197">
        <v>0</v>
      </c>
      <c r="W272" s="90">
        <v>5</v>
      </c>
      <c r="X272" s="91">
        <v>5</v>
      </c>
      <c r="Y272" s="92">
        <v>0</v>
      </c>
      <c r="Z272" s="81">
        <v>5</v>
      </c>
      <c r="AA272" s="133">
        <f t="shared" si="381"/>
        <v>15</v>
      </c>
      <c r="AB272" s="71">
        <v>70</v>
      </c>
      <c r="AC272" s="121">
        <v>5</v>
      </c>
      <c r="AD272" s="197">
        <v>0</v>
      </c>
      <c r="AE272" s="90">
        <v>0</v>
      </c>
      <c r="AF272" s="91">
        <v>0</v>
      </c>
      <c r="AG272" s="92">
        <v>0</v>
      </c>
      <c r="AH272" s="81">
        <v>0</v>
      </c>
      <c r="AI272" s="133">
        <f t="shared" si="383"/>
        <v>0</v>
      </c>
      <c r="AJ272" s="71">
        <v>5</v>
      </c>
      <c r="AK272" s="119"/>
      <c r="AL272" s="119"/>
      <c r="AM272" s="46"/>
      <c r="AN272" s="119"/>
      <c r="AO272" s="46"/>
      <c r="AP272" s="119" t="s">
        <v>58</v>
      </c>
      <c r="AQ272" s="119">
        <v>5</v>
      </c>
      <c r="AR272" s="122">
        <v>0</v>
      </c>
      <c r="AS272" s="123">
        <v>5</v>
      </c>
      <c r="AT272" s="124">
        <v>0</v>
      </c>
      <c r="AU272" s="119"/>
      <c r="AV272" s="119"/>
      <c r="AW272" s="119"/>
      <c r="AX272" s="117" t="s">
        <v>59</v>
      </c>
    </row>
    <row r="273" spans="1:50" s="77" customFormat="1" ht="75" x14ac:dyDescent="0.25">
      <c r="A273" s="310"/>
      <c r="B273" s="115" t="s">
        <v>224</v>
      </c>
      <c r="C273" s="115" t="s">
        <v>113</v>
      </c>
      <c r="D273" s="117" t="s">
        <v>106</v>
      </c>
      <c r="E273" s="117" t="s">
        <v>75</v>
      </c>
      <c r="F273" s="251"/>
      <c r="G273" s="119" t="s">
        <v>227</v>
      </c>
      <c r="H273" s="121">
        <v>50</v>
      </c>
      <c r="I273" s="197">
        <v>0</v>
      </c>
      <c r="J273" s="90">
        <v>0</v>
      </c>
      <c r="K273" s="91">
        <v>10</v>
      </c>
      <c r="L273" s="92">
        <v>0</v>
      </c>
      <c r="M273" s="81">
        <v>0</v>
      </c>
      <c r="N273" s="133">
        <f t="shared" si="385"/>
        <v>10</v>
      </c>
      <c r="O273" s="71">
        <v>50</v>
      </c>
      <c r="P273" s="71"/>
      <c r="Q273" s="119"/>
      <c r="R273" s="119" t="s">
        <v>51</v>
      </c>
      <c r="S273" s="120" t="s">
        <v>295</v>
      </c>
      <c r="T273" s="135" t="s">
        <v>77</v>
      </c>
      <c r="U273" s="121">
        <v>60</v>
      </c>
      <c r="V273" s="197">
        <v>0</v>
      </c>
      <c r="W273" s="90">
        <v>0</v>
      </c>
      <c r="X273" s="91">
        <v>10</v>
      </c>
      <c r="Y273" s="92">
        <v>0</v>
      </c>
      <c r="Z273" s="81">
        <v>0</v>
      </c>
      <c r="AA273" s="133">
        <f t="shared" si="381"/>
        <v>10</v>
      </c>
      <c r="AB273" s="71">
        <v>60</v>
      </c>
      <c r="AC273" s="121">
        <v>5</v>
      </c>
      <c r="AD273" s="197">
        <v>0</v>
      </c>
      <c r="AE273" s="90">
        <v>0</v>
      </c>
      <c r="AF273" s="91">
        <v>0</v>
      </c>
      <c r="AG273" s="92">
        <v>0</v>
      </c>
      <c r="AH273" s="81">
        <v>0</v>
      </c>
      <c r="AI273" s="133">
        <f t="shared" si="383"/>
        <v>0</v>
      </c>
      <c r="AJ273" s="71">
        <v>5</v>
      </c>
      <c r="AK273" s="119"/>
      <c r="AL273" s="119"/>
      <c r="AM273" s="46"/>
      <c r="AN273" s="119"/>
      <c r="AO273" s="46"/>
      <c r="AP273" s="119" t="s">
        <v>58</v>
      </c>
      <c r="AQ273" s="119">
        <v>5</v>
      </c>
      <c r="AR273" s="122">
        <v>0</v>
      </c>
      <c r="AS273" s="123">
        <v>5</v>
      </c>
      <c r="AT273" s="124">
        <v>0</v>
      </c>
      <c r="AU273" s="119"/>
      <c r="AV273" s="119"/>
      <c r="AW273" s="119"/>
      <c r="AX273" s="117" t="s">
        <v>59</v>
      </c>
    </row>
    <row r="274" spans="1:50" s="77" customFormat="1" ht="75" x14ac:dyDescent="0.25">
      <c r="A274" s="310"/>
      <c r="B274" s="115" t="s">
        <v>224</v>
      </c>
      <c r="C274" s="115" t="s">
        <v>113</v>
      </c>
      <c r="D274" s="117" t="s">
        <v>106</v>
      </c>
      <c r="E274" s="117" t="s">
        <v>75</v>
      </c>
      <c r="F274" s="251"/>
      <c r="G274" s="119" t="s">
        <v>228</v>
      </c>
      <c r="H274" s="121">
        <v>10</v>
      </c>
      <c r="I274" s="197">
        <v>0</v>
      </c>
      <c r="J274" s="90">
        <v>0</v>
      </c>
      <c r="K274" s="91">
        <v>0</v>
      </c>
      <c r="L274" s="92">
        <v>0</v>
      </c>
      <c r="M274" s="81">
        <v>0</v>
      </c>
      <c r="N274" s="133">
        <f t="shared" si="385"/>
        <v>0</v>
      </c>
      <c r="O274" s="71">
        <v>10</v>
      </c>
      <c r="P274" s="71"/>
      <c r="Q274" s="119"/>
      <c r="R274" s="119" t="s">
        <v>51</v>
      </c>
      <c r="S274" s="120" t="s">
        <v>295</v>
      </c>
      <c r="T274" s="135" t="s">
        <v>77</v>
      </c>
      <c r="U274" s="121">
        <v>10</v>
      </c>
      <c r="V274" s="197">
        <v>0</v>
      </c>
      <c r="W274" s="90">
        <v>0</v>
      </c>
      <c r="X274" s="91">
        <v>0</v>
      </c>
      <c r="Y274" s="92">
        <v>0</v>
      </c>
      <c r="Z274" s="81">
        <v>0</v>
      </c>
      <c r="AA274" s="133">
        <f t="shared" si="381"/>
        <v>0</v>
      </c>
      <c r="AB274" s="71">
        <v>10</v>
      </c>
      <c r="AC274" s="121">
        <v>0</v>
      </c>
      <c r="AD274" s="197">
        <v>0</v>
      </c>
      <c r="AE274" s="90">
        <v>0</v>
      </c>
      <c r="AF274" s="91">
        <v>0</v>
      </c>
      <c r="AG274" s="92">
        <v>0</v>
      </c>
      <c r="AH274" s="81">
        <v>0</v>
      </c>
      <c r="AI274" s="133">
        <f t="shared" si="383"/>
        <v>0</v>
      </c>
      <c r="AJ274" s="71">
        <v>0</v>
      </c>
      <c r="AK274" s="119"/>
      <c r="AL274" s="119"/>
      <c r="AM274" s="46"/>
      <c r="AN274" s="119"/>
      <c r="AO274" s="46"/>
      <c r="AP274" s="119"/>
      <c r="AQ274" s="119"/>
      <c r="AR274" s="122"/>
      <c r="AS274" s="123"/>
      <c r="AT274" s="124"/>
      <c r="AU274" s="119"/>
      <c r="AV274" s="119"/>
      <c r="AW274" s="119"/>
      <c r="AX274" s="117" t="s">
        <v>59</v>
      </c>
    </row>
    <row r="275" spans="1:50" s="77" customFormat="1" ht="75" x14ac:dyDescent="0.25">
      <c r="A275" s="310"/>
      <c r="B275" s="115" t="s">
        <v>224</v>
      </c>
      <c r="C275" s="115" t="s">
        <v>113</v>
      </c>
      <c r="D275" s="117" t="s">
        <v>106</v>
      </c>
      <c r="E275" s="117" t="s">
        <v>75</v>
      </c>
      <c r="F275" s="251"/>
      <c r="G275" s="119" t="s">
        <v>229</v>
      </c>
      <c r="H275" s="121">
        <v>5</v>
      </c>
      <c r="I275" s="197">
        <v>0</v>
      </c>
      <c r="J275" s="90">
        <v>0</v>
      </c>
      <c r="K275" s="91">
        <v>0</v>
      </c>
      <c r="L275" s="92">
        <v>0</v>
      </c>
      <c r="M275" s="81">
        <v>0</v>
      </c>
      <c r="N275" s="133">
        <f t="shared" si="385"/>
        <v>0</v>
      </c>
      <c r="O275" s="71">
        <v>5</v>
      </c>
      <c r="P275" s="71"/>
      <c r="Q275" s="119"/>
      <c r="R275" s="119" t="s">
        <v>51</v>
      </c>
      <c r="S275" s="120" t="s">
        <v>295</v>
      </c>
      <c r="T275" s="135" t="s">
        <v>77</v>
      </c>
      <c r="U275" s="121">
        <v>10</v>
      </c>
      <c r="V275" s="197">
        <v>0</v>
      </c>
      <c r="W275" s="90">
        <v>0</v>
      </c>
      <c r="X275" s="91">
        <v>0</v>
      </c>
      <c r="Y275" s="92">
        <v>0</v>
      </c>
      <c r="Z275" s="81">
        <v>0</v>
      </c>
      <c r="AA275" s="133">
        <f t="shared" si="381"/>
        <v>0</v>
      </c>
      <c r="AB275" s="71">
        <v>10</v>
      </c>
      <c r="AC275" s="121">
        <v>0</v>
      </c>
      <c r="AD275" s="197">
        <v>0</v>
      </c>
      <c r="AE275" s="90">
        <v>0</v>
      </c>
      <c r="AF275" s="91">
        <v>0</v>
      </c>
      <c r="AG275" s="92">
        <v>0</v>
      </c>
      <c r="AH275" s="81">
        <v>0</v>
      </c>
      <c r="AI275" s="133">
        <f t="shared" si="383"/>
        <v>0</v>
      </c>
      <c r="AJ275" s="71">
        <v>0</v>
      </c>
      <c r="AK275" s="119"/>
      <c r="AL275" s="119"/>
      <c r="AM275" s="46"/>
      <c r="AN275" s="119"/>
      <c r="AO275" s="46"/>
      <c r="AP275" s="119"/>
      <c r="AQ275" s="119"/>
      <c r="AR275" s="122"/>
      <c r="AS275" s="123"/>
      <c r="AT275" s="124"/>
      <c r="AU275" s="119"/>
      <c r="AV275" s="119"/>
      <c r="AW275" s="119"/>
      <c r="AX275" s="117" t="s">
        <v>59</v>
      </c>
    </row>
    <row r="276" spans="1:50" s="77" customFormat="1" ht="36" customHeight="1" x14ac:dyDescent="0.25">
      <c r="A276" s="310"/>
      <c r="B276" s="115" t="s">
        <v>224</v>
      </c>
      <c r="C276" s="115" t="s">
        <v>113</v>
      </c>
      <c r="D276" s="117" t="s">
        <v>106</v>
      </c>
      <c r="E276" s="117" t="s">
        <v>75</v>
      </c>
      <c r="F276" s="142" t="s">
        <v>61</v>
      </c>
      <c r="G276" s="155"/>
      <c r="H276" s="153">
        <f>SUM(H272:H275)</f>
        <v>115</v>
      </c>
      <c r="I276" s="153">
        <f t="shared" ref="I276" si="393">SUM(I272:I275)</f>
        <v>0</v>
      </c>
      <c r="J276" s="153">
        <f t="shared" ref="J276:O276" si="394">SUM(J272:J275)</f>
        <v>5</v>
      </c>
      <c r="K276" s="153">
        <f t="shared" si="394"/>
        <v>15</v>
      </c>
      <c r="L276" s="153">
        <f t="shared" si="394"/>
        <v>0</v>
      </c>
      <c r="M276" s="153">
        <f t="shared" si="394"/>
        <v>5</v>
      </c>
      <c r="N276" s="153">
        <f t="shared" si="385"/>
        <v>25</v>
      </c>
      <c r="O276" s="153">
        <f t="shared" si="394"/>
        <v>115</v>
      </c>
      <c r="P276" s="153"/>
      <c r="Q276" s="156"/>
      <c r="R276" s="129"/>
      <c r="S276" s="157"/>
      <c r="T276" s="158"/>
      <c r="U276" s="153">
        <f>SUM(U272:U275)</f>
        <v>150</v>
      </c>
      <c r="V276" s="153">
        <f t="shared" ref="V276" si="395">SUM(V272:V275)</f>
        <v>0</v>
      </c>
      <c r="W276" s="153">
        <f t="shared" ref="W276:AJ276" si="396">SUM(W272:W275)</f>
        <v>5</v>
      </c>
      <c r="X276" s="153">
        <f t="shared" si="396"/>
        <v>15</v>
      </c>
      <c r="Y276" s="153">
        <f t="shared" si="396"/>
        <v>0</v>
      </c>
      <c r="Z276" s="153">
        <f t="shared" si="396"/>
        <v>5</v>
      </c>
      <c r="AA276" s="153">
        <f t="shared" si="381"/>
        <v>25</v>
      </c>
      <c r="AB276" s="153">
        <f t="shared" si="396"/>
        <v>150</v>
      </c>
      <c r="AC276" s="153">
        <f t="shared" si="396"/>
        <v>10</v>
      </c>
      <c r="AD276" s="153">
        <f t="shared" si="396"/>
        <v>0</v>
      </c>
      <c r="AE276" s="153">
        <f t="shared" si="396"/>
        <v>0</v>
      </c>
      <c r="AF276" s="153">
        <f t="shared" si="396"/>
        <v>0</v>
      </c>
      <c r="AG276" s="153">
        <f t="shared" ref="AG276" si="397">SUM(AG272:AG275)</f>
        <v>0</v>
      </c>
      <c r="AH276" s="153">
        <f t="shared" si="396"/>
        <v>0</v>
      </c>
      <c r="AI276" s="153">
        <f t="shared" si="383"/>
        <v>0</v>
      </c>
      <c r="AJ276" s="153">
        <f t="shared" si="396"/>
        <v>10</v>
      </c>
      <c r="AK276" s="156"/>
      <c r="AL276" s="156"/>
      <c r="AM276" s="156"/>
      <c r="AN276" s="156"/>
      <c r="AO276" s="156"/>
      <c r="AP276" s="155"/>
      <c r="AQ276" s="153">
        <f>SUM(AQ272:AQ275)</f>
        <v>10</v>
      </c>
      <c r="AR276" s="153">
        <f t="shared" ref="AR276:AT276" si="398">SUM(AR272:AR275)</f>
        <v>0</v>
      </c>
      <c r="AS276" s="153">
        <f t="shared" si="398"/>
        <v>10</v>
      </c>
      <c r="AT276" s="153">
        <f t="shared" si="398"/>
        <v>0</v>
      </c>
      <c r="AU276" s="129"/>
      <c r="AV276" s="156"/>
      <c r="AW276" s="156"/>
      <c r="AX276" s="156"/>
    </row>
    <row r="277" spans="1:50" s="77" customFormat="1" ht="72" x14ac:dyDescent="0.25">
      <c r="A277" s="310"/>
      <c r="B277" s="115" t="s">
        <v>224</v>
      </c>
      <c r="C277" s="115" t="s">
        <v>111</v>
      </c>
      <c r="D277" s="117" t="s">
        <v>106</v>
      </c>
      <c r="E277" s="117" t="s">
        <v>70</v>
      </c>
      <c r="F277" s="251" t="s">
        <v>49</v>
      </c>
      <c r="G277" s="119" t="s">
        <v>178</v>
      </c>
      <c r="H277" s="121">
        <v>100</v>
      </c>
      <c r="I277" s="197">
        <v>0</v>
      </c>
      <c r="J277" s="90">
        <v>5</v>
      </c>
      <c r="K277" s="91">
        <v>5</v>
      </c>
      <c r="L277" s="92">
        <v>10</v>
      </c>
      <c r="M277" s="81">
        <v>5</v>
      </c>
      <c r="N277" s="133">
        <f t="shared" si="385"/>
        <v>25</v>
      </c>
      <c r="O277" s="71">
        <v>75</v>
      </c>
      <c r="P277" s="71"/>
      <c r="Q277" s="119"/>
      <c r="R277" s="119" t="s">
        <v>51</v>
      </c>
      <c r="S277" s="120" t="s">
        <v>296</v>
      </c>
      <c r="T277" s="135" t="s">
        <v>77</v>
      </c>
      <c r="U277" s="121">
        <v>200</v>
      </c>
      <c r="V277" s="197">
        <v>0</v>
      </c>
      <c r="W277" s="90">
        <v>5</v>
      </c>
      <c r="X277" s="91">
        <v>5</v>
      </c>
      <c r="Y277" s="92">
        <v>10</v>
      </c>
      <c r="Z277" s="81">
        <v>5</v>
      </c>
      <c r="AA277" s="133">
        <f t="shared" si="381"/>
        <v>25</v>
      </c>
      <c r="AB277" s="71">
        <v>175</v>
      </c>
      <c r="AC277" s="121">
        <v>25</v>
      </c>
      <c r="AD277" s="197">
        <v>0</v>
      </c>
      <c r="AE277" s="90">
        <v>0</v>
      </c>
      <c r="AF277" s="91">
        <v>0</v>
      </c>
      <c r="AG277" s="92">
        <v>0</v>
      </c>
      <c r="AH277" s="81">
        <v>0</v>
      </c>
      <c r="AI277" s="133">
        <f t="shared" si="383"/>
        <v>0</v>
      </c>
      <c r="AJ277" s="71">
        <v>25</v>
      </c>
      <c r="AK277" s="119"/>
      <c r="AL277" s="119"/>
      <c r="AM277" s="46"/>
      <c r="AN277" s="119"/>
      <c r="AO277" s="46"/>
      <c r="AP277" s="119" t="s">
        <v>58</v>
      </c>
      <c r="AQ277" s="119">
        <v>25</v>
      </c>
      <c r="AR277" s="122">
        <v>0</v>
      </c>
      <c r="AS277" s="123">
        <v>25</v>
      </c>
      <c r="AT277" s="124">
        <v>0</v>
      </c>
      <c r="AU277" s="119"/>
      <c r="AV277" s="119"/>
      <c r="AW277" s="119"/>
      <c r="AX277" s="117" t="s">
        <v>59</v>
      </c>
    </row>
    <row r="278" spans="1:50" s="77" customFormat="1" ht="72" x14ac:dyDescent="0.25">
      <c r="A278" s="310"/>
      <c r="B278" s="115" t="s">
        <v>224</v>
      </c>
      <c r="C278" s="115" t="s">
        <v>111</v>
      </c>
      <c r="D278" s="117" t="s">
        <v>106</v>
      </c>
      <c r="E278" s="117" t="s">
        <v>70</v>
      </c>
      <c r="F278" s="251"/>
      <c r="G278" s="119" t="s">
        <v>227</v>
      </c>
      <c r="H278" s="121">
        <v>75</v>
      </c>
      <c r="I278" s="197">
        <v>0</v>
      </c>
      <c r="J278" s="90">
        <v>0</v>
      </c>
      <c r="K278" s="91">
        <v>10</v>
      </c>
      <c r="L278" s="92">
        <v>0</v>
      </c>
      <c r="M278" s="81">
        <v>0</v>
      </c>
      <c r="N278" s="133">
        <f t="shared" si="385"/>
        <v>10</v>
      </c>
      <c r="O278" s="71">
        <f>H278/4*3</f>
        <v>56.25</v>
      </c>
      <c r="P278" s="71"/>
      <c r="Q278" s="119"/>
      <c r="R278" s="119" t="s">
        <v>51</v>
      </c>
      <c r="S278" s="120" t="s">
        <v>296</v>
      </c>
      <c r="T278" s="135" t="s">
        <v>77</v>
      </c>
      <c r="U278" s="121">
        <v>100</v>
      </c>
      <c r="V278" s="197">
        <v>0</v>
      </c>
      <c r="W278" s="90">
        <v>0</v>
      </c>
      <c r="X278" s="91">
        <v>10</v>
      </c>
      <c r="Y278" s="92">
        <v>0</v>
      </c>
      <c r="Z278" s="81">
        <v>0</v>
      </c>
      <c r="AA278" s="133">
        <f t="shared" si="381"/>
        <v>10</v>
      </c>
      <c r="AB278" s="71">
        <f>U278/4*3</f>
        <v>75</v>
      </c>
      <c r="AC278" s="121">
        <v>25</v>
      </c>
      <c r="AD278" s="197">
        <v>0</v>
      </c>
      <c r="AE278" s="90">
        <v>0</v>
      </c>
      <c r="AF278" s="91">
        <v>0</v>
      </c>
      <c r="AG278" s="92">
        <v>0</v>
      </c>
      <c r="AH278" s="81">
        <v>0</v>
      </c>
      <c r="AI278" s="133">
        <f t="shared" si="383"/>
        <v>0</v>
      </c>
      <c r="AJ278" s="71">
        <v>25</v>
      </c>
      <c r="AK278" s="119"/>
      <c r="AL278" s="119"/>
      <c r="AM278" s="46"/>
      <c r="AN278" s="119"/>
      <c r="AO278" s="46"/>
      <c r="AP278" s="119" t="s">
        <v>58</v>
      </c>
      <c r="AQ278" s="119">
        <v>25</v>
      </c>
      <c r="AR278" s="122">
        <v>0</v>
      </c>
      <c r="AS278" s="123">
        <v>25</v>
      </c>
      <c r="AT278" s="124">
        <v>0</v>
      </c>
      <c r="AU278" s="119"/>
      <c r="AV278" s="119"/>
      <c r="AW278" s="119"/>
      <c r="AX278" s="117" t="s">
        <v>59</v>
      </c>
    </row>
    <row r="279" spans="1:50" s="77" customFormat="1" ht="72" x14ac:dyDescent="0.25">
      <c r="A279" s="310"/>
      <c r="B279" s="115" t="s">
        <v>224</v>
      </c>
      <c r="C279" s="115" t="s">
        <v>111</v>
      </c>
      <c r="D279" s="117" t="s">
        <v>106</v>
      </c>
      <c r="E279" s="117" t="s">
        <v>70</v>
      </c>
      <c r="F279" s="251"/>
      <c r="G279" s="119" t="s">
        <v>228</v>
      </c>
      <c r="H279" s="121">
        <v>75</v>
      </c>
      <c r="I279" s="197">
        <v>0</v>
      </c>
      <c r="J279" s="90">
        <v>0</v>
      </c>
      <c r="K279" s="91">
        <v>0</v>
      </c>
      <c r="L279" s="92">
        <v>10</v>
      </c>
      <c r="M279" s="81">
        <v>0</v>
      </c>
      <c r="N279" s="133">
        <f t="shared" si="385"/>
        <v>10</v>
      </c>
      <c r="O279" s="71">
        <v>75</v>
      </c>
      <c r="P279" s="71"/>
      <c r="Q279" s="119"/>
      <c r="R279" s="119" t="s">
        <v>51</v>
      </c>
      <c r="S279" s="120" t="s">
        <v>297</v>
      </c>
      <c r="T279" s="135" t="s">
        <v>77</v>
      </c>
      <c r="U279" s="121">
        <v>75</v>
      </c>
      <c r="V279" s="197">
        <v>0</v>
      </c>
      <c r="W279" s="90">
        <v>0</v>
      </c>
      <c r="X279" s="91">
        <v>0</v>
      </c>
      <c r="Y279" s="92">
        <v>10</v>
      </c>
      <c r="Z279" s="81">
        <v>0</v>
      </c>
      <c r="AA279" s="133">
        <f t="shared" si="381"/>
        <v>10</v>
      </c>
      <c r="AB279" s="71">
        <v>75</v>
      </c>
      <c r="AC279" s="121">
        <v>0</v>
      </c>
      <c r="AD279" s="197">
        <v>0</v>
      </c>
      <c r="AE279" s="90">
        <v>0</v>
      </c>
      <c r="AF279" s="91">
        <v>0</v>
      </c>
      <c r="AG279" s="92">
        <v>0</v>
      </c>
      <c r="AH279" s="81">
        <v>0</v>
      </c>
      <c r="AI279" s="133">
        <f t="shared" si="383"/>
        <v>0</v>
      </c>
      <c r="AJ279" s="71">
        <f>AC279/4*3</f>
        <v>0</v>
      </c>
      <c r="AK279" s="119"/>
      <c r="AL279" s="119"/>
      <c r="AM279" s="46"/>
      <c r="AN279" s="119"/>
      <c r="AO279" s="46"/>
      <c r="AP279" s="119"/>
      <c r="AQ279" s="119"/>
      <c r="AR279" s="122">
        <v>0</v>
      </c>
      <c r="AS279" s="123">
        <v>0</v>
      </c>
      <c r="AT279" s="124">
        <v>0</v>
      </c>
      <c r="AU279" s="119"/>
      <c r="AV279" s="119"/>
      <c r="AW279" s="119"/>
      <c r="AX279" s="117" t="s">
        <v>59</v>
      </c>
    </row>
    <row r="280" spans="1:50" s="77" customFormat="1" ht="36" x14ac:dyDescent="0.25">
      <c r="A280" s="310"/>
      <c r="B280" s="115" t="s">
        <v>224</v>
      </c>
      <c r="C280" s="115" t="s">
        <v>111</v>
      </c>
      <c r="D280" s="117" t="s">
        <v>106</v>
      </c>
      <c r="E280" s="117" t="s">
        <v>70</v>
      </c>
      <c r="F280" s="142" t="s">
        <v>61</v>
      </c>
      <c r="G280" s="155"/>
      <c r="H280" s="153">
        <f>SUM(H277:H279)</f>
        <v>250</v>
      </c>
      <c r="I280" s="153">
        <f t="shared" ref="I280" si="399">SUM(I277:I279)</f>
        <v>0</v>
      </c>
      <c r="J280" s="153">
        <f t="shared" ref="J280:O280" si="400">SUM(J277:J279)</f>
        <v>5</v>
      </c>
      <c r="K280" s="153">
        <f t="shared" si="400"/>
        <v>15</v>
      </c>
      <c r="L280" s="153">
        <f t="shared" si="400"/>
        <v>20</v>
      </c>
      <c r="M280" s="153">
        <f t="shared" si="400"/>
        <v>5</v>
      </c>
      <c r="N280" s="153">
        <f t="shared" si="385"/>
        <v>45</v>
      </c>
      <c r="O280" s="153">
        <f t="shared" si="400"/>
        <v>206.25</v>
      </c>
      <c r="P280" s="153"/>
      <c r="Q280" s="156"/>
      <c r="R280" s="129"/>
      <c r="S280" s="157"/>
      <c r="T280" s="158"/>
      <c r="U280" s="153">
        <f t="shared" ref="U280:AJ280" si="401">SUM(U277:U279)</f>
        <v>375</v>
      </c>
      <c r="V280" s="153">
        <f t="shared" si="401"/>
        <v>0</v>
      </c>
      <c r="W280" s="153">
        <f t="shared" si="401"/>
        <v>5</v>
      </c>
      <c r="X280" s="153">
        <f t="shared" si="401"/>
        <v>15</v>
      </c>
      <c r="Y280" s="153">
        <f t="shared" si="401"/>
        <v>20</v>
      </c>
      <c r="Z280" s="153">
        <f t="shared" si="401"/>
        <v>5</v>
      </c>
      <c r="AA280" s="153">
        <f t="shared" si="381"/>
        <v>45</v>
      </c>
      <c r="AB280" s="153">
        <f t="shared" si="401"/>
        <v>325</v>
      </c>
      <c r="AC280" s="153">
        <f t="shared" si="401"/>
        <v>50</v>
      </c>
      <c r="AD280" s="153">
        <f t="shared" si="401"/>
        <v>0</v>
      </c>
      <c r="AE280" s="153">
        <f t="shared" si="401"/>
        <v>0</v>
      </c>
      <c r="AF280" s="153">
        <f t="shared" si="401"/>
        <v>0</v>
      </c>
      <c r="AG280" s="153">
        <f t="shared" ref="AG280" si="402">SUM(AG277:AG279)</f>
        <v>0</v>
      </c>
      <c r="AH280" s="153">
        <f t="shared" si="401"/>
        <v>0</v>
      </c>
      <c r="AI280" s="153">
        <f t="shared" si="383"/>
        <v>0</v>
      </c>
      <c r="AJ280" s="153">
        <f t="shared" si="401"/>
        <v>50</v>
      </c>
      <c r="AK280" s="156"/>
      <c r="AL280" s="156"/>
      <c r="AM280" s="156"/>
      <c r="AN280" s="156"/>
      <c r="AO280" s="156"/>
      <c r="AP280" s="155"/>
      <c r="AQ280" s="153">
        <f>SUM(AQ277:AQ279)</f>
        <v>50</v>
      </c>
      <c r="AR280" s="153">
        <f>SUM(AR277:AR279)</f>
        <v>0</v>
      </c>
      <c r="AS280" s="153">
        <f>SUM(AS277:AS279)</f>
        <v>50</v>
      </c>
      <c r="AT280" s="153">
        <f>SUM(AT277:AT279)</f>
        <v>0</v>
      </c>
      <c r="AU280" s="129"/>
      <c r="AV280" s="156"/>
      <c r="AW280" s="155"/>
      <c r="AX280" s="155" t="s">
        <v>59</v>
      </c>
    </row>
    <row r="281" spans="1:50" s="77" customFormat="1" ht="281.25" x14ac:dyDescent="0.25">
      <c r="A281" s="310"/>
      <c r="B281" s="115" t="s">
        <v>224</v>
      </c>
      <c r="C281" s="115" t="s">
        <v>116</v>
      </c>
      <c r="D281" s="117" t="s">
        <v>106</v>
      </c>
      <c r="E281" s="117" t="s">
        <v>75</v>
      </c>
      <c r="F281" s="249" t="s">
        <v>49</v>
      </c>
      <c r="G281" s="119" t="s">
        <v>178</v>
      </c>
      <c r="H281" s="151">
        <v>50</v>
      </c>
      <c r="I281" s="197">
        <v>0</v>
      </c>
      <c r="J281" s="90">
        <v>5</v>
      </c>
      <c r="K281" s="91">
        <v>5</v>
      </c>
      <c r="L281" s="92">
        <v>0</v>
      </c>
      <c r="M281" s="81">
        <v>5</v>
      </c>
      <c r="N281" s="133">
        <f t="shared" si="385"/>
        <v>15</v>
      </c>
      <c r="O281" s="71">
        <v>50</v>
      </c>
      <c r="P281" s="71"/>
      <c r="Q281" s="136"/>
      <c r="R281" s="119" t="s">
        <v>51</v>
      </c>
      <c r="S281" s="120" t="s">
        <v>298</v>
      </c>
      <c r="T281" s="135" t="s">
        <v>77</v>
      </c>
      <c r="U281" s="151">
        <v>50</v>
      </c>
      <c r="V281" s="197">
        <v>0</v>
      </c>
      <c r="W281" s="90">
        <v>5</v>
      </c>
      <c r="X281" s="91">
        <v>5</v>
      </c>
      <c r="Y281" s="92">
        <v>0</v>
      </c>
      <c r="Z281" s="81">
        <v>5</v>
      </c>
      <c r="AA281" s="133">
        <f t="shared" si="381"/>
        <v>15</v>
      </c>
      <c r="AB281" s="71">
        <v>50</v>
      </c>
      <c r="AC281" s="151">
        <v>5</v>
      </c>
      <c r="AD281" s="197">
        <v>0</v>
      </c>
      <c r="AE281" s="90">
        <v>0</v>
      </c>
      <c r="AF281" s="91">
        <v>0</v>
      </c>
      <c r="AG281" s="92">
        <v>0</v>
      </c>
      <c r="AH281" s="81">
        <v>0</v>
      </c>
      <c r="AI281" s="133">
        <f t="shared" si="383"/>
        <v>0</v>
      </c>
      <c r="AJ281" s="71">
        <v>5</v>
      </c>
      <c r="AK281" s="136"/>
      <c r="AL281" s="136"/>
      <c r="AM281" s="72"/>
      <c r="AN281" s="136"/>
      <c r="AO281" s="72"/>
      <c r="AP281" s="119" t="s">
        <v>58</v>
      </c>
      <c r="AQ281" s="136">
        <v>5</v>
      </c>
      <c r="AR281" s="122">
        <v>0</v>
      </c>
      <c r="AS281" s="123">
        <v>5</v>
      </c>
      <c r="AT281" s="124">
        <v>0</v>
      </c>
      <c r="AU281" s="119"/>
      <c r="AV281" s="136"/>
      <c r="AW281" s="119"/>
      <c r="AX281" s="117" t="s">
        <v>59</v>
      </c>
    </row>
    <row r="282" spans="1:50" s="77" customFormat="1" ht="281.25" x14ac:dyDescent="0.25">
      <c r="A282" s="310"/>
      <c r="B282" s="115" t="s">
        <v>224</v>
      </c>
      <c r="C282" s="115" t="s">
        <v>116</v>
      </c>
      <c r="D282" s="117" t="s">
        <v>106</v>
      </c>
      <c r="E282" s="117" t="s">
        <v>75</v>
      </c>
      <c r="F282" s="250"/>
      <c r="G282" s="119" t="s">
        <v>227</v>
      </c>
      <c r="H282" s="151">
        <v>10</v>
      </c>
      <c r="I282" s="197">
        <v>0</v>
      </c>
      <c r="J282" s="90">
        <v>0</v>
      </c>
      <c r="K282" s="91">
        <v>10</v>
      </c>
      <c r="L282" s="92">
        <v>0</v>
      </c>
      <c r="M282" s="81">
        <v>0</v>
      </c>
      <c r="N282" s="133">
        <f t="shared" si="385"/>
        <v>10</v>
      </c>
      <c r="O282" s="71">
        <v>10</v>
      </c>
      <c r="P282" s="71"/>
      <c r="Q282" s="136"/>
      <c r="R282" s="119" t="s">
        <v>51</v>
      </c>
      <c r="S282" s="120" t="s">
        <v>298</v>
      </c>
      <c r="T282" s="135" t="s">
        <v>77</v>
      </c>
      <c r="U282" s="151">
        <v>50</v>
      </c>
      <c r="V282" s="197">
        <v>0</v>
      </c>
      <c r="W282" s="90">
        <v>0</v>
      </c>
      <c r="X282" s="91">
        <v>10</v>
      </c>
      <c r="Y282" s="92">
        <v>0</v>
      </c>
      <c r="Z282" s="81">
        <v>0</v>
      </c>
      <c r="AA282" s="133">
        <f t="shared" si="381"/>
        <v>10</v>
      </c>
      <c r="AB282" s="71">
        <v>50</v>
      </c>
      <c r="AC282" s="151">
        <v>5</v>
      </c>
      <c r="AD282" s="197">
        <v>0</v>
      </c>
      <c r="AE282" s="90">
        <v>0</v>
      </c>
      <c r="AF282" s="91">
        <v>0</v>
      </c>
      <c r="AG282" s="92">
        <v>0</v>
      </c>
      <c r="AH282" s="81">
        <v>0</v>
      </c>
      <c r="AI282" s="133">
        <f t="shared" si="383"/>
        <v>0</v>
      </c>
      <c r="AJ282" s="71">
        <v>5</v>
      </c>
      <c r="AK282" s="136"/>
      <c r="AL282" s="136"/>
      <c r="AM282" s="72"/>
      <c r="AN282" s="136"/>
      <c r="AO282" s="72"/>
      <c r="AP282" s="119" t="s">
        <v>58</v>
      </c>
      <c r="AQ282" s="136">
        <v>5</v>
      </c>
      <c r="AR282" s="122">
        <v>0</v>
      </c>
      <c r="AS282" s="123">
        <v>5</v>
      </c>
      <c r="AT282" s="124">
        <v>0</v>
      </c>
      <c r="AU282" s="119"/>
      <c r="AV282" s="136"/>
      <c r="AW282" s="119"/>
      <c r="AX282" s="117" t="s">
        <v>59</v>
      </c>
    </row>
    <row r="283" spans="1:50" s="77" customFormat="1" ht="281.25" x14ac:dyDescent="0.25">
      <c r="A283" s="310"/>
      <c r="B283" s="115" t="s">
        <v>224</v>
      </c>
      <c r="C283" s="115" t="s">
        <v>116</v>
      </c>
      <c r="D283" s="117" t="s">
        <v>106</v>
      </c>
      <c r="E283" s="117" t="s">
        <v>75</v>
      </c>
      <c r="F283" s="250"/>
      <c r="G283" s="119" t="s">
        <v>228</v>
      </c>
      <c r="H283" s="151">
        <v>5</v>
      </c>
      <c r="I283" s="197">
        <v>0</v>
      </c>
      <c r="J283" s="90">
        <v>0</v>
      </c>
      <c r="K283" s="91">
        <v>0</v>
      </c>
      <c r="L283" s="92">
        <v>0</v>
      </c>
      <c r="M283" s="81">
        <v>0</v>
      </c>
      <c r="N283" s="133">
        <f t="shared" si="385"/>
        <v>0</v>
      </c>
      <c r="O283" s="71">
        <v>5</v>
      </c>
      <c r="P283" s="71"/>
      <c r="Q283" s="136"/>
      <c r="R283" s="119" t="s">
        <v>51</v>
      </c>
      <c r="S283" s="120" t="s">
        <v>298</v>
      </c>
      <c r="T283" s="135" t="s">
        <v>77</v>
      </c>
      <c r="U283" s="151">
        <v>15</v>
      </c>
      <c r="V283" s="197">
        <v>0</v>
      </c>
      <c r="W283" s="90">
        <v>0</v>
      </c>
      <c r="X283" s="91">
        <v>0</v>
      </c>
      <c r="Y283" s="92">
        <v>0</v>
      </c>
      <c r="Z283" s="81">
        <v>0</v>
      </c>
      <c r="AA283" s="133">
        <f t="shared" si="381"/>
        <v>0</v>
      </c>
      <c r="AB283" s="71">
        <v>15</v>
      </c>
      <c r="AC283" s="151">
        <v>0</v>
      </c>
      <c r="AD283" s="197">
        <v>0</v>
      </c>
      <c r="AE283" s="90">
        <v>0</v>
      </c>
      <c r="AF283" s="91">
        <v>0</v>
      </c>
      <c r="AG283" s="92">
        <v>0</v>
      </c>
      <c r="AH283" s="81">
        <v>0</v>
      </c>
      <c r="AI283" s="133">
        <f t="shared" si="383"/>
        <v>0</v>
      </c>
      <c r="AJ283" s="71">
        <v>0</v>
      </c>
      <c r="AK283" s="136"/>
      <c r="AL283" s="136"/>
      <c r="AM283" s="72"/>
      <c r="AN283" s="136"/>
      <c r="AO283" s="72"/>
      <c r="AP283" s="119"/>
      <c r="AQ283" s="136"/>
      <c r="AR283" s="122"/>
      <c r="AS283" s="123"/>
      <c r="AT283" s="124"/>
      <c r="AU283" s="119"/>
      <c r="AV283" s="136"/>
      <c r="AW283" s="119"/>
      <c r="AX283" s="117" t="s">
        <v>59</v>
      </c>
    </row>
    <row r="284" spans="1:50" s="77" customFormat="1" ht="281.25" x14ac:dyDescent="0.25">
      <c r="A284" s="310"/>
      <c r="B284" s="115" t="s">
        <v>224</v>
      </c>
      <c r="C284" s="115" t="s">
        <v>116</v>
      </c>
      <c r="D284" s="117" t="s">
        <v>106</v>
      </c>
      <c r="E284" s="117" t="s">
        <v>75</v>
      </c>
      <c r="F284" s="271"/>
      <c r="G284" s="119" t="s">
        <v>229</v>
      </c>
      <c r="H284" s="151">
        <v>30</v>
      </c>
      <c r="I284" s="197">
        <v>0</v>
      </c>
      <c r="J284" s="90">
        <v>0</v>
      </c>
      <c r="K284" s="91">
        <v>0</v>
      </c>
      <c r="L284" s="92">
        <v>0</v>
      </c>
      <c r="M284" s="81">
        <v>0</v>
      </c>
      <c r="N284" s="133">
        <f t="shared" si="385"/>
        <v>0</v>
      </c>
      <c r="O284" s="71">
        <v>30</v>
      </c>
      <c r="P284" s="71"/>
      <c r="Q284" s="136"/>
      <c r="R284" s="119" t="s">
        <v>51</v>
      </c>
      <c r="S284" s="120" t="s">
        <v>298</v>
      </c>
      <c r="T284" s="135" t="s">
        <v>77</v>
      </c>
      <c r="U284" s="151">
        <v>5</v>
      </c>
      <c r="V284" s="197">
        <v>0</v>
      </c>
      <c r="W284" s="90">
        <v>0</v>
      </c>
      <c r="X284" s="91">
        <v>0</v>
      </c>
      <c r="Y284" s="92">
        <v>0</v>
      </c>
      <c r="Z284" s="81">
        <v>0</v>
      </c>
      <c r="AA284" s="133">
        <f t="shared" si="381"/>
        <v>0</v>
      </c>
      <c r="AB284" s="71">
        <v>5</v>
      </c>
      <c r="AC284" s="151">
        <v>0</v>
      </c>
      <c r="AD284" s="197">
        <v>0</v>
      </c>
      <c r="AE284" s="90">
        <v>0</v>
      </c>
      <c r="AF284" s="91">
        <v>0</v>
      </c>
      <c r="AG284" s="92">
        <v>0</v>
      </c>
      <c r="AH284" s="81">
        <v>0</v>
      </c>
      <c r="AI284" s="133">
        <f t="shared" si="383"/>
        <v>0</v>
      </c>
      <c r="AJ284" s="71">
        <v>0</v>
      </c>
      <c r="AK284" s="136"/>
      <c r="AL284" s="136"/>
      <c r="AM284" s="72"/>
      <c r="AN284" s="136"/>
      <c r="AO284" s="72"/>
      <c r="AP284" s="119"/>
      <c r="AQ284" s="136"/>
      <c r="AR284" s="122"/>
      <c r="AS284" s="123"/>
      <c r="AT284" s="124"/>
      <c r="AU284" s="119"/>
      <c r="AV284" s="136"/>
      <c r="AW284" s="119"/>
      <c r="AX284" s="117" t="s">
        <v>59</v>
      </c>
    </row>
    <row r="285" spans="1:50" s="77" customFormat="1" ht="36" x14ac:dyDescent="0.25">
      <c r="A285" s="310"/>
      <c r="B285" s="115" t="s">
        <v>224</v>
      </c>
      <c r="C285" s="115" t="s">
        <v>116</v>
      </c>
      <c r="D285" s="117" t="s">
        <v>106</v>
      </c>
      <c r="E285" s="117" t="s">
        <v>75</v>
      </c>
      <c r="F285" s="142" t="s">
        <v>61</v>
      </c>
      <c r="G285" s="155"/>
      <c r="H285" s="153">
        <f>SUM(H281:H284)</f>
        <v>95</v>
      </c>
      <c r="I285" s="153">
        <f t="shared" ref="I285" si="403">SUM(I281:I284)</f>
        <v>0</v>
      </c>
      <c r="J285" s="153">
        <f t="shared" ref="J285:O285" si="404">SUM(J281:J284)</f>
        <v>5</v>
      </c>
      <c r="K285" s="153">
        <f t="shared" si="404"/>
        <v>15</v>
      </c>
      <c r="L285" s="153">
        <v>0</v>
      </c>
      <c r="M285" s="153">
        <f t="shared" si="404"/>
        <v>5</v>
      </c>
      <c r="N285" s="153">
        <f t="shared" si="385"/>
        <v>25</v>
      </c>
      <c r="O285" s="153">
        <f t="shared" si="404"/>
        <v>95</v>
      </c>
      <c r="P285" s="153"/>
      <c r="Q285" s="156"/>
      <c r="R285" s="129"/>
      <c r="S285" s="157"/>
      <c r="T285" s="158"/>
      <c r="U285" s="153">
        <f>SUBTOTAL(9,U281:U284)</f>
        <v>120</v>
      </c>
      <c r="V285" s="153">
        <f t="shared" ref="V285" si="405">SUBTOTAL(9,V281:V284)</f>
        <v>0</v>
      </c>
      <c r="W285" s="153">
        <f t="shared" ref="W285:AJ285" si="406">SUBTOTAL(9,W281:W284)</f>
        <v>5</v>
      </c>
      <c r="X285" s="153">
        <f t="shared" si="406"/>
        <v>15</v>
      </c>
      <c r="Y285" s="153">
        <v>0</v>
      </c>
      <c r="Z285" s="153">
        <f t="shared" si="406"/>
        <v>5</v>
      </c>
      <c r="AA285" s="153">
        <f t="shared" si="381"/>
        <v>25</v>
      </c>
      <c r="AB285" s="153">
        <f t="shared" si="406"/>
        <v>120</v>
      </c>
      <c r="AC285" s="153">
        <f t="shared" si="406"/>
        <v>10</v>
      </c>
      <c r="AD285" s="153">
        <f t="shared" si="406"/>
        <v>0</v>
      </c>
      <c r="AE285" s="153">
        <f t="shared" si="406"/>
        <v>0</v>
      </c>
      <c r="AF285" s="153">
        <f t="shared" si="406"/>
        <v>0</v>
      </c>
      <c r="AG285" s="153">
        <f>SUBTOTAL(9,AG281:AG284)</f>
        <v>0</v>
      </c>
      <c r="AH285" s="153">
        <f t="shared" si="406"/>
        <v>0</v>
      </c>
      <c r="AI285" s="153">
        <f t="shared" si="383"/>
        <v>0</v>
      </c>
      <c r="AJ285" s="153">
        <f t="shared" si="406"/>
        <v>10</v>
      </c>
      <c r="AK285" s="156"/>
      <c r="AL285" s="156"/>
      <c r="AM285" s="156"/>
      <c r="AN285" s="156"/>
      <c r="AO285" s="156"/>
      <c r="AP285" s="155"/>
      <c r="AQ285" s="153">
        <f>SUBTOTAL(9,AQ281:AQ284)</f>
        <v>10</v>
      </c>
      <c r="AR285" s="153">
        <f t="shared" ref="AR285:AT285" si="407">SUBTOTAL(9,AR281:AR284)</f>
        <v>0</v>
      </c>
      <c r="AS285" s="153">
        <f t="shared" si="407"/>
        <v>10</v>
      </c>
      <c r="AT285" s="153">
        <f t="shared" si="407"/>
        <v>0</v>
      </c>
      <c r="AU285" s="129"/>
      <c r="AV285" s="156"/>
      <c r="AW285" s="155"/>
      <c r="AX285" s="155" t="s">
        <v>59</v>
      </c>
    </row>
    <row r="286" spans="1:50" s="77" customFormat="1" ht="72" x14ac:dyDescent="0.25">
      <c r="A286" s="310"/>
      <c r="B286" s="115" t="s">
        <v>224</v>
      </c>
      <c r="C286" s="115" t="s">
        <v>117</v>
      </c>
      <c r="D286" s="117" t="s">
        <v>106</v>
      </c>
      <c r="E286" s="117" t="s">
        <v>48</v>
      </c>
      <c r="F286" s="272" t="s">
        <v>49</v>
      </c>
      <c r="G286" s="119" t="s">
        <v>178</v>
      </c>
      <c r="H286" s="151">
        <v>210</v>
      </c>
      <c r="I286" s="197">
        <v>0</v>
      </c>
      <c r="J286" s="90">
        <v>60</v>
      </c>
      <c r="K286" s="91">
        <v>48</v>
      </c>
      <c r="L286" s="92">
        <v>25</v>
      </c>
      <c r="M286" s="81">
        <v>12</v>
      </c>
      <c r="N286" s="133">
        <f t="shared" si="385"/>
        <v>145</v>
      </c>
      <c r="O286" s="71">
        <v>110</v>
      </c>
      <c r="P286" s="71"/>
      <c r="Q286" s="136"/>
      <c r="R286" s="119" t="s">
        <v>51</v>
      </c>
      <c r="S286" s="120" t="s">
        <v>299</v>
      </c>
      <c r="T286" s="135" t="s">
        <v>77</v>
      </c>
      <c r="U286" s="151">
        <v>350</v>
      </c>
      <c r="V286" s="197">
        <v>0</v>
      </c>
      <c r="W286" s="90">
        <v>60</v>
      </c>
      <c r="X286" s="91">
        <v>48</v>
      </c>
      <c r="Y286" s="92">
        <v>25</v>
      </c>
      <c r="Z286" s="81">
        <v>12</v>
      </c>
      <c r="AA286" s="133">
        <f t="shared" si="381"/>
        <v>145</v>
      </c>
      <c r="AB286" s="71">
        <v>250</v>
      </c>
      <c r="AC286" s="151">
        <v>15</v>
      </c>
      <c r="AD286" s="197">
        <v>0</v>
      </c>
      <c r="AE286" s="90">
        <v>0</v>
      </c>
      <c r="AF286" s="91">
        <v>0</v>
      </c>
      <c r="AG286" s="92">
        <v>0</v>
      </c>
      <c r="AH286" s="81">
        <v>0</v>
      </c>
      <c r="AI286" s="133">
        <f t="shared" si="383"/>
        <v>0</v>
      </c>
      <c r="AJ286" s="71">
        <v>15</v>
      </c>
      <c r="AK286" s="136"/>
      <c r="AL286" s="136"/>
      <c r="AM286" s="72"/>
      <c r="AN286" s="136"/>
      <c r="AO286" s="72"/>
      <c r="AP286" s="119" t="s">
        <v>58</v>
      </c>
      <c r="AQ286" s="136">
        <v>15</v>
      </c>
      <c r="AR286" s="122">
        <v>0</v>
      </c>
      <c r="AS286" s="123">
        <v>15</v>
      </c>
      <c r="AT286" s="124">
        <v>0</v>
      </c>
      <c r="AU286" s="119"/>
      <c r="AV286" s="136"/>
      <c r="AW286" s="119"/>
      <c r="AX286" s="117" t="s">
        <v>108</v>
      </c>
    </row>
    <row r="287" spans="1:50" s="77" customFormat="1" ht="72" x14ac:dyDescent="0.25">
      <c r="A287" s="310"/>
      <c r="B287" s="115" t="s">
        <v>224</v>
      </c>
      <c r="C287" s="115" t="s">
        <v>117</v>
      </c>
      <c r="D287" s="117" t="s">
        <v>106</v>
      </c>
      <c r="E287" s="117" t="s">
        <v>48</v>
      </c>
      <c r="F287" s="272"/>
      <c r="G287" s="119" t="s">
        <v>237</v>
      </c>
      <c r="H287" s="151">
        <v>70</v>
      </c>
      <c r="I287" s="197">
        <v>0</v>
      </c>
      <c r="J287" s="90">
        <v>5</v>
      </c>
      <c r="K287" s="91">
        <v>15</v>
      </c>
      <c r="L287" s="92">
        <v>0</v>
      </c>
      <c r="M287" s="81">
        <v>0</v>
      </c>
      <c r="N287" s="133">
        <f t="shared" si="385"/>
        <v>20</v>
      </c>
      <c r="O287" s="71">
        <v>50</v>
      </c>
      <c r="P287" s="71"/>
      <c r="Q287" s="136"/>
      <c r="R287" s="119" t="s">
        <v>51</v>
      </c>
      <c r="S287" s="120" t="s">
        <v>300</v>
      </c>
      <c r="T287" s="135" t="s">
        <v>77</v>
      </c>
      <c r="U287" s="151">
        <v>120</v>
      </c>
      <c r="V287" s="197">
        <v>0</v>
      </c>
      <c r="W287" s="90">
        <v>5</v>
      </c>
      <c r="X287" s="91">
        <v>15</v>
      </c>
      <c r="Y287" s="92">
        <v>0</v>
      </c>
      <c r="Z287" s="81">
        <v>0</v>
      </c>
      <c r="AA287" s="133">
        <f t="shared" si="381"/>
        <v>20</v>
      </c>
      <c r="AB287" s="71">
        <v>100</v>
      </c>
      <c r="AC287" s="151">
        <v>0</v>
      </c>
      <c r="AD287" s="197">
        <v>0</v>
      </c>
      <c r="AE287" s="90">
        <v>0</v>
      </c>
      <c r="AF287" s="91">
        <v>0</v>
      </c>
      <c r="AG287" s="92">
        <v>0</v>
      </c>
      <c r="AH287" s="81">
        <v>0</v>
      </c>
      <c r="AI287" s="133">
        <f t="shared" si="383"/>
        <v>0</v>
      </c>
      <c r="AJ287" s="71">
        <v>0</v>
      </c>
      <c r="AK287" s="136"/>
      <c r="AL287" s="136"/>
      <c r="AM287" s="72"/>
      <c r="AN287" s="136"/>
      <c r="AO287" s="72"/>
      <c r="AP287" s="119" t="s">
        <v>58</v>
      </c>
      <c r="AQ287" s="136">
        <v>0</v>
      </c>
      <c r="AR287" s="122">
        <v>0</v>
      </c>
      <c r="AS287" s="123">
        <v>0</v>
      </c>
      <c r="AT287" s="124">
        <v>0</v>
      </c>
      <c r="AU287" s="119"/>
      <c r="AV287" s="136"/>
      <c r="AW287" s="119"/>
      <c r="AX287" s="117" t="s">
        <v>108</v>
      </c>
    </row>
    <row r="288" spans="1:50" s="77" customFormat="1" ht="72" x14ac:dyDescent="0.25">
      <c r="A288" s="310"/>
      <c r="B288" s="115" t="s">
        <v>224</v>
      </c>
      <c r="C288" s="115" t="s">
        <v>117</v>
      </c>
      <c r="D288" s="117" t="s">
        <v>106</v>
      </c>
      <c r="E288" s="117" t="s">
        <v>48</v>
      </c>
      <c r="F288" s="272"/>
      <c r="G288" s="119" t="s">
        <v>227</v>
      </c>
      <c r="H288" s="151">
        <v>60</v>
      </c>
      <c r="I288" s="197">
        <v>0</v>
      </c>
      <c r="J288" s="90">
        <v>10</v>
      </c>
      <c r="K288" s="91">
        <v>3</v>
      </c>
      <c r="L288" s="92">
        <v>0</v>
      </c>
      <c r="M288" s="81">
        <v>0</v>
      </c>
      <c r="N288" s="133">
        <f t="shared" si="385"/>
        <v>13</v>
      </c>
      <c r="O288" s="71">
        <v>40</v>
      </c>
      <c r="P288" s="71"/>
      <c r="Q288" s="136"/>
      <c r="R288" s="119" t="s">
        <v>51</v>
      </c>
      <c r="S288" s="120" t="s">
        <v>301</v>
      </c>
      <c r="T288" s="135" t="s">
        <v>77</v>
      </c>
      <c r="U288" s="151">
        <v>120</v>
      </c>
      <c r="V288" s="197">
        <v>0</v>
      </c>
      <c r="W288" s="90">
        <v>10</v>
      </c>
      <c r="X288" s="91">
        <v>3</v>
      </c>
      <c r="Y288" s="92">
        <v>0</v>
      </c>
      <c r="Z288" s="81">
        <v>0</v>
      </c>
      <c r="AA288" s="133">
        <f t="shared" si="381"/>
        <v>13</v>
      </c>
      <c r="AB288" s="71">
        <v>100</v>
      </c>
      <c r="AC288" s="151">
        <v>5</v>
      </c>
      <c r="AD288" s="197">
        <v>0</v>
      </c>
      <c r="AE288" s="90">
        <v>0</v>
      </c>
      <c r="AF288" s="91">
        <v>0</v>
      </c>
      <c r="AG288" s="92">
        <v>0</v>
      </c>
      <c r="AH288" s="81">
        <v>0</v>
      </c>
      <c r="AI288" s="133">
        <f t="shared" si="383"/>
        <v>0</v>
      </c>
      <c r="AJ288" s="71">
        <v>5</v>
      </c>
      <c r="AK288" s="136"/>
      <c r="AL288" s="136"/>
      <c r="AM288" s="72"/>
      <c r="AN288" s="136"/>
      <c r="AO288" s="72"/>
      <c r="AP288" s="119" t="s">
        <v>58</v>
      </c>
      <c r="AQ288" s="136">
        <v>5</v>
      </c>
      <c r="AR288" s="122">
        <v>0</v>
      </c>
      <c r="AS288" s="123">
        <v>5</v>
      </c>
      <c r="AT288" s="124">
        <v>0</v>
      </c>
      <c r="AU288" s="119"/>
      <c r="AV288" s="136"/>
      <c r="AW288" s="119"/>
      <c r="AX288" s="117" t="s">
        <v>108</v>
      </c>
    </row>
    <row r="289" spans="1:50" s="77" customFormat="1" ht="72" x14ac:dyDescent="0.25">
      <c r="A289" s="310"/>
      <c r="B289" s="115" t="s">
        <v>224</v>
      </c>
      <c r="C289" s="115" t="s">
        <v>117</v>
      </c>
      <c r="D289" s="117" t="s">
        <v>106</v>
      </c>
      <c r="E289" s="117" t="s">
        <v>48</v>
      </c>
      <c r="F289" s="272"/>
      <c r="G289" s="119" t="s">
        <v>228</v>
      </c>
      <c r="H289" s="151">
        <v>220</v>
      </c>
      <c r="I289" s="197">
        <v>5</v>
      </c>
      <c r="J289" s="90">
        <v>65</v>
      </c>
      <c r="K289" s="91">
        <v>22</v>
      </c>
      <c r="L289" s="92">
        <v>10</v>
      </c>
      <c r="M289" s="81">
        <v>8</v>
      </c>
      <c r="N289" s="133">
        <f t="shared" si="385"/>
        <v>110</v>
      </c>
      <c r="O289" s="71">
        <f>H289/4*3</f>
        <v>165</v>
      </c>
      <c r="P289" s="71"/>
      <c r="Q289" s="136"/>
      <c r="R289" s="119" t="s">
        <v>51</v>
      </c>
      <c r="S289" s="120" t="s">
        <v>302</v>
      </c>
      <c r="T289" s="135" t="s">
        <v>77</v>
      </c>
      <c r="U289" s="151">
        <v>300</v>
      </c>
      <c r="V289" s="197">
        <v>5</v>
      </c>
      <c r="W289" s="90">
        <v>65</v>
      </c>
      <c r="X289" s="91">
        <v>22</v>
      </c>
      <c r="Y289" s="92">
        <v>10</v>
      </c>
      <c r="Z289" s="81">
        <v>8</v>
      </c>
      <c r="AA289" s="133">
        <f t="shared" si="381"/>
        <v>110</v>
      </c>
      <c r="AB289" s="71">
        <f>U289/4*3</f>
        <v>225</v>
      </c>
      <c r="AC289" s="151">
        <v>0</v>
      </c>
      <c r="AD289" s="197">
        <v>0</v>
      </c>
      <c r="AE289" s="90">
        <v>0</v>
      </c>
      <c r="AF289" s="91">
        <v>0</v>
      </c>
      <c r="AG289" s="92">
        <v>0</v>
      </c>
      <c r="AH289" s="81">
        <v>0</v>
      </c>
      <c r="AI289" s="133">
        <f t="shared" si="383"/>
        <v>0</v>
      </c>
      <c r="AJ289" s="71">
        <v>0</v>
      </c>
      <c r="AK289" s="136"/>
      <c r="AL289" s="136"/>
      <c r="AM289" s="72"/>
      <c r="AN289" s="136"/>
      <c r="AO289" s="72"/>
      <c r="AP289" s="119"/>
      <c r="AQ289" s="136"/>
      <c r="AR289" s="122">
        <v>0</v>
      </c>
      <c r="AS289" s="123">
        <v>0</v>
      </c>
      <c r="AT289" s="124">
        <v>0</v>
      </c>
      <c r="AU289" s="119"/>
      <c r="AV289" s="136"/>
      <c r="AW289" s="119"/>
      <c r="AX289" s="117" t="s">
        <v>108</v>
      </c>
    </row>
    <row r="290" spans="1:50" s="77" customFormat="1" ht="36" x14ac:dyDescent="0.25">
      <c r="A290" s="310"/>
      <c r="B290" s="115" t="s">
        <v>224</v>
      </c>
      <c r="C290" s="115" t="s">
        <v>117</v>
      </c>
      <c r="D290" s="117" t="s">
        <v>106</v>
      </c>
      <c r="E290" s="117" t="s">
        <v>48</v>
      </c>
      <c r="F290" s="142" t="s">
        <v>61</v>
      </c>
      <c r="G290" s="155"/>
      <c r="H290" s="153">
        <f t="shared" ref="H290:O290" si="408">SUM(H286:H289)</f>
        <v>560</v>
      </c>
      <c r="I290" s="153">
        <f t="shared" si="408"/>
        <v>5</v>
      </c>
      <c r="J290" s="153">
        <f t="shared" si="408"/>
        <v>140</v>
      </c>
      <c r="K290" s="153">
        <f t="shared" si="408"/>
        <v>88</v>
      </c>
      <c r="L290" s="153">
        <f>SUM(L286:L289)</f>
        <v>35</v>
      </c>
      <c r="M290" s="153">
        <f t="shared" si="408"/>
        <v>20</v>
      </c>
      <c r="N290" s="153">
        <f t="shared" si="385"/>
        <v>288</v>
      </c>
      <c r="O290" s="153">
        <f t="shared" si="408"/>
        <v>365</v>
      </c>
      <c r="P290" s="153"/>
      <c r="Q290" s="156"/>
      <c r="R290" s="129"/>
      <c r="S290" s="157"/>
      <c r="T290" s="158"/>
      <c r="U290" s="153">
        <f t="shared" ref="U290:AJ290" si="409">SUM(U286:U289)</f>
        <v>890</v>
      </c>
      <c r="V290" s="153">
        <v>13</v>
      </c>
      <c r="W290" s="153">
        <v>30</v>
      </c>
      <c r="X290" s="153">
        <v>88</v>
      </c>
      <c r="Y290" s="153">
        <f>SUM(Y286:Y289)</f>
        <v>35</v>
      </c>
      <c r="Z290" s="153">
        <v>20</v>
      </c>
      <c r="AA290" s="153">
        <f t="shared" si="381"/>
        <v>186</v>
      </c>
      <c r="AB290" s="153">
        <f t="shared" si="409"/>
        <v>675</v>
      </c>
      <c r="AC290" s="153">
        <f t="shared" si="409"/>
        <v>20</v>
      </c>
      <c r="AD290" s="153">
        <v>0</v>
      </c>
      <c r="AE290" s="153">
        <v>0</v>
      </c>
      <c r="AF290" s="153">
        <v>0</v>
      </c>
      <c r="AG290" s="153">
        <f>SUM(AG286:AG289)</f>
        <v>0</v>
      </c>
      <c r="AH290" s="153">
        <v>0</v>
      </c>
      <c r="AI290" s="153">
        <f t="shared" si="383"/>
        <v>0</v>
      </c>
      <c r="AJ290" s="153">
        <f t="shared" si="409"/>
        <v>20</v>
      </c>
      <c r="AK290" s="156"/>
      <c r="AL290" s="156"/>
      <c r="AM290" s="156"/>
      <c r="AN290" s="156"/>
      <c r="AO290" s="156"/>
      <c r="AP290" s="155"/>
      <c r="AQ290" s="153">
        <f>SUM(AQ286:AQ289)</f>
        <v>20</v>
      </c>
      <c r="AR290" s="153">
        <f>SUM(AR286:AR289)</f>
        <v>0</v>
      </c>
      <c r="AS290" s="153">
        <f>SUM(AS286:AS289)</f>
        <v>20</v>
      </c>
      <c r="AT290" s="153">
        <f>SUM(AT286:AT289)</f>
        <v>0</v>
      </c>
      <c r="AU290" s="129"/>
      <c r="AV290" s="156"/>
      <c r="AW290" s="155"/>
      <c r="AX290" s="155" t="s">
        <v>108</v>
      </c>
    </row>
    <row r="291" spans="1:50" s="77" customFormat="1" ht="72" x14ac:dyDescent="0.25">
      <c r="A291" s="310"/>
      <c r="B291" s="115" t="s">
        <v>224</v>
      </c>
      <c r="C291" s="115" t="s">
        <v>119</v>
      </c>
      <c r="D291" s="117" t="s">
        <v>106</v>
      </c>
      <c r="E291" s="117" t="s">
        <v>48</v>
      </c>
      <c r="F291" s="272" t="s">
        <v>49</v>
      </c>
      <c r="G291" s="119" t="s">
        <v>178</v>
      </c>
      <c r="H291" s="151">
        <v>20</v>
      </c>
      <c r="I291" s="197">
        <v>0</v>
      </c>
      <c r="J291" s="90">
        <v>60</v>
      </c>
      <c r="K291" s="91">
        <v>0</v>
      </c>
      <c r="L291" s="92">
        <v>0</v>
      </c>
      <c r="M291" s="81">
        <v>5</v>
      </c>
      <c r="N291" s="133">
        <f t="shared" si="385"/>
        <v>65</v>
      </c>
      <c r="O291" s="71">
        <v>10</v>
      </c>
      <c r="P291" s="71"/>
      <c r="Q291" s="136"/>
      <c r="R291" s="119" t="s">
        <v>51</v>
      </c>
      <c r="S291" s="120" t="s">
        <v>303</v>
      </c>
      <c r="T291" s="135" t="s">
        <v>77</v>
      </c>
      <c r="U291" s="151">
        <v>100</v>
      </c>
      <c r="V291" s="197">
        <v>0</v>
      </c>
      <c r="W291" s="90">
        <v>60</v>
      </c>
      <c r="X291" s="91">
        <v>0</v>
      </c>
      <c r="Y291" s="92">
        <v>0</v>
      </c>
      <c r="Z291" s="81">
        <v>5</v>
      </c>
      <c r="AA291" s="133">
        <f t="shared" si="381"/>
        <v>65</v>
      </c>
      <c r="AB291" s="71">
        <v>80</v>
      </c>
      <c r="AC291" s="151">
        <v>5</v>
      </c>
      <c r="AD291" s="197">
        <v>0</v>
      </c>
      <c r="AE291" s="90">
        <v>0</v>
      </c>
      <c r="AF291" s="91">
        <v>0</v>
      </c>
      <c r="AG291" s="92">
        <v>0</v>
      </c>
      <c r="AH291" s="81">
        <v>0</v>
      </c>
      <c r="AI291" s="133">
        <f t="shared" si="383"/>
        <v>0</v>
      </c>
      <c r="AJ291" s="71">
        <v>5</v>
      </c>
      <c r="AK291" s="136"/>
      <c r="AL291" s="136"/>
      <c r="AM291" s="72"/>
      <c r="AN291" s="136"/>
      <c r="AO291" s="72"/>
      <c r="AP291" s="119" t="s">
        <v>58</v>
      </c>
      <c r="AQ291" s="136">
        <v>5</v>
      </c>
      <c r="AR291" s="122">
        <v>0</v>
      </c>
      <c r="AS291" s="123">
        <v>5</v>
      </c>
      <c r="AT291" s="124">
        <v>0</v>
      </c>
      <c r="AU291" s="119"/>
      <c r="AV291" s="136"/>
      <c r="AW291" s="119"/>
      <c r="AX291" s="117" t="s">
        <v>108</v>
      </c>
    </row>
    <row r="292" spans="1:50" s="77" customFormat="1" ht="75" x14ac:dyDescent="0.25">
      <c r="A292" s="310"/>
      <c r="B292" s="115" t="s">
        <v>224</v>
      </c>
      <c r="C292" s="115" t="s">
        <v>119</v>
      </c>
      <c r="D292" s="117" t="s">
        <v>106</v>
      </c>
      <c r="E292" s="117" t="s">
        <v>48</v>
      </c>
      <c r="F292" s="272"/>
      <c r="G292" s="119" t="s">
        <v>237</v>
      </c>
      <c r="H292" s="151">
        <v>120</v>
      </c>
      <c r="I292" s="197">
        <v>0</v>
      </c>
      <c r="J292" s="90">
        <v>5</v>
      </c>
      <c r="K292" s="91">
        <v>20</v>
      </c>
      <c r="L292" s="92">
        <v>0</v>
      </c>
      <c r="M292" s="81">
        <v>0</v>
      </c>
      <c r="N292" s="133">
        <f t="shared" si="385"/>
        <v>25</v>
      </c>
      <c r="O292" s="71">
        <f>H292/4*3</f>
        <v>90</v>
      </c>
      <c r="P292" s="71"/>
      <c r="Q292" s="136"/>
      <c r="R292" s="119" t="s">
        <v>51</v>
      </c>
      <c r="S292" s="120" t="s">
        <v>304</v>
      </c>
      <c r="T292" s="135" t="s">
        <v>77</v>
      </c>
      <c r="U292" s="151">
        <v>120</v>
      </c>
      <c r="V292" s="197">
        <v>0</v>
      </c>
      <c r="W292" s="90">
        <v>5</v>
      </c>
      <c r="X292" s="91">
        <v>20</v>
      </c>
      <c r="Y292" s="92">
        <v>0</v>
      </c>
      <c r="Z292" s="81">
        <v>0</v>
      </c>
      <c r="AA292" s="133">
        <f t="shared" si="381"/>
        <v>25</v>
      </c>
      <c r="AB292" s="71">
        <f>U292/4*3</f>
        <v>90</v>
      </c>
      <c r="AC292" s="151">
        <v>5</v>
      </c>
      <c r="AD292" s="197">
        <v>0</v>
      </c>
      <c r="AE292" s="90">
        <v>0</v>
      </c>
      <c r="AF292" s="91">
        <v>0</v>
      </c>
      <c r="AG292" s="92">
        <v>0</v>
      </c>
      <c r="AH292" s="81">
        <v>0</v>
      </c>
      <c r="AI292" s="133">
        <f t="shared" si="383"/>
        <v>0</v>
      </c>
      <c r="AJ292" s="71">
        <v>5</v>
      </c>
      <c r="AK292" s="136"/>
      <c r="AL292" s="136"/>
      <c r="AM292" s="72"/>
      <c r="AN292" s="136"/>
      <c r="AO292" s="72"/>
      <c r="AP292" s="119" t="s">
        <v>58</v>
      </c>
      <c r="AQ292" s="136">
        <v>5</v>
      </c>
      <c r="AR292" s="122">
        <v>0</v>
      </c>
      <c r="AS292" s="123">
        <v>5</v>
      </c>
      <c r="AT292" s="124">
        <v>0</v>
      </c>
      <c r="AU292" s="119"/>
      <c r="AV292" s="136"/>
      <c r="AW292" s="119"/>
      <c r="AX292" s="117" t="s">
        <v>108</v>
      </c>
    </row>
    <row r="293" spans="1:50" s="77" customFormat="1" ht="72" x14ac:dyDescent="0.25">
      <c r="A293" s="310"/>
      <c r="B293" s="115" t="s">
        <v>224</v>
      </c>
      <c r="C293" s="115" t="s">
        <v>119</v>
      </c>
      <c r="D293" s="117" t="s">
        <v>106</v>
      </c>
      <c r="E293" s="117" t="s">
        <v>48</v>
      </c>
      <c r="F293" s="272"/>
      <c r="G293" s="119" t="s">
        <v>228</v>
      </c>
      <c r="H293" s="151">
        <v>130</v>
      </c>
      <c r="I293" s="197">
        <v>3</v>
      </c>
      <c r="J293" s="90">
        <v>65</v>
      </c>
      <c r="K293" s="91">
        <v>27</v>
      </c>
      <c r="L293" s="92">
        <v>10</v>
      </c>
      <c r="M293" s="81">
        <v>5</v>
      </c>
      <c r="N293" s="133">
        <f t="shared" si="385"/>
        <v>110</v>
      </c>
      <c r="O293" s="71">
        <v>100</v>
      </c>
      <c r="P293" s="71"/>
      <c r="Q293" s="136"/>
      <c r="R293" s="119" t="s">
        <v>51</v>
      </c>
      <c r="S293" s="120" t="s">
        <v>305</v>
      </c>
      <c r="T293" s="135" t="s">
        <v>77</v>
      </c>
      <c r="U293" s="151">
        <v>150</v>
      </c>
      <c r="V293" s="197">
        <v>3</v>
      </c>
      <c r="W293" s="90">
        <v>65</v>
      </c>
      <c r="X293" s="91">
        <v>27</v>
      </c>
      <c r="Y293" s="92">
        <v>10</v>
      </c>
      <c r="Z293" s="81">
        <v>5</v>
      </c>
      <c r="AA293" s="133">
        <f t="shared" si="381"/>
        <v>110</v>
      </c>
      <c r="AB293" s="71">
        <v>120</v>
      </c>
      <c r="AC293" s="151">
        <v>6</v>
      </c>
      <c r="AD293" s="197">
        <v>0</v>
      </c>
      <c r="AE293" s="90">
        <v>0</v>
      </c>
      <c r="AF293" s="91">
        <v>0</v>
      </c>
      <c r="AG293" s="92">
        <v>0</v>
      </c>
      <c r="AH293" s="81">
        <v>0</v>
      </c>
      <c r="AI293" s="133">
        <f t="shared" si="383"/>
        <v>0</v>
      </c>
      <c r="AJ293" s="71">
        <f>AC293/4*3</f>
        <v>4.5</v>
      </c>
      <c r="AK293" s="136"/>
      <c r="AL293" s="136"/>
      <c r="AM293" s="72"/>
      <c r="AN293" s="136"/>
      <c r="AO293" s="72"/>
      <c r="AP293" s="119" t="s">
        <v>58</v>
      </c>
      <c r="AQ293" s="136">
        <v>5</v>
      </c>
      <c r="AR293" s="122">
        <v>0</v>
      </c>
      <c r="AS293" s="123">
        <v>5</v>
      </c>
      <c r="AT293" s="124">
        <v>0</v>
      </c>
      <c r="AU293" s="119"/>
      <c r="AV293" s="136"/>
      <c r="AW293" s="119"/>
      <c r="AX293" s="117" t="s">
        <v>108</v>
      </c>
    </row>
    <row r="294" spans="1:50" s="77" customFormat="1" ht="72" x14ac:dyDescent="0.25">
      <c r="A294" s="310"/>
      <c r="B294" s="115" t="s">
        <v>224</v>
      </c>
      <c r="C294" s="115" t="s">
        <v>119</v>
      </c>
      <c r="D294" s="117" t="s">
        <v>106</v>
      </c>
      <c r="E294" s="117" t="s">
        <v>48</v>
      </c>
      <c r="F294" s="272"/>
      <c r="G294" s="119" t="s">
        <v>290</v>
      </c>
      <c r="H294" s="151">
        <v>5</v>
      </c>
      <c r="I294" s="197">
        <v>0</v>
      </c>
      <c r="J294" s="90">
        <v>0</v>
      </c>
      <c r="K294" s="91">
        <v>0</v>
      </c>
      <c r="L294" s="92">
        <v>0</v>
      </c>
      <c r="M294" s="81">
        <v>0</v>
      </c>
      <c r="N294" s="133">
        <f t="shared" si="385"/>
        <v>0</v>
      </c>
      <c r="O294" s="71">
        <v>5</v>
      </c>
      <c r="P294" s="71"/>
      <c r="Q294" s="136"/>
      <c r="R294" s="119" t="s">
        <v>306</v>
      </c>
      <c r="S294" s="120" t="s">
        <v>307</v>
      </c>
      <c r="T294" s="135" t="s">
        <v>77</v>
      </c>
      <c r="U294" s="151">
        <v>10</v>
      </c>
      <c r="V294" s="197">
        <v>0</v>
      </c>
      <c r="W294" s="90">
        <v>0</v>
      </c>
      <c r="X294" s="91">
        <v>0</v>
      </c>
      <c r="Y294" s="92">
        <v>0</v>
      </c>
      <c r="Z294" s="81">
        <v>0</v>
      </c>
      <c r="AA294" s="133">
        <f t="shared" si="381"/>
        <v>0</v>
      </c>
      <c r="AB294" s="71">
        <v>10</v>
      </c>
      <c r="AC294" s="151">
        <v>0</v>
      </c>
      <c r="AD294" s="197">
        <v>0</v>
      </c>
      <c r="AE294" s="90">
        <v>0</v>
      </c>
      <c r="AF294" s="91">
        <v>0</v>
      </c>
      <c r="AG294" s="92">
        <v>0</v>
      </c>
      <c r="AH294" s="81">
        <v>0</v>
      </c>
      <c r="AI294" s="133">
        <f t="shared" si="383"/>
        <v>0</v>
      </c>
      <c r="AJ294" s="71">
        <f>AC294/4*3</f>
        <v>0</v>
      </c>
      <c r="AK294" s="136"/>
      <c r="AL294" s="136"/>
      <c r="AM294" s="72"/>
      <c r="AN294" s="136"/>
      <c r="AO294" s="72"/>
      <c r="AP294" s="119"/>
      <c r="AQ294" s="136"/>
      <c r="AR294" s="122">
        <v>0</v>
      </c>
      <c r="AS294" s="123">
        <v>0</v>
      </c>
      <c r="AT294" s="124">
        <v>0</v>
      </c>
      <c r="AU294" s="119"/>
      <c r="AV294" s="136"/>
      <c r="AW294" s="119"/>
      <c r="AX294" s="117" t="s">
        <v>108</v>
      </c>
    </row>
    <row r="295" spans="1:50" s="77" customFormat="1" ht="72" x14ac:dyDescent="0.25">
      <c r="A295" s="310"/>
      <c r="B295" s="115" t="s">
        <v>224</v>
      </c>
      <c r="C295" s="115" t="s">
        <v>119</v>
      </c>
      <c r="D295" s="117" t="s">
        <v>106</v>
      </c>
      <c r="E295" s="117" t="s">
        <v>48</v>
      </c>
      <c r="F295" s="272"/>
      <c r="G295" s="119" t="s">
        <v>292</v>
      </c>
      <c r="H295" s="151">
        <v>10</v>
      </c>
      <c r="I295" s="197">
        <v>0</v>
      </c>
      <c r="J295" s="90">
        <v>0</v>
      </c>
      <c r="K295" s="91">
        <v>0</v>
      </c>
      <c r="L295" s="92">
        <v>0</v>
      </c>
      <c r="M295" s="81">
        <v>0</v>
      </c>
      <c r="N295" s="133">
        <f t="shared" si="385"/>
        <v>0</v>
      </c>
      <c r="O295" s="71">
        <v>10</v>
      </c>
      <c r="P295" s="71"/>
      <c r="Q295" s="136"/>
      <c r="R295" s="119" t="s">
        <v>279</v>
      </c>
      <c r="S295" s="120" t="s">
        <v>308</v>
      </c>
      <c r="T295" s="135" t="s">
        <v>77</v>
      </c>
      <c r="U295" s="151">
        <v>15</v>
      </c>
      <c r="V295" s="197">
        <v>0</v>
      </c>
      <c r="W295" s="90">
        <v>0</v>
      </c>
      <c r="X295" s="91">
        <v>0</v>
      </c>
      <c r="Y295" s="92">
        <v>0</v>
      </c>
      <c r="Z295" s="81">
        <v>0</v>
      </c>
      <c r="AA295" s="133">
        <f t="shared" si="381"/>
        <v>0</v>
      </c>
      <c r="AB295" s="71">
        <v>15</v>
      </c>
      <c r="AC295" s="151">
        <v>0</v>
      </c>
      <c r="AD295" s="197">
        <v>0</v>
      </c>
      <c r="AE295" s="90">
        <v>0</v>
      </c>
      <c r="AF295" s="91">
        <v>0</v>
      </c>
      <c r="AG295" s="92">
        <v>0</v>
      </c>
      <c r="AH295" s="81">
        <v>0</v>
      </c>
      <c r="AI295" s="133">
        <f t="shared" si="383"/>
        <v>0</v>
      </c>
      <c r="AJ295" s="71">
        <f>AC295/4*3</f>
        <v>0</v>
      </c>
      <c r="AK295" s="136"/>
      <c r="AL295" s="136"/>
      <c r="AM295" s="72"/>
      <c r="AN295" s="136"/>
      <c r="AO295" s="72"/>
      <c r="AP295" s="119"/>
      <c r="AQ295" s="136"/>
      <c r="AR295" s="122">
        <v>0</v>
      </c>
      <c r="AS295" s="123">
        <v>0</v>
      </c>
      <c r="AT295" s="124">
        <v>0</v>
      </c>
      <c r="AU295" s="119"/>
      <c r="AV295" s="136"/>
      <c r="AW295" s="119"/>
      <c r="AX295" s="117" t="s">
        <v>108</v>
      </c>
    </row>
    <row r="296" spans="1:50" s="77" customFormat="1" ht="36" x14ac:dyDescent="0.25">
      <c r="A296" s="310"/>
      <c r="B296" s="115" t="s">
        <v>224</v>
      </c>
      <c r="C296" s="115" t="s">
        <v>119</v>
      </c>
      <c r="D296" s="117" t="s">
        <v>106</v>
      </c>
      <c r="E296" s="117" t="s">
        <v>48</v>
      </c>
      <c r="F296" s="142" t="s">
        <v>61</v>
      </c>
      <c r="G296" s="155"/>
      <c r="H296" s="153">
        <f t="shared" ref="H296:O296" si="410">SUM(H291:H295)</f>
        <v>285</v>
      </c>
      <c r="I296" s="153">
        <f t="shared" si="410"/>
        <v>3</v>
      </c>
      <c r="J296" s="153">
        <f t="shared" si="410"/>
        <v>130</v>
      </c>
      <c r="K296" s="153">
        <f t="shared" si="410"/>
        <v>47</v>
      </c>
      <c r="L296" s="153">
        <f t="shared" si="410"/>
        <v>10</v>
      </c>
      <c r="M296" s="153">
        <f t="shared" si="410"/>
        <v>10</v>
      </c>
      <c r="N296" s="153">
        <f t="shared" si="385"/>
        <v>200</v>
      </c>
      <c r="O296" s="153">
        <f t="shared" si="410"/>
        <v>215</v>
      </c>
      <c r="P296" s="153"/>
      <c r="Q296" s="156"/>
      <c r="R296" s="129"/>
      <c r="S296" s="157"/>
      <c r="T296" s="158"/>
      <c r="U296" s="153">
        <f t="shared" ref="U296:AJ296" si="411">SUM(U291:U295)</f>
        <v>395</v>
      </c>
      <c r="V296" s="153">
        <v>8</v>
      </c>
      <c r="W296" s="153">
        <v>20</v>
      </c>
      <c r="X296" s="153">
        <v>47</v>
      </c>
      <c r="Y296" s="153">
        <f t="shared" ref="Y296" si="412">SUM(Y291:Y295)</f>
        <v>10</v>
      </c>
      <c r="Z296" s="153">
        <v>10</v>
      </c>
      <c r="AA296" s="153">
        <f t="shared" si="381"/>
        <v>95</v>
      </c>
      <c r="AB296" s="153">
        <f t="shared" si="411"/>
        <v>315</v>
      </c>
      <c r="AC296" s="153">
        <f t="shared" si="411"/>
        <v>16</v>
      </c>
      <c r="AD296" s="153">
        <v>0</v>
      </c>
      <c r="AE296" s="153">
        <v>0</v>
      </c>
      <c r="AF296" s="153">
        <v>0</v>
      </c>
      <c r="AG296" s="153">
        <f>SUM(AG291:AG295)</f>
        <v>0</v>
      </c>
      <c r="AH296" s="153">
        <v>0</v>
      </c>
      <c r="AI296" s="153">
        <f t="shared" si="383"/>
        <v>0</v>
      </c>
      <c r="AJ296" s="153">
        <f t="shared" si="411"/>
        <v>14.5</v>
      </c>
      <c r="AK296" s="156"/>
      <c r="AL296" s="156"/>
      <c r="AM296" s="156"/>
      <c r="AN296" s="156"/>
      <c r="AO296" s="156"/>
      <c r="AP296" s="155"/>
      <c r="AQ296" s="153">
        <f>SUM(AQ291:AQ295)</f>
        <v>15</v>
      </c>
      <c r="AR296" s="153">
        <f>SUM(AR291:AR295)</f>
        <v>0</v>
      </c>
      <c r="AS296" s="153">
        <f>SUM(AS291:AS295)</f>
        <v>15</v>
      </c>
      <c r="AT296" s="153">
        <f>SUM(AT291:AT295)</f>
        <v>0</v>
      </c>
      <c r="AU296" s="129"/>
      <c r="AV296" s="156"/>
      <c r="AW296" s="155"/>
      <c r="AX296" s="155" t="s">
        <v>108</v>
      </c>
    </row>
    <row r="297" spans="1:50" s="77" customFormat="1" ht="36" x14ac:dyDescent="0.25">
      <c r="A297" s="310"/>
      <c r="B297" s="115" t="s">
        <v>224</v>
      </c>
      <c r="C297" s="115" t="s">
        <v>309</v>
      </c>
      <c r="D297" s="117" t="s">
        <v>106</v>
      </c>
      <c r="E297" s="117" t="s">
        <v>48</v>
      </c>
      <c r="F297" s="273" t="s">
        <v>49</v>
      </c>
      <c r="G297" s="119" t="s">
        <v>231</v>
      </c>
      <c r="H297" s="136">
        <v>20</v>
      </c>
      <c r="I297" s="197">
        <v>0</v>
      </c>
      <c r="J297" s="90">
        <v>0</v>
      </c>
      <c r="K297" s="91">
        <v>0</v>
      </c>
      <c r="L297" s="92">
        <v>0</v>
      </c>
      <c r="M297" s="81">
        <v>0</v>
      </c>
      <c r="N297" s="133">
        <f t="shared" si="385"/>
        <v>0</v>
      </c>
      <c r="O297" s="71">
        <v>20</v>
      </c>
      <c r="P297" s="71"/>
      <c r="Q297" s="136"/>
      <c r="R297" s="119" t="s">
        <v>179</v>
      </c>
      <c r="S297" s="120" t="s">
        <v>310</v>
      </c>
      <c r="T297" s="135" t="s">
        <v>125</v>
      </c>
      <c r="U297" s="136">
        <v>20</v>
      </c>
      <c r="V297" s="197">
        <v>0</v>
      </c>
      <c r="W297" s="90">
        <v>0</v>
      </c>
      <c r="X297" s="91">
        <v>0</v>
      </c>
      <c r="Y297" s="92">
        <v>0</v>
      </c>
      <c r="Z297" s="81">
        <v>0</v>
      </c>
      <c r="AA297" s="133">
        <f t="shared" si="381"/>
        <v>0</v>
      </c>
      <c r="AB297" s="71">
        <v>20</v>
      </c>
      <c r="AC297" s="136">
        <v>15</v>
      </c>
      <c r="AD297" s="197">
        <v>0</v>
      </c>
      <c r="AE297" s="90">
        <v>0</v>
      </c>
      <c r="AF297" s="91">
        <v>0</v>
      </c>
      <c r="AG297" s="92">
        <v>0</v>
      </c>
      <c r="AH297" s="81">
        <v>0</v>
      </c>
      <c r="AI297" s="133">
        <f t="shared" si="383"/>
        <v>0</v>
      </c>
      <c r="AJ297" s="71">
        <v>15</v>
      </c>
      <c r="AK297" s="136"/>
      <c r="AL297" s="136"/>
      <c r="AM297" s="72"/>
      <c r="AN297" s="136"/>
      <c r="AO297" s="72"/>
      <c r="AP297" s="119" t="s">
        <v>58</v>
      </c>
      <c r="AQ297" s="136">
        <v>15</v>
      </c>
      <c r="AR297" s="122">
        <v>0</v>
      </c>
      <c r="AS297" s="123">
        <v>15</v>
      </c>
      <c r="AT297" s="124">
        <v>0</v>
      </c>
      <c r="AU297" s="119"/>
      <c r="AV297" s="136"/>
      <c r="AW297" s="119"/>
      <c r="AX297" s="117" t="s">
        <v>59</v>
      </c>
    </row>
    <row r="298" spans="1:50" s="77" customFormat="1" ht="36" x14ac:dyDescent="0.25">
      <c r="A298" s="310"/>
      <c r="B298" s="115" t="s">
        <v>224</v>
      </c>
      <c r="C298" s="115" t="s">
        <v>309</v>
      </c>
      <c r="D298" s="117" t="s">
        <v>106</v>
      </c>
      <c r="E298" s="117" t="s">
        <v>48</v>
      </c>
      <c r="F298" s="274"/>
      <c r="G298" s="119" t="s">
        <v>227</v>
      </c>
      <c r="H298" s="136">
        <v>20</v>
      </c>
      <c r="I298" s="197">
        <v>0</v>
      </c>
      <c r="J298" s="90">
        <v>0</v>
      </c>
      <c r="K298" s="91">
        <v>0</v>
      </c>
      <c r="L298" s="92">
        <v>0</v>
      </c>
      <c r="M298" s="81">
        <v>0</v>
      </c>
      <c r="N298" s="133">
        <f t="shared" si="385"/>
        <v>0</v>
      </c>
      <c r="O298" s="71">
        <v>20</v>
      </c>
      <c r="P298" s="71"/>
      <c r="Q298" s="136"/>
      <c r="R298" s="119" t="s">
        <v>179</v>
      </c>
      <c r="S298" s="120" t="s">
        <v>310</v>
      </c>
      <c r="T298" s="135" t="s">
        <v>125</v>
      </c>
      <c r="U298" s="136">
        <v>20</v>
      </c>
      <c r="V298" s="197">
        <v>0</v>
      </c>
      <c r="W298" s="90">
        <v>0</v>
      </c>
      <c r="X298" s="91">
        <v>0</v>
      </c>
      <c r="Y298" s="92">
        <v>0</v>
      </c>
      <c r="Z298" s="81">
        <v>0</v>
      </c>
      <c r="AA298" s="133">
        <f t="shared" si="381"/>
        <v>0</v>
      </c>
      <c r="AB298" s="71">
        <v>20</v>
      </c>
      <c r="AC298" s="136">
        <v>0</v>
      </c>
      <c r="AD298" s="197">
        <v>0</v>
      </c>
      <c r="AE298" s="90">
        <v>0</v>
      </c>
      <c r="AF298" s="91">
        <v>0</v>
      </c>
      <c r="AG298" s="92">
        <v>0</v>
      </c>
      <c r="AH298" s="81">
        <v>0</v>
      </c>
      <c r="AI298" s="133">
        <f t="shared" si="383"/>
        <v>0</v>
      </c>
      <c r="AJ298" s="71">
        <v>0</v>
      </c>
      <c r="AK298" s="136"/>
      <c r="AL298" s="136"/>
      <c r="AM298" s="72"/>
      <c r="AN298" s="136"/>
      <c r="AO298" s="72"/>
      <c r="AP298" s="119"/>
      <c r="AQ298" s="136">
        <v>0</v>
      </c>
      <c r="AR298" s="122">
        <v>0</v>
      </c>
      <c r="AS298" s="123">
        <v>0</v>
      </c>
      <c r="AT298" s="124">
        <v>0</v>
      </c>
      <c r="AU298" s="119"/>
      <c r="AV298" s="136"/>
      <c r="AW298" s="119"/>
      <c r="AX298" s="117" t="s">
        <v>59</v>
      </c>
    </row>
    <row r="299" spans="1:50" s="77" customFormat="1" ht="54" x14ac:dyDescent="0.25">
      <c r="A299" s="310"/>
      <c r="B299" s="115" t="s">
        <v>224</v>
      </c>
      <c r="C299" s="115" t="s">
        <v>309</v>
      </c>
      <c r="D299" s="117" t="s">
        <v>106</v>
      </c>
      <c r="E299" s="117" t="s">
        <v>48</v>
      </c>
      <c r="F299" s="274"/>
      <c r="G299" s="119" t="s">
        <v>311</v>
      </c>
      <c r="H299" s="136">
        <v>20</v>
      </c>
      <c r="I299" s="197">
        <v>0</v>
      </c>
      <c r="J299" s="90">
        <v>0</v>
      </c>
      <c r="K299" s="91">
        <v>0</v>
      </c>
      <c r="L299" s="92">
        <v>0</v>
      </c>
      <c r="M299" s="81">
        <v>0</v>
      </c>
      <c r="N299" s="133">
        <f t="shared" si="385"/>
        <v>0</v>
      </c>
      <c r="O299" s="71">
        <v>20</v>
      </c>
      <c r="P299" s="71"/>
      <c r="Q299" s="136"/>
      <c r="R299" s="119" t="s">
        <v>179</v>
      </c>
      <c r="S299" s="120" t="s">
        <v>310</v>
      </c>
      <c r="T299" s="135" t="s">
        <v>125</v>
      </c>
      <c r="U299" s="136">
        <v>20</v>
      </c>
      <c r="V299" s="197">
        <v>0</v>
      </c>
      <c r="W299" s="90">
        <v>0</v>
      </c>
      <c r="X299" s="91">
        <v>0</v>
      </c>
      <c r="Y299" s="92">
        <v>0</v>
      </c>
      <c r="Z299" s="81">
        <v>0</v>
      </c>
      <c r="AA299" s="133">
        <f t="shared" si="381"/>
        <v>0</v>
      </c>
      <c r="AB299" s="71">
        <v>20</v>
      </c>
      <c r="AC299" s="136">
        <v>15</v>
      </c>
      <c r="AD299" s="197">
        <v>0</v>
      </c>
      <c r="AE299" s="90">
        <v>0</v>
      </c>
      <c r="AF299" s="91">
        <v>0</v>
      </c>
      <c r="AG299" s="92">
        <v>0</v>
      </c>
      <c r="AH299" s="81">
        <v>0</v>
      </c>
      <c r="AI299" s="133">
        <f t="shared" si="383"/>
        <v>0</v>
      </c>
      <c r="AJ299" s="71">
        <v>15</v>
      </c>
      <c r="AK299" s="136"/>
      <c r="AL299" s="136"/>
      <c r="AM299" s="72"/>
      <c r="AN299" s="136"/>
      <c r="AO299" s="72"/>
      <c r="AP299" s="119" t="s">
        <v>58</v>
      </c>
      <c r="AQ299" s="136">
        <v>15</v>
      </c>
      <c r="AR299" s="122">
        <v>0</v>
      </c>
      <c r="AS299" s="123">
        <v>15</v>
      </c>
      <c r="AT299" s="124">
        <v>0</v>
      </c>
      <c r="AU299" s="119"/>
      <c r="AV299" s="136"/>
      <c r="AW299" s="119"/>
      <c r="AX299" s="117" t="s">
        <v>59</v>
      </c>
    </row>
    <row r="300" spans="1:50" s="77" customFormat="1" ht="36" x14ac:dyDescent="0.25">
      <c r="A300" s="310"/>
      <c r="B300" s="115" t="s">
        <v>224</v>
      </c>
      <c r="C300" s="115" t="s">
        <v>309</v>
      </c>
      <c r="D300" s="117" t="s">
        <v>106</v>
      </c>
      <c r="E300" s="117" t="s">
        <v>48</v>
      </c>
      <c r="F300" s="274"/>
      <c r="G300" s="119" t="s">
        <v>234</v>
      </c>
      <c r="H300" s="136">
        <v>50</v>
      </c>
      <c r="I300" s="197">
        <v>0</v>
      </c>
      <c r="J300" s="90">
        <v>0</v>
      </c>
      <c r="K300" s="91">
        <v>0</v>
      </c>
      <c r="L300" s="92">
        <v>0</v>
      </c>
      <c r="M300" s="81">
        <v>0</v>
      </c>
      <c r="N300" s="133">
        <f t="shared" si="385"/>
        <v>0</v>
      </c>
      <c r="O300" s="71">
        <v>50</v>
      </c>
      <c r="P300" s="71"/>
      <c r="Q300" s="136"/>
      <c r="R300" s="119" t="s">
        <v>179</v>
      </c>
      <c r="S300" s="120" t="s">
        <v>310</v>
      </c>
      <c r="T300" s="135" t="s">
        <v>125</v>
      </c>
      <c r="U300" s="136">
        <v>50</v>
      </c>
      <c r="V300" s="197">
        <v>0</v>
      </c>
      <c r="W300" s="90">
        <v>0</v>
      </c>
      <c r="X300" s="91">
        <v>0</v>
      </c>
      <c r="Y300" s="92">
        <v>0</v>
      </c>
      <c r="Z300" s="81">
        <v>0</v>
      </c>
      <c r="AA300" s="133">
        <f t="shared" si="381"/>
        <v>0</v>
      </c>
      <c r="AB300" s="71">
        <v>50</v>
      </c>
      <c r="AC300" s="136">
        <v>1</v>
      </c>
      <c r="AD300" s="197">
        <v>0</v>
      </c>
      <c r="AE300" s="90">
        <v>0</v>
      </c>
      <c r="AF300" s="91">
        <v>0</v>
      </c>
      <c r="AG300" s="92">
        <v>0</v>
      </c>
      <c r="AH300" s="81">
        <v>0</v>
      </c>
      <c r="AI300" s="133">
        <f t="shared" si="383"/>
        <v>0</v>
      </c>
      <c r="AJ300" s="71">
        <v>1</v>
      </c>
      <c r="AK300" s="136"/>
      <c r="AL300" s="136"/>
      <c r="AM300" s="72"/>
      <c r="AN300" s="136"/>
      <c r="AO300" s="72"/>
      <c r="AP300" s="119" t="s">
        <v>58</v>
      </c>
      <c r="AQ300" s="136">
        <v>1</v>
      </c>
      <c r="AR300" s="122">
        <v>0</v>
      </c>
      <c r="AS300" s="123">
        <v>1</v>
      </c>
      <c r="AT300" s="124">
        <v>0</v>
      </c>
      <c r="AU300" s="119"/>
      <c r="AV300" s="136"/>
      <c r="AW300" s="119"/>
      <c r="AX300" s="117" t="s">
        <v>59</v>
      </c>
    </row>
    <row r="301" spans="1:50" s="77" customFormat="1" ht="36" x14ac:dyDescent="0.25">
      <c r="A301" s="310"/>
      <c r="B301" s="115" t="s">
        <v>224</v>
      </c>
      <c r="C301" s="115" t="s">
        <v>309</v>
      </c>
      <c r="D301" s="117" t="s">
        <v>106</v>
      </c>
      <c r="E301" s="117" t="s">
        <v>48</v>
      </c>
      <c r="F301" s="275"/>
      <c r="G301" s="119" t="s">
        <v>312</v>
      </c>
      <c r="H301" s="136">
        <v>20</v>
      </c>
      <c r="I301" s="197">
        <v>0</v>
      </c>
      <c r="J301" s="90">
        <v>0</v>
      </c>
      <c r="K301" s="91">
        <v>0</v>
      </c>
      <c r="L301" s="92">
        <v>0</v>
      </c>
      <c r="M301" s="81">
        <v>0</v>
      </c>
      <c r="N301" s="133">
        <f t="shared" si="385"/>
        <v>0</v>
      </c>
      <c r="O301" s="71">
        <v>20</v>
      </c>
      <c r="P301" s="71"/>
      <c r="Q301" s="136"/>
      <c r="R301" s="119" t="s">
        <v>179</v>
      </c>
      <c r="S301" s="120" t="s">
        <v>310</v>
      </c>
      <c r="T301" s="135" t="s">
        <v>125</v>
      </c>
      <c r="U301" s="136">
        <v>20</v>
      </c>
      <c r="V301" s="197">
        <v>0</v>
      </c>
      <c r="W301" s="90">
        <v>0</v>
      </c>
      <c r="X301" s="91">
        <v>0</v>
      </c>
      <c r="Y301" s="92">
        <v>0</v>
      </c>
      <c r="Z301" s="81">
        <v>0</v>
      </c>
      <c r="AA301" s="133">
        <f t="shared" si="381"/>
        <v>0</v>
      </c>
      <c r="AB301" s="71">
        <v>20</v>
      </c>
      <c r="AC301" s="136">
        <v>1</v>
      </c>
      <c r="AD301" s="197">
        <v>0</v>
      </c>
      <c r="AE301" s="90">
        <v>0</v>
      </c>
      <c r="AF301" s="91">
        <v>0</v>
      </c>
      <c r="AG301" s="92">
        <v>0</v>
      </c>
      <c r="AH301" s="81">
        <v>0</v>
      </c>
      <c r="AI301" s="133">
        <f t="shared" si="383"/>
        <v>0</v>
      </c>
      <c r="AJ301" s="71">
        <v>1</v>
      </c>
      <c r="AK301" s="136"/>
      <c r="AL301" s="136"/>
      <c r="AM301" s="72"/>
      <c r="AN301" s="136"/>
      <c r="AO301" s="72"/>
      <c r="AP301" s="119" t="s">
        <v>58</v>
      </c>
      <c r="AQ301" s="136">
        <v>1</v>
      </c>
      <c r="AR301" s="122">
        <v>0</v>
      </c>
      <c r="AS301" s="123">
        <v>1</v>
      </c>
      <c r="AT301" s="124">
        <v>0</v>
      </c>
      <c r="AU301" s="119"/>
      <c r="AV301" s="136"/>
      <c r="AW301" s="119"/>
      <c r="AX301" s="117" t="s">
        <v>59</v>
      </c>
    </row>
    <row r="302" spans="1:50" s="77" customFormat="1" ht="36" x14ac:dyDescent="0.25">
      <c r="A302" s="310"/>
      <c r="B302" s="115" t="s">
        <v>224</v>
      </c>
      <c r="C302" s="115" t="s">
        <v>309</v>
      </c>
      <c r="D302" s="117" t="s">
        <v>106</v>
      </c>
      <c r="E302" s="117" t="s">
        <v>48</v>
      </c>
      <c r="F302" s="142" t="s">
        <v>61</v>
      </c>
      <c r="G302" s="155"/>
      <c r="H302" s="153">
        <f>SUM(H297:H301)</f>
        <v>130</v>
      </c>
      <c r="I302" s="153">
        <f t="shared" ref="I302" si="413">SUM(I297:I301)</f>
        <v>0</v>
      </c>
      <c r="J302" s="153">
        <f t="shared" ref="J302:O302" si="414">SUM(J297:J301)</f>
        <v>0</v>
      </c>
      <c r="K302" s="153">
        <f t="shared" si="414"/>
        <v>0</v>
      </c>
      <c r="L302" s="153">
        <f t="shared" si="414"/>
        <v>0</v>
      </c>
      <c r="M302" s="153">
        <f t="shared" si="414"/>
        <v>0</v>
      </c>
      <c r="N302" s="153">
        <f t="shared" si="385"/>
        <v>0</v>
      </c>
      <c r="O302" s="153">
        <f t="shared" si="414"/>
        <v>130</v>
      </c>
      <c r="P302" s="153"/>
      <c r="Q302" s="156"/>
      <c r="R302" s="129"/>
      <c r="S302" s="157"/>
      <c r="T302" s="158"/>
      <c r="U302" s="153">
        <f t="shared" ref="U302:AJ302" si="415">SUM(U297:U301)</f>
        <v>130</v>
      </c>
      <c r="V302" s="153">
        <f t="shared" si="415"/>
        <v>0</v>
      </c>
      <c r="W302" s="153">
        <f t="shared" si="415"/>
        <v>0</v>
      </c>
      <c r="X302" s="153">
        <f t="shared" si="415"/>
        <v>0</v>
      </c>
      <c r="Y302" s="153">
        <f t="shared" si="415"/>
        <v>0</v>
      </c>
      <c r="Z302" s="153">
        <f t="shared" si="415"/>
        <v>0</v>
      </c>
      <c r="AA302" s="153">
        <f t="shared" si="381"/>
        <v>0</v>
      </c>
      <c r="AB302" s="153">
        <f t="shared" si="415"/>
        <v>130</v>
      </c>
      <c r="AC302" s="153">
        <f t="shared" si="415"/>
        <v>32</v>
      </c>
      <c r="AD302" s="153">
        <f t="shared" si="415"/>
        <v>0</v>
      </c>
      <c r="AE302" s="153">
        <f t="shared" si="415"/>
        <v>0</v>
      </c>
      <c r="AF302" s="153">
        <f t="shared" si="415"/>
        <v>0</v>
      </c>
      <c r="AG302" s="153">
        <f t="shared" ref="AG302" si="416">SUM(AG297:AG301)</f>
        <v>0</v>
      </c>
      <c r="AH302" s="153">
        <f t="shared" si="415"/>
        <v>0</v>
      </c>
      <c r="AI302" s="153">
        <f t="shared" si="383"/>
        <v>0</v>
      </c>
      <c r="AJ302" s="153">
        <f t="shared" si="415"/>
        <v>32</v>
      </c>
      <c r="AK302" s="156"/>
      <c r="AL302" s="156"/>
      <c r="AM302" s="156"/>
      <c r="AN302" s="156"/>
      <c r="AO302" s="156"/>
      <c r="AP302" s="155"/>
      <c r="AQ302" s="153">
        <f>SUM(AQ297:AQ301)</f>
        <v>32</v>
      </c>
      <c r="AR302" s="153">
        <f>SUM(AR297:AR301)</f>
        <v>0</v>
      </c>
      <c r="AS302" s="153">
        <f>SUM(AS297:AS301)</f>
        <v>32</v>
      </c>
      <c r="AT302" s="153">
        <f>SUM(AT297:AT301)</f>
        <v>0</v>
      </c>
      <c r="AU302" s="129"/>
      <c r="AV302" s="156"/>
      <c r="AW302" s="155"/>
      <c r="AX302" s="155" t="s">
        <v>59</v>
      </c>
    </row>
    <row r="303" spans="1:50" s="77" customFormat="1" ht="56.25" x14ac:dyDescent="0.25">
      <c r="A303" s="310"/>
      <c r="B303" s="115" t="s">
        <v>224</v>
      </c>
      <c r="C303" s="115" t="s">
        <v>313</v>
      </c>
      <c r="D303" s="117" t="s">
        <v>106</v>
      </c>
      <c r="E303" s="117" t="s">
        <v>75</v>
      </c>
      <c r="F303" s="273"/>
      <c r="G303" s="119" t="s">
        <v>227</v>
      </c>
      <c r="H303" s="136">
        <v>5</v>
      </c>
      <c r="I303" s="197">
        <v>0</v>
      </c>
      <c r="J303" s="90">
        <v>0</v>
      </c>
      <c r="K303" s="91">
        <v>0</v>
      </c>
      <c r="L303" s="92">
        <v>0</v>
      </c>
      <c r="M303" s="81">
        <v>0</v>
      </c>
      <c r="N303" s="133">
        <f t="shared" si="385"/>
        <v>0</v>
      </c>
      <c r="O303" s="71">
        <v>5</v>
      </c>
      <c r="P303" s="71"/>
      <c r="Q303" s="136"/>
      <c r="R303" s="119" t="s">
        <v>51</v>
      </c>
      <c r="S303" s="120" t="s">
        <v>314</v>
      </c>
      <c r="T303" s="135" t="s">
        <v>315</v>
      </c>
      <c r="U303" s="136">
        <v>5</v>
      </c>
      <c r="V303" s="197">
        <v>0</v>
      </c>
      <c r="W303" s="90">
        <v>0</v>
      </c>
      <c r="X303" s="91">
        <v>0</v>
      </c>
      <c r="Y303" s="92">
        <v>0</v>
      </c>
      <c r="Z303" s="81">
        <v>0</v>
      </c>
      <c r="AA303" s="133">
        <f t="shared" si="381"/>
        <v>0</v>
      </c>
      <c r="AB303" s="71">
        <v>5</v>
      </c>
      <c r="AC303" s="136">
        <v>1</v>
      </c>
      <c r="AD303" s="197">
        <v>0</v>
      </c>
      <c r="AE303" s="90">
        <v>0</v>
      </c>
      <c r="AF303" s="91">
        <v>0</v>
      </c>
      <c r="AG303" s="92">
        <v>0</v>
      </c>
      <c r="AH303" s="81">
        <v>0</v>
      </c>
      <c r="AI303" s="133">
        <f t="shared" si="383"/>
        <v>0</v>
      </c>
      <c r="AJ303" s="71">
        <v>1</v>
      </c>
      <c r="AK303" s="136"/>
      <c r="AL303" s="136"/>
      <c r="AM303" s="72"/>
      <c r="AN303" s="136"/>
      <c r="AO303" s="72"/>
      <c r="AP303" s="119" t="s">
        <v>58</v>
      </c>
      <c r="AQ303" s="136">
        <v>1</v>
      </c>
      <c r="AR303" s="122">
        <v>0</v>
      </c>
      <c r="AS303" s="123">
        <v>1</v>
      </c>
      <c r="AT303" s="124">
        <v>0</v>
      </c>
      <c r="AU303" s="119"/>
      <c r="AV303" s="136"/>
      <c r="AW303" s="119"/>
      <c r="AX303" s="117" t="s">
        <v>59</v>
      </c>
    </row>
    <row r="304" spans="1:50" s="77" customFormat="1" ht="56.25" x14ac:dyDescent="0.25">
      <c r="A304" s="310"/>
      <c r="B304" s="115" t="s">
        <v>224</v>
      </c>
      <c r="C304" s="115" t="s">
        <v>313</v>
      </c>
      <c r="D304" s="117" t="s">
        <v>106</v>
      </c>
      <c r="E304" s="117" t="s">
        <v>75</v>
      </c>
      <c r="F304" s="274"/>
      <c r="G304" s="119" t="s">
        <v>229</v>
      </c>
      <c r="H304" s="136">
        <v>5</v>
      </c>
      <c r="I304" s="197">
        <v>0</v>
      </c>
      <c r="J304" s="90">
        <v>0</v>
      </c>
      <c r="K304" s="91">
        <v>0</v>
      </c>
      <c r="L304" s="92">
        <v>0</v>
      </c>
      <c r="M304" s="81">
        <v>0</v>
      </c>
      <c r="N304" s="133">
        <f t="shared" si="385"/>
        <v>0</v>
      </c>
      <c r="O304" s="71">
        <v>5</v>
      </c>
      <c r="P304" s="71"/>
      <c r="Q304" s="136"/>
      <c r="R304" s="119" t="s">
        <v>51</v>
      </c>
      <c r="S304" s="120" t="s">
        <v>314</v>
      </c>
      <c r="T304" s="135" t="s">
        <v>315</v>
      </c>
      <c r="U304" s="136">
        <v>5</v>
      </c>
      <c r="V304" s="197">
        <v>0</v>
      </c>
      <c r="W304" s="90">
        <v>0</v>
      </c>
      <c r="X304" s="91">
        <v>0</v>
      </c>
      <c r="Y304" s="92">
        <v>0</v>
      </c>
      <c r="Z304" s="81">
        <v>0</v>
      </c>
      <c r="AA304" s="133">
        <f t="shared" si="381"/>
        <v>0</v>
      </c>
      <c r="AB304" s="71">
        <v>5</v>
      </c>
      <c r="AC304" s="136">
        <v>0</v>
      </c>
      <c r="AD304" s="197">
        <v>0</v>
      </c>
      <c r="AE304" s="90">
        <v>0</v>
      </c>
      <c r="AF304" s="91">
        <v>0</v>
      </c>
      <c r="AG304" s="92">
        <v>0</v>
      </c>
      <c r="AH304" s="81">
        <v>0</v>
      </c>
      <c r="AI304" s="133">
        <f t="shared" si="383"/>
        <v>0</v>
      </c>
      <c r="AJ304" s="71">
        <v>0</v>
      </c>
      <c r="AK304" s="136"/>
      <c r="AL304" s="136"/>
      <c r="AM304" s="72"/>
      <c r="AN304" s="136"/>
      <c r="AO304" s="72"/>
      <c r="AP304" s="119"/>
      <c r="AQ304" s="136"/>
      <c r="AR304" s="122"/>
      <c r="AS304" s="123"/>
      <c r="AT304" s="124"/>
      <c r="AU304" s="119"/>
      <c r="AV304" s="136"/>
      <c r="AW304" s="119"/>
      <c r="AX304" s="117" t="s">
        <v>59</v>
      </c>
    </row>
    <row r="305" spans="1:50" s="77" customFormat="1" ht="56.25" x14ac:dyDescent="0.25">
      <c r="A305" s="310"/>
      <c r="B305" s="115" t="s">
        <v>224</v>
      </c>
      <c r="C305" s="115" t="s">
        <v>313</v>
      </c>
      <c r="D305" s="117" t="s">
        <v>106</v>
      </c>
      <c r="E305" s="117" t="s">
        <v>75</v>
      </c>
      <c r="F305" s="275"/>
      <c r="G305" s="119" t="s">
        <v>234</v>
      </c>
      <c r="H305" s="136">
        <v>5</v>
      </c>
      <c r="I305" s="197">
        <v>0</v>
      </c>
      <c r="J305" s="90">
        <v>0</v>
      </c>
      <c r="K305" s="91">
        <v>0</v>
      </c>
      <c r="L305" s="92">
        <v>0</v>
      </c>
      <c r="M305" s="81">
        <v>0</v>
      </c>
      <c r="N305" s="133">
        <f t="shared" si="385"/>
        <v>0</v>
      </c>
      <c r="O305" s="71">
        <v>5</v>
      </c>
      <c r="P305" s="71"/>
      <c r="Q305" s="136"/>
      <c r="R305" s="119" t="s">
        <v>51</v>
      </c>
      <c r="S305" s="120" t="s">
        <v>314</v>
      </c>
      <c r="T305" s="135" t="s">
        <v>315</v>
      </c>
      <c r="U305" s="136">
        <v>5</v>
      </c>
      <c r="V305" s="197">
        <v>0</v>
      </c>
      <c r="W305" s="90">
        <v>0</v>
      </c>
      <c r="X305" s="91">
        <v>0</v>
      </c>
      <c r="Y305" s="92">
        <v>0</v>
      </c>
      <c r="Z305" s="81">
        <v>0</v>
      </c>
      <c r="AA305" s="133">
        <f t="shared" si="381"/>
        <v>0</v>
      </c>
      <c r="AB305" s="71">
        <v>5</v>
      </c>
      <c r="AC305" s="136">
        <v>0</v>
      </c>
      <c r="AD305" s="197">
        <v>0</v>
      </c>
      <c r="AE305" s="90">
        <v>0</v>
      </c>
      <c r="AF305" s="91">
        <v>0</v>
      </c>
      <c r="AG305" s="92">
        <v>0</v>
      </c>
      <c r="AH305" s="81">
        <v>0</v>
      </c>
      <c r="AI305" s="133">
        <f t="shared" si="383"/>
        <v>0</v>
      </c>
      <c r="AJ305" s="71">
        <v>0</v>
      </c>
      <c r="AK305" s="136"/>
      <c r="AL305" s="136"/>
      <c r="AM305" s="72"/>
      <c r="AN305" s="136"/>
      <c r="AO305" s="72"/>
      <c r="AP305" s="119"/>
      <c r="AQ305" s="136"/>
      <c r="AR305" s="122"/>
      <c r="AS305" s="123"/>
      <c r="AT305" s="124"/>
      <c r="AU305" s="119"/>
      <c r="AV305" s="136"/>
      <c r="AW305" s="119"/>
      <c r="AX305" s="117" t="s">
        <v>59</v>
      </c>
    </row>
    <row r="306" spans="1:50" s="77" customFormat="1" ht="36" x14ac:dyDescent="0.25">
      <c r="A306" s="310"/>
      <c r="B306" s="115" t="s">
        <v>224</v>
      </c>
      <c r="C306" s="115" t="s">
        <v>313</v>
      </c>
      <c r="D306" s="117" t="s">
        <v>106</v>
      </c>
      <c r="E306" s="117" t="s">
        <v>75</v>
      </c>
      <c r="F306" s="142" t="s">
        <v>61</v>
      </c>
      <c r="G306" s="155"/>
      <c r="H306" s="153">
        <f>SUBTOTAL(9,H303:H305)</f>
        <v>15</v>
      </c>
      <c r="I306" s="153">
        <f t="shared" ref="I306" si="417">SUBTOTAL(9,I303:I305)</f>
        <v>0</v>
      </c>
      <c r="J306" s="153">
        <f t="shared" ref="J306:O306" si="418">SUBTOTAL(9,J303:J305)</f>
        <v>0</v>
      </c>
      <c r="K306" s="153">
        <f t="shared" si="418"/>
        <v>0</v>
      </c>
      <c r="L306" s="153">
        <f t="shared" si="418"/>
        <v>0</v>
      </c>
      <c r="M306" s="153">
        <f t="shared" si="418"/>
        <v>0</v>
      </c>
      <c r="N306" s="153">
        <f t="shared" si="385"/>
        <v>0</v>
      </c>
      <c r="O306" s="153">
        <f t="shared" si="418"/>
        <v>15</v>
      </c>
      <c r="P306" s="153"/>
      <c r="Q306" s="156"/>
      <c r="R306" s="129"/>
      <c r="S306" s="157"/>
      <c r="T306" s="158"/>
      <c r="U306" s="153">
        <f>SUBTOTAL(9,U303:U305)</f>
        <v>15</v>
      </c>
      <c r="V306" s="153">
        <f t="shared" ref="V306" si="419">SUBTOTAL(9,V303:V305)</f>
        <v>0</v>
      </c>
      <c r="W306" s="153">
        <f t="shared" ref="W306:AJ306" si="420">SUBTOTAL(9,W303:W305)</f>
        <v>0</v>
      </c>
      <c r="X306" s="153">
        <f t="shared" si="420"/>
        <v>0</v>
      </c>
      <c r="Y306" s="153">
        <f t="shared" si="420"/>
        <v>0</v>
      </c>
      <c r="Z306" s="153">
        <f t="shared" si="420"/>
        <v>0</v>
      </c>
      <c r="AA306" s="153">
        <f t="shared" si="381"/>
        <v>0</v>
      </c>
      <c r="AB306" s="153">
        <f t="shared" si="420"/>
        <v>15</v>
      </c>
      <c r="AC306" s="153">
        <f t="shared" si="420"/>
        <v>1</v>
      </c>
      <c r="AD306" s="153">
        <f t="shared" si="420"/>
        <v>0</v>
      </c>
      <c r="AE306" s="153">
        <f t="shared" si="420"/>
        <v>0</v>
      </c>
      <c r="AF306" s="153">
        <f t="shared" si="420"/>
        <v>0</v>
      </c>
      <c r="AG306" s="153">
        <f t="shared" ref="AG306" si="421">SUBTOTAL(9,AG303:AG305)</f>
        <v>0</v>
      </c>
      <c r="AH306" s="153">
        <f t="shared" si="420"/>
        <v>0</v>
      </c>
      <c r="AI306" s="153">
        <f t="shared" si="383"/>
        <v>0</v>
      </c>
      <c r="AJ306" s="153">
        <f t="shared" si="420"/>
        <v>1</v>
      </c>
      <c r="AK306" s="156"/>
      <c r="AL306" s="156"/>
      <c r="AM306" s="156"/>
      <c r="AN306" s="156"/>
      <c r="AO306" s="156"/>
      <c r="AP306" s="155"/>
      <c r="AQ306" s="153">
        <f>SUBTOTAL(9,AQ303:AQ305)</f>
        <v>1</v>
      </c>
      <c r="AR306" s="153">
        <f t="shared" ref="AR306:AT306" si="422">SUBTOTAL(9,AR303:AR305)</f>
        <v>0</v>
      </c>
      <c r="AS306" s="153">
        <f t="shared" si="422"/>
        <v>1</v>
      </c>
      <c r="AT306" s="153">
        <f t="shared" si="422"/>
        <v>0</v>
      </c>
      <c r="AU306" s="129"/>
      <c r="AV306" s="156"/>
      <c r="AW306" s="155"/>
      <c r="AX306" s="155"/>
    </row>
    <row r="307" spans="1:50" s="77" customFormat="1" ht="72" x14ac:dyDescent="0.25">
      <c r="A307" s="310"/>
      <c r="B307" s="115" t="s">
        <v>224</v>
      </c>
      <c r="C307" s="115" t="s">
        <v>121</v>
      </c>
      <c r="D307" s="117" t="s">
        <v>106</v>
      </c>
      <c r="E307" s="117" t="s">
        <v>48</v>
      </c>
      <c r="F307" s="272" t="s">
        <v>49</v>
      </c>
      <c r="G307" s="119" t="s">
        <v>178</v>
      </c>
      <c r="H307" s="136">
        <v>150</v>
      </c>
      <c r="I307" s="197">
        <v>0</v>
      </c>
      <c r="J307" s="90">
        <v>55</v>
      </c>
      <c r="K307" s="91">
        <v>19</v>
      </c>
      <c r="L307" s="92">
        <v>4</v>
      </c>
      <c r="M307" s="81">
        <v>0</v>
      </c>
      <c r="N307" s="133">
        <f t="shared" si="385"/>
        <v>78</v>
      </c>
      <c r="O307" s="71">
        <v>120</v>
      </c>
      <c r="P307" s="71"/>
      <c r="Q307" s="136"/>
      <c r="R307" s="119" t="s">
        <v>51</v>
      </c>
      <c r="S307" s="120" t="s">
        <v>316</v>
      </c>
      <c r="T307" s="135" t="s">
        <v>77</v>
      </c>
      <c r="U307" s="136">
        <v>300</v>
      </c>
      <c r="V307" s="197">
        <v>0</v>
      </c>
      <c r="W307" s="90">
        <v>55</v>
      </c>
      <c r="X307" s="91">
        <v>19</v>
      </c>
      <c r="Y307" s="92">
        <v>4</v>
      </c>
      <c r="Z307" s="81">
        <v>0</v>
      </c>
      <c r="AA307" s="133">
        <f t="shared" si="381"/>
        <v>78</v>
      </c>
      <c r="AB307" s="71">
        <f>U307/4*3</f>
        <v>225</v>
      </c>
      <c r="AC307" s="136">
        <v>5</v>
      </c>
      <c r="AD307" s="197">
        <v>0</v>
      </c>
      <c r="AE307" s="90">
        <v>0</v>
      </c>
      <c r="AF307" s="91">
        <v>0</v>
      </c>
      <c r="AG307" s="92">
        <v>0</v>
      </c>
      <c r="AH307" s="81">
        <v>0</v>
      </c>
      <c r="AI307" s="133">
        <f t="shared" si="383"/>
        <v>0</v>
      </c>
      <c r="AJ307" s="71">
        <v>5</v>
      </c>
      <c r="AK307" s="136"/>
      <c r="AL307" s="119"/>
      <c r="AM307" s="72"/>
      <c r="AN307" s="136"/>
      <c r="AO307" s="72"/>
      <c r="AP307" s="119" t="s">
        <v>58</v>
      </c>
      <c r="AQ307" s="136">
        <v>5</v>
      </c>
      <c r="AR307" s="122">
        <v>0</v>
      </c>
      <c r="AS307" s="123">
        <v>5</v>
      </c>
      <c r="AT307" s="124">
        <v>0</v>
      </c>
      <c r="AU307" s="119"/>
      <c r="AV307" s="136"/>
      <c r="AW307" s="119"/>
      <c r="AX307" s="117" t="s">
        <v>108</v>
      </c>
    </row>
    <row r="308" spans="1:50" s="77" customFormat="1" ht="72" x14ac:dyDescent="0.25">
      <c r="A308" s="310"/>
      <c r="B308" s="115" t="s">
        <v>224</v>
      </c>
      <c r="C308" s="115" t="s">
        <v>121</v>
      </c>
      <c r="D308" s="117" t="s">
        <v>106</v>
      </c>
      <c r="E308" s="117" t="s">
        <v>48</v>
      </c>
      <c r="F308" s="272"/>
      <c r="G308" s="119" t="s">
        <v>227</v>
      </c>
      <c r="H308" s="136">
        <v>150</v>
      </c>
      <c r="I308" s="197">
        <v>0</v>
      </c>
      <c r="J308" s="90">
        <v>10</v>
      </c>
      <c r="K308" s="91">
        <v>11</v>
      </c>
      <c r="L308" s="92">
        <v>0</v>
      </c>
      <c r="M308" s="81">
        <v>0</v>
      </c>
      <c r="N308" s="133">
        <f t="shared" si="385"/>
        <v>21</v>
      </c>
      <c r="O308" s="71">
        <v>120</v>
      </c>
      <c r="P308" s="71"/>
      <c r="Q308" s="136"/>
      <c r="R308" s="119" t="s">
        <v>51</v>
      </c>
      <c r="S308" s="120" t="s">
        <v>316</v>
      </c>
      <c r="T308" s="135" t="s">
        <v>77</v>
      </c>
      <c r="U308" s="136">
        <v>160</v>
      </c>
      <c r="V308" s="197">
        <v>0</v>
      </c>
      <c r="W308" s="90">
        <v>10</v>
      </c>
      <c r="X308" s="91">
        <v>11</v>
      </c>
      <c r="Y308" s="92">
        <v>0</v>
      </c>
      <c r="Z308" s="81">
        <v>0</v>
      </c>
      <c r="AA308" s="133">
        <f t="shared" si="381"/>
        <v>21</v>
      </c>
      <c r="AB308" s="71">
        <f>U308/4*3</f>
        <v>120</v>
      </c>
      <c r="AC308" s="136">
        <v>0</v>
      </c>
      <c r="AD308" s="197">
        <v>0</v>
      </c>
      <c r="AE308" s="90">
        <v>0</v>
      </c>
      <c r="AF308" s="91">
        <v>0</v>
      </c>
      <c r="AG308" s="92">
        <v>0</v>
      </c>
      <c r="AH308" s="81">
        <v>0</v>
      </c>
      <c r="AI308" s="133">
        <f t="shared" si="383"/>
        <v>0</v>
      </c>
      <c r="AJ308" s="71">
        <f>AC308/4*3</f>
        <v>0</v>
      </c>
      <c r="AK308" s="136"/>
      <c r="AL308" s="136"/>
      <c r="AM308" s="72"/>
      <c r="AN308" s="136"/>
      <c r="AO308" s="72"/>
      <c r="AP308" s="119"/>
      <c r="AQ308" s="136">
        <v>0</v>
      </c>
      <c r="AR308" s="122">
        <v>0</v>
      </c>
      <c r="AS308" s="123">
        <f>AQ308/4*3</f>
        <v>0</v>
      </c>
      <c r="AT308" s="124">
        <v>0</v>
      </c>
      <c r="AU308" s="119"/>
      <c r="AV308" s="136"/>
      <c r="AW308" s="119"/>
      <c r="AX308" s="117" t="s">
        <v>108</v>
      </c>
    </row>
    <row r="309" spans="1:50" s="77" customFormat="1" ht="72" x14ac:dyDescent="0.25">
      <c r="A309" s="310"/>
      <c r="B309" s="115" t="s">
        <v>224</v>
      </c>
      <c r="C309" s="115" t="s">
        <v>121</v>
      </c>
      <c r="D309" s="117" t="s">
        <v>106</v>
      </c>
      <c r="E309" s="117" t="s">
        <v>48</v>
      </c>
      <c r="F309" s="272"/>
      <c r="G309" s="119" t="s">
        <v>228</v>
      </c>
      <c r="H309" s="136">
        <v>150</v>
      </c>
      <c r="I309" s="197">
        <v>0</v>
      </c>
      <c r="J309" s="90">
        <v>10</v>
      </c>
      <c r="K309" s="91">
        <v>11</v>
      </c>
      <c r="L309" s="92">
        <v>4</v>
      </c>
      <c r="M309" s="81">
        <v>5</v>
      </c>
      <c r="N309" s="133">
        <f t="shared" si="385"/>
        <v>30</v>
      </c>
      <c r="O309" s="71">
        <v>120</v>
      </c>
      <c r="P309" s="71"/>
      <c r="Q309" s="136"/>
      <c r="R309" s="119" t="s">
        <v>51</v>
      </c>
      <c r="S309" s="120" t="s">
        <v>316</v>
      </c>
      <c r="T309" s="135" t="s">
        <v>77</v>
      </c>
      <c r="U309" s="136">
        <v>150</v>
      </c>
      <c r="V309" s="197">
        <v>0</v>
      </c>
      <c r="W309" s="90">
        <v>10</v>
      </c>
      <c r="X309" s="91">
        <v>11</v>
      </c>
      <c r="Y309" s="92">
        <v>4</v>
      </c>
      <c r="Z309" s="81">
        <v>5</v>
      </c>
      <c r="AA309" s="133">
        <f t="shared" si="381"/>
        <v>30</v>
      </c>
      <c r="AB309" s="71">
        <v>120</v>
      </c>
      <c r="AC309" s="136">
        <v>0</v>
      </c>
      <c r="AD309" s="197">
        <v>0</v>
      </c>
      <c r="AE309" s="90">
        <v>0</v>
      </c>
      <c r="AF309" s="91">
        <v>0</v>
      </c>
      <c r="AG309" s="92">
        <v>0</v>
      </c>
      <c r="AH309" s="81">
        <v>0</v>
      </c>
      <c r="AI309" s="133">
        <f t="shared" si="383"/>
        <v>0</v>
      </c>
      <c r="AJ309" s="71">
        <f>AC309/4*3</f>
        <v>0</v>
      </c>
      <c r="AK309" s="136"/>
      <c r="AL309" s="136"/>
      <c r="AM309" s="72"/>
      <c r="AN309" s="136"/>
      <c r="AO309" s="72"/>
      <c r="AP309" s="119"/>
      <c r="AQ309" s="136"/>
      <c r="AR309" s="122">
        <v>0</v>
      </c>
      <c r="AS309" s="123">
        <v>0</v>
      </c>
      <c r="AT309" s="124">
        <v>0</v>
      </c>
      <c r="AU309" s="119"/>
      <c r="AV309" s="136"/>
      <c r="AW309" s="119"/>
      <c r="AX309" s="117" t="s">
        <v>108</v>
      </c>
    </row>
    <row r="310" spans="1:50" s="77" customFormat="1" ht="36" x14ac:dyDescent="0.25">
      <c r="A310" s="310"/>
      <c r="B310" s="115" t="s">
        <v>224</v>
      </c>
      <c r="C310" s="115" t="s">
        <v>121</v>
      </c>
      <c r="D310" s="117" t="s">
        <v>106</v>
      </c>
      <c r="E310" s="117" t="s">
        <v>48</v>
      </c>
      <c r="F310" s="142" t="s">
        <v>61</v>
      </c>
      <c r="G310" s="155"/>
      <c r="H310" s="153">
        <f t="shared" ref="H310:O310" si="423">SUM(H307:H309)</f>
        <v>450</v>
      </c>
      <c r="I310" s="153">
        <f t="shared" si="423"/>
        <v>0</v>
      </c>
      <c r="J310" s="153">
        <f t="shared" si="423"/>
        <v>75</v>
      </c>
      <c r="K310" s="153">
        <f t="shared" si="423"/>
        <v>41</v>
      </c>
      <c r="L310" s="153">
        <f t="shared" si="423"/>
        <v>8</v>
      </c>
      <c r="M310" s="153">
        <f t="shared" si="423"/>
        <v>5</v>
      </c>
      <c r="N310" s="153">
        <f t="shared" si="385"/>
        <v>129</v>
      </c>
      <c r="O310" s="153">
        <f t="shared" si="423"/>
        <v>360</v>
      </c>
      <c r="P310" s="153"/>
      <c r="Q310" s="156"/>
      <c r="R310" s="129"/>
      <c r="S310" s="157"/>
      <c r="T310" s="158"/>
      <c r="U310" s="153">
        <f t="shared" ref="U310:AJ310" si="424">SUM(U307:U309)</f>
        <v>610</v>
      </c>
      <c r="V310" s="153">
        <f t="shared" si="424"/>
        <v>0</v>
      </c>
      <c r="W310" s="153">
        <f t="shared" si="424"/>
        <v>75</v>
      </c>
      <c r="X310" s="153">
        <f t="shared" si="424"/>
        <v>41</v>
      </c>
      <c r="Y310" s="153">
        <f t="shared" ref="Y310" si="425">SUM(Y307:Y309)</f>
        <v>8</v>
      </c>
      <c r="Z310" s="153">
        <f t="shared" si="424"/>
        <v>5</v>
      </c>
      <c r="AA310" s="153">
        <f t="shared" si="381"/>
        <v>129</v>
      </c>
      <c r="AB310" s="153">
        <f t="shared" si="424"/>
        <v>465</v>
      </c>
      <c r="AC310" s="153">
        <f t="shared" si="424"/>
        <v>5</v>
      </c>
      <c r="AD310" s="153">
        <f t="shared" si="424"/>
        <v>0</v>
      </c>
      <c r="AE310" s="153">
        <f t="shared" si="424"/>
        <v>0</v>
      </c>
      <c r="AF310" s="153">
        <f t="shared" si="424"/>
        <v>0</v>
      </c>
      <c r="AG310" s="153">
        <f t="shared" ref="AG310" si="426">SUM(AG307:AG309)</f>
        <v>0</v>
      </c>
      <c r="AH310" s="153">
        <f t="shared" si="424"/>
        <v>0</v>
      </c>
      <c r="AI310" s="153">
        <f t="shared" si="383"/>
        <v>0</v>
      </c>
      <c r="AJ310" s="153">
        <f t="shared" si="424"/>
        <v>5</v>
      </c>
      <c r="AK310" s="156"/>
      <c r="AL310" s="156"/>
      <c r="AM310" s="156"/>
      <c r="AN310" s="156"/>
      <c r="AO310" s="156"/>
      <c r="AP310" s="155"/>
      <c r="AQ310" s="153">
        <f>SUM(AQ307:AQ309)</f>
        <v>5</v>
      </c>
      <c r="AR310" s="153">
        <f>SUM(AR307:AR309)</f>
        <v>0</v>
      </c>
      <c r="AS310" s="153">
        <f>SUM(AS307:AS309)</f>
        <v>5</v>
      </c>
      <c r="AT310" s="153">
        <f>SUM(AT307:AT309)</f>
        <v>0</v>
      </c>
      <c r="AU310" s="129"/>
      <c r="AV310" s="156"/>
      <c r="AW310" s="155"/>
      <c r="AX310" s="155" t="s">
        <v>108</v>
      </c>
    </row>
    <row r="311" spans="1:50" s="77" customFormat="1" ht="72" x14ac:dyDescent="0.25">
      <c r="A311" s="310"/>
      <c r="B311" s="115" t="s">
        <v>224</v>
      </c>
      <c r="C311" s="115" t="s">
        <v>317</v>
      </c>
      <c r="D311" s="117" t="s">
        <v>106</v>
      </c>
      <c r="E311" s="117" t="s">
        <v>75</v>
      </c>
      <c r="F311" s="273" t="s">
        <v>49</v>
      </c>
      <c r="G311" s="119" t="s">
        <v>237</v>
      </c>
      <c r="H311" s="136">
        <v>5</v>
      </c>
      <c r="I311" s="197">
        <v>0</v>
      </c>
      <c r="J311" s="90">
        <v>0</v>
      </c>
      <c r="K311" s="91">
        <v>4</v>
      </c>
      <c r="L311" s="92">
        <v>0</v>
      </c>
      <c r="M311" s="81">
        <v>0</v>
      </c>
      <c r="N311" s="133">
        <f t="shared" si="385"/>
        <v>4</v>
      </c>
      <c r="O311" s="71">
        <v>5</v>
      </c>
      <c r="P311" s="71"/>
      <c r="Q311" s="136"/>
      <c r="R311" s="119" t="s">
        <v>51</v>
      </c>
      <c r="S311" s="120" t="s">
        <v>318</v>
      </c>
      <c r="T311" s="135" t="s">
        <v>77</v>
      </c>
      <c r="U311" s="136">
        <v>5</v>
      </c>
      <c r="V311" s="197">
        <v>0</v>
      </c>
      <c r="W311" s="90">
        <v>0</v>
      </c>
      <c r="X311" s="91">
        <v>4</v>
      </c>
      <c r="Y311" s="92">
        <v>0</v>
      </c>
      <c r="Z311" s="81">
        <v>0</v>
      </c>
      <c r="AA311" s="133">
        <f t="shared" si="381"/>
        <v>4</v>
      </c>
      <c r="AB311" s="71">
        <v>5</v>
      </c>
      <c r="AC311" s="136">
        <v>1</v>
      </c>
      <c r="AD311" s="197">
        <v>0</v>
      </c>
      <c r="AE311" s="90">
        <v>0</v>
      </c>
      <c r="AF311" s="91">
        <v>0</v>
      </c>
      <c r="AG311" s="92">
        <v>0</v>
      </c>
      <c r="AH311" s="81">
        <v>0</v>
      </c>
      <c r="AI311" s="133">
        <f t="shared" si="383"/>
        <v>0</v>
      </c>
      <c r="AJ311" s="71">
        <v>1</v>
      </c>
      <c r="AK311" s="136"/>
      <c r="AL311" s="136"/>
      <c r="AM311" s="72"/>
      <c r="AN311" s="136"/>
      <c r="AO311" s="72"/>
      <c r="AP311" s="119" t="s">
        <v>58</v>
      </c>
      <c r="AQ311" s="136">
        <v>1</v>
      </c>
      <c r="AR311" s="122">
        <v>0</v>
      </c>
      <c r="AS311" s="123">
        <v>0</v>
      </c>
      <c r="AT311" s="124">
        <v>0</v>
      </c>
      <c r="AU311" s="119"/>
      <c r="AV311" s="136"/>
      <c r="AW311" s="119"/>
      <c r="AX311" s="117" t="s">
        <v>108</v>
      </c>
    </row>
    <row r="312" spans="1:50" s="77" customFormat="1" ht="72" x14ac:dyDescent="0.25">
      <c r="A312" s="310"/>
      <c r="B312" s="115" t="s">
        <v>224</v>
      </c>
      <c r="C312" s="115" t="s">
        <v>317</v>
      </c>
      <c r="D312" s="117" t="s">
        <v>106</v>
      </c>
      <c r="E312" s="117" t="s">
        <v>75</v>
      </c>
      <c r="F312" s="274"/>
      <c r="G312" s="119" t="s">
        <v>227</v>
      </c>
      <c r="H312" s="136">
        <v>5</v>
      </c>
      <c r="I312" s="197">
        <v>0</v>
      </c>
      <c r="J312" s="90">
        <v>0</v>
      </c>
      <c r="K312" s="91">
        <v>0</v>
      </c>
      <c r="L312" s="92">
        <v>0</v>
      </c>
      <c r="M312" s="81">
        <v>0</v>
      </c>
      <c r="N312" s="133">
        <f t="shared" si="385"/>
        <v>0</v>
      </c>
      <c r="O312" s="71">
        <v>5</v>
      </c>
      <c r="P312" s="71"/>
      <c r="Q312" s="136"/>
      <c r="R312" s="119" t="s">
        <v>51</v>
      </c>
      <c r="S312" s="120" t="s">
        <v>318</v>
      </c>
      <c r="T312" s="135" t="s">
        <v>77</v>
      </c>
      <c r="U312" s="136">
        <v>5</v>
      </c>
      <c r="V312" s="197">
        <v>0</v>
      </c>
      <c r="W312" s="90">
        <v>0</v>
      </c>
      <c r="X312" s="91">
        <v>0</v>
      </c>
      <c r="Y312" s="92">
        <v>0</v>
      </c>
      <c r="Z312" s="81">
        <v>0</v>
      </c>
      <c r="AA312" s="133">
        <f t="shared" si="381"/>
        <v>0</v>
      </c>
      <c r="AB312" s="71">
        <v>5</v>
      </c>
      <c r="AC312" s="136">
        <v>0</v>
      </c>
      <c r="AD312" s="197">
        <v>0</v>
      </c>
      <c r="AE312" s="90">
        <v>0</v>
      </c>
      <c r="AF312" s="91">
        <v>0</v>
      </c>
      <c r="AG312" s="92">
        <v>0</v>
      </c>
      <c r="AH312" s="81">
        <v>0</v>
      </c>
      <c r="AI312" s="133">
        <f t="shared" si="383"/>
        <v>0</v>
      </c>
      <c r="AJ312" s="71">
        <v>0</v>
      </c>
      <c r="AK312" s="136"/>
      <c r="AL312" s="136"/>
      <c r="AM312" s="72"/>
      <c r="AN312" s="136"/>
      <c r="AO312" s="72"/>
      <c r="AP312" s="119"/>
      <c r="AQ312" s="136"/>
      <c r="AR312" s="122"/>
      <c r="AS312" s="123"/>
      <c r="AT312" s="124"/>
      <c r="AU312" s="119"/>
      <c r="AV312" s="136"/>
      <c r="AW312" s="119"/>
      <c r="AX312" s="117" t="s">
        <v>108</v>
      </c>
    </row>
    <row r="313" spans="1:50" s="77" customFormat="1" ht="72" x14ac:dyDescent="0.25">
      <c r="A313" s="310"/>
      <c r="B313" s="115" t="s">
        <v>224</v>
      </c>
      <c r="C313" s="115" t="s">
        <v>317</v>
      </c>
      <c r="D313" s="117" t="s">
        <v>106</v>
      </c>
      <c r="E313" s="117" t="s">
        <v>75</v>
      </c>
      <c r="F313" s="274"/>
      <c r="G313" s="119" t="s">
        <v>228</v>
      </c>
      <c r="H313" s="136">
        <v>5</v>
      </c>
      <c r="I313" s="197">
        <v>0</v>
      </c>
      <c r="J313" s="90">
        <v>0</v>
      </c>
      <c r="K313" s="91">
        <v>0</v>
      </c>
      <c r="L313" s="92">
        <v>0</v>
      </c>
      <c r="M313" s="81">
        <v>0</v>
      </c>
      <c r="N313" s="133">
        <f t="shared" si="385"/>
        <v>0</v>
      </c>
      <c r="O313" s="71">
        <v>5</v>
      </c>
      <c r="P313" s="71"/>
      <c r="Q313" s="136"/>
      <c r="R313" s="119" t="s">
        <v>51</v>
      </c>
      <c r="S313" s="120" t="s">
        <v>318</v>
      </c>
      <c r="T313" s="135" t="s">
        <v>77</v>
      </c>
      <c r="U313" s="136">
        <v>5</v>
      </c>
      <c r="V313" s="197">
        <v>0</v>
      </c>
      <c r="W313" s="90">
        <v>0</v>
      </c>
      <c r="X313" s="91">
        <v>0</v>
      </c>
      <c r="Y313" s="92">
        <v>0</v>
      </c>
      <c r="Z313" s="81">
        <v>0</v>
      </c>
      <c r="AA313" s="133">
        <f t="shared" si="381"/>
        <v>0</v>
      </c>
      <c r="AB313" s="71">
        <v>5</v>
      </c>
      <c r="AC313" s="136">
        <v>0</v>
      </c>
      <c r="AD313" s="197">
        <v>0</v>
      </c>
      <c r="AE313" s="90">
        <v>0</v>
      </c>
      <c r="AF313" s="91">
        <v>0</v>
      </c>
      <c r="AG313" s="92">
        <v>0</v>
      </c>
      <c r="AH313" s="81">
        <v>0</v>
      </c>
      <c r="AI313" s="133">
        <f t="shared" si="383"/>
        <v>0</v>
      </c>
      <c r="AJ313" s="71">
        <v>0</v>
      </c>
      <c r="AK313" s="136"/>
      <c r="AL313" s="136"/>
      <c r="AM313" s="72"/>
      <c r="AN313" s="136"/>
      <c r="AO313" s="72"/>
      <c r="AP313" s="119"/>
      <c r="AQ313" s="136"/>
      <c r="AR313" s="122"/>
      <c r="AS313" s="123"/>
      <c r="AT313" s="124"/>
      <c r="AU313" s="119"/>
      <c r="AV313" s="136"/>
      <c r="AW313" s="119"/>
      <c r="AX313" s="117" t="s">
        <v>108</v>
      </c>
    </row>
    <row r="314" spans="1:50" s="77" customFormat="1" ht="72" x14ac:dyDescent="0.25">
      <c r="A314" s="310"/>
      <c r="B314" s="115" t="s">
        <v>224</v>
      </c>
      <c r="C314" s="115" t="s">
        <v>317</v>
      </c>
      <c r="D314" s="117" t="s">
        <v>106</v>
      </c>
      <c r="E314" s="117" t="s">
        <v>75</v>
      </c>
      <c r="F314" s="274"/>
      <c r="G314" s="119" t="s">
        <v>319</v>
      </c>
      <c r="H314" s="136">
        <v>5</v>
      </c>
      <c r="I314" s="197">
        <v>0</v>
      </c>
      <c r="J314" s="90">
        <v>0</v>
      </c>
      <c r="K314" s="91">
        <v>0</v>
      </c>
      <c r="L314" s="92">
        <v>0</v>
      </c>
      <c r="M314" s="81">
        <v>0</v>
      </c>
      <c r="N314" s="133">
        <f t="shared" si="385"/>
        <v>0</v>
      </c>
      <c r="O314" s="71">
        <v>5</v>
      </c>
      <c r="P314" s="71"/>
      <c r="Q314" s="136"/>
      <c r="R314" s="119" t="s">
        <v>306</v>
      </c>
      <c r="S314" s="120" t="s">
        <v>318</v>
      </c>
      <c r="T314" s="135" t="s">
        <v>77</v>
      </c>
      <c r="U314" s="136">
        <v>5</v>
      </c>
      <c r="V314" s="197">
        <v>0</v>
      </c>
      <c r="W314" s="90">
        <v>0</v>
      </c>
      <c r="X314" s="91">
        <v>0</v>
      </c>
      <c r="Y314" s="92">
        <v>0</v>
      </c>
      <c r="Z314" s="81">
        <v>0</v>
      </c>
      <c r="AA314" s="133">
        <f t="shared" si="381"/>
        <v>0</v>
      </c>
      <c r="AB314" s="71">
        <v>5</v>
      </c>
      <c r="AC314" s="136">
        <v>0</v>
      </c>
      <c r="AD314" s="197">
        <v>0</v>
      </c>
      <c r="AE314" s="90">
        <v>0</v>
      </c>
      <c r="AF314" s="91">
        <v>0</v>
      </c>
      <c r="AG314" s="92">
        <v>0</v>
      </c>
      <c r="AH314" s="81">
        <v>0</v>
      </c>
      <c r="AI314" s="133">
        <f t="shared" si="383"/>
        <v>0</v>
      </c>
      <c r="AJ314" s="71">
        <v>0</v>
      </c>
      <c r="AK314" s="136"/>
      <c r="AL314" s="136"/>
      <c r="AM314" s="72"/>
      <c r="AN314" s="136"/>
      <c r="AO314" s="72"/>
      <c r="AP314" s="119"/>
      <c r="AQ314" s="136"/>
      <c r="AR314" s="122"/>
      <c r="AS314" s="123"/>
      <c r="AT314" s="124"/>
      <c r="AU314" s="119"/>
      <c r="AV314" s="136"/>
      <c r="AW314" s="119"/>
      <c r="AX314" s="117" t="s">
        <v>108</v>
      </c>
    </row>
    <row r="315" spans="1:50" s="77" customFormat="1" ht="72" x14ac:dyDescent="0.25">
      <c r="A315" s="310"/>
      <c r="B315" s="115" t="s">
        <v>224</v>
      </c>
      <c r="C315" s="115" t="s">
        <v>317</v>
      </c>
      <c r="D315" s="117" t="s">
        <v>106</v>
      </c>
      <c r="E315" s="117" t="s">
        <v>75</v>
      </c>
      <c r="F315" s="274"/>
      <c r="G315" s="119" t="s">
        <v>320</v>
      </c>
      <c r="H315" s="136">
        <v>5</v>
      </c>
      <c r="I315" s="197">
        <v>0</v>
      </c>
      <c r="J315" s="90">
        <v>0</v>
      </c>
      <c r="K315" s="91">
        <v>0</v>
      </c>
      <c r="L315" s="92">
        <v>0</v>
      </c>
      <c r="M315" s="81">
        <v>0</v>
      </c>
      <c r="N315" s="133">
        <f t="shared" si="385"/>
        <v>0</v>
      </c>
      <c r="O315" s="71">
        <v>5</v>
      </c>
      <c r="P315" s="71"/>
      <c r="Q315" s="136"/>
      <c r="R315" s="119" t="s">
        <v>306</v>
      </c>
      <c r="S315" s="120" t="s">
        <v>318</v>
      </c>
      <c r="T315" s="135" t="s">
        <v>77</v>
      </c>
      <c r="U315" s="136">
        <v>5</v>
      </c>
      <c r="V315" s="197">
        <v>0</v>
      </c>
      <c r="W315" s="90">
        <v>0</v>
      </c>
      <c r="X315" s="91">
        <v>0</v>
      </c>
      <c r="Y315" s="92">
        <v>0</v>
      </c>
      <c r="Z315" s="81">
        <v>0</v>
      </c>
      <c r="AA315" s="133">
        <f t="shared" si="381"/>
        <v>0</v>
      </c>
      <c r="AB315" s="71">
        <v>5</v>
      </c>
      <c r="AC315" s="136">
        <v>0</v>
      </c>
      <c r="AD315" s="197">
        <v>0</v>
      </c>
      <c r="AE315" s="90">
        <v>0</v>
      </c>
      <c r="AF315" s="91">
        <v>0</v>
      </c>
      <c r="AG315" s="92">
        <v>0</v>
      </c>
      <c r="AH315" s="81">
        <v>0</v>
      </c>
      <c r="AI315" s="133">
        <f t="shared" si="383"/>
        <v>0</v>
      </c>
      <c r="AJ315" s="71">
        <v>0</v>
      </c>
      <c r="AK315" s="136"/>
      <c r="AL315" s="136"/>
      <c r="AM315" s="72"/>
      <c r="AN315" s="136"/>
      <c r="AO315" s="72"/>
      <c r="AP315" s="119"/>
      <c r="AQ315" s="136"/>
      <c r="AR315" s="122"/>
      <c r="AS315" s="123"/>
      <c r="AT315" s="124"/>
      <c r="AU315" s="119"/>
      <c r="AV315" s="136"/>
      <c r="AW315" s="119"/>
      <c r="AX315" s="117" t="s">
        <v>108</v>
      </c>
    </row>
    <row r="316" spans="1:50" s="77" customFormat="1" ht="36" x14ac:dyDescent="0.25">
      <c r="A316" s="310"/>
      <c r="B316" s="115" t="s">
        <v>224</v>
      </c>
      <c r="C316" s="115" t="s">
        <v>317</v>
      </c>
      <c r="D316" s="117" t="s">
        <v>106</v>
      </c>
      <c r="E316" s="117" t="s">
        <v>75</v>
      </c>
      <c r="F316" s="142" t="s">
        <v>61</v>
      </c>
      <c r="G316" s="155"/>
      <c r="H316" s="153">
        <f>SUBTOTAL(9,H311:H315)</f>
        <v>25</v>
      </c>
      <c r="I316" s="153">
        <f t="shared" ref="I316" si="427">SUBTOTAL(9,I311:I315)</f>
        <v>0</v>
      </c>
      <c r="J316" s="153">
        <f t="shared" ref="J316:O316" si="428">SUBTOTAL(9,J311:J315)</f>
        <v>0</v>
      </c>
      <c r="K316" s="153">
        <f t="shared" si="428"/>
        <v>4</v>
      </c>
      <c r="L316" s="153">
        <f t="shared" si="428"/>
        <v>0</v>
      </c>
      <c r="M316" s="153">
        <f t="shared" si="428"/>
        <v>0</v>
      </c>
      <c r="N316" s="153">
        <f t="shared" si="385"/>
        <v>4</v>
      </c>
      <c r="O316" s="153">
        <f t="shared" si="428"/>
        <v>25</v>
      </c>
      <c r="P316" s="153"/>
      <c r="Q316" s="156"/>
      <c r="R316" s="129"/>
      <c r="S316" s="157"/>
      <c r="T316" s="158"/>
      <c r="U316" s="153">
        <f>SUBTOTAL(9,U311:U315)</f>
        <v>25</v>
      </c>
      <c r="V316" s="153">
        <f t="shared" ref="V316" si="429">SUBTOTAL(9,V311:V315)</f>
        <v>0</v>
      </c>
      <c r="W316" s="153">
        <f t="shared" ref="W316:AJ316" si="430">SUBTOTAL(9,W311:W315)</f>
        <v>0</v>
      </c>
      <c r="X316" s="153">
        <f t="shared" si="430"/>
        <v>4</v>
      </c>
      <c r="Y316" s="153">
        <f t="shared" si="430"/>
        <v>0</v>
      </c>
      <c r="Z316" s="153">
        <f t="shared" si="430"/>
        <v>0</v>
      </c>
      <c r="AA316" s="153">
        <f t="shared" si="381"/>
        <v>4</v>
      </c>
      <c r="AB316" s="153">
        <f t="shared" si="430"/>
        <v>25</v>
      </c>
      <c r="AC316" s="153">
        <f t="shared" si="430"/>
        <v>1</v>
      </c>
      <c r="AD316" s="153">
        <f t="shared" si="430"/>
        <v>0</v>
      </c>
      <c r="AE316" s="153">
        <f t="shared" si="430"/>
        <v>0</v>
      </c>
      <c r="AF316" s="153">
        <f t="shared" si="430"/>
        <v>0</v>
      </c>
      <c r="AG316" s="153">
        <f t="shared" ref="AG316" si="431">SUBTOTAL(9,AG311:AG315)</f>
        <v>0</v>
      </c>
      <c r="AH316" s="153">
        <f t="shared" si="430"/>
        <v>0</v>
      </c>
      <c r="AI316" s="153">
        <f t="shared" si="383"/>
        <v>0</v>
      </c>
      <c r="AJ316" s="153">
        <f t="shared" si="430"/>
        <v>1</v>
      </c>
      <c r="AK316" s="156"/>
      <c r="AL316" s="156"/>
      <c r="AM316" s="156"/>
      <c r="AN316" s="156"/>
      <c r="AO316" s="156"/>
      <c r="AP316" s="155"/>
      <c r="AQ316" s="153">
        <f>SUBTOTAL(9,AQ311:AQ315)</f>
        <v>1</v>
      </c>
      <c r="AR316" s="153">
        <f t="shared" ref="AR316:AT316" si="432">SUBTOTAL(9,AR311:AR315)</f>
        <v>0</v>
      </c>
      <c r="AS316" s="153">
        <f t="shared" si="432"/>
        <v>0</v>
      </c>
      <c r="AT316" s="153">
        <f t="shared" si="432"/>
        <v>0</v>
      </c>
      <c r="AU316" s="129"/>
      <c r="AV316" s="156"/>
      <c r="AW316" s="155"/>
      <c r="AX316" s="155" t="s">
        <v>108</v>
      </c>
    </row>
    <row r="317" spans="1:50" s="77" customFormat="1" ht="36" x14ac:dyDescent="0.25">
      <c r="A317" s="310"/>
      <c r="B317" s="115" t="s">
        <v>224</v>
      </c>
      <c r="C317" s="115" t="s">
        <v>123</v>
      </c>
      <c r="D317" s="117" t="s">
        <v>106</v>
      </c>
      <c r="E317" s="117" t="s">
        <v>48</v>
      </c>
      <c r="F317" s="273" t="s">
        <v>49</v>
      </c>
      <c r="G317" s="119" t="s">
        <v>231</v>
      </c>
      <c r="H317" s="272">
        <v>55</v>
      </c>
      <c r="I317" s="238">
        <v>0</v>
      </c>
      <c r="J317" s="230">
        <v>0</v>
      </c>
      <c r="K317" s="224">
        <v>40</v>
      </c>
      <c r="L317" s="226">
        <v>25</v>
      </c>
      <c r="M317" s="232">
        <v>20</v>
      </c>
      <c r="N317" s="278">
        <f t="shared" si="385"/>
        <v>85</v>
      </c>
      <c r="O317" s="242">
        <v>45</v>
      </c>
      <c r="P317" s="71"/>
      <c r="Q317" s="279"/>
      <c r="R317" s="251" t="s">
        <v>51</v>
      </c>
      <c r="S317" s="276" t="s">
        <v>321</v>
      </c>
      <c r="T317" s="277" t="s">
        <v>322</v>
      </c>
      <c r="U317" s="272">
        <v>200</v>
      </c>
      <c r="V317" s="238">
        <v>0</v>
      </c>
      <c r="W317" s="230">
        <v>0</v>
      </c>
      <c r="X317" s="224">
        <v>40</v>
      </c>
      <c r="Y317" s="226">
        <v>25</v>
      </c>
      <c r="Z317" s="232">
        <v>20</v>
      </c>
      <c r="AA317" s="278">
        <f t="shared" si="381"/>
        <v>85</v>
      </c>
      <c r="AB317" s="242">
        <v>120</v>
      </c>
      <c r="AC317" s="272">
        <v>20</v>
      </c>
      <c r="AD317" s="238">
        <v>0</v>
      </c>
      <c r="AE317" s="230">
        <v>0</v>
      </c>
      <c r="AF317" s="224">
        <v>0</v>
      </c>
      <c r="AG317" s="226">
        <v>0</v>
      </c>
      <c r="AH317" s="232">
        <v>0</v>
      </c>
      <c r="AI317" s="278">
        <f t="shared" si="383"/>
        <v>0</v>
      </c>
      <c r="AJ317" s="242">
        <v>20</v>
      </c>
      <c r="AK317" s="272"/>
      <c r="AL317" s="272" t="s">
        <v>256</v>
      </c>
      <c r="AM317" s="243">
        <v>10</v>
      </c>
      <c r="AN317" s="272"/>
      <c r="AO317" s="72"/>
      <c r="AP317" s="119" t="s">
        <v>58</v>
      </c>
      <c r="AQ317" s="136">
        <v>20</v>
      </c>
      <c r="AR317" s="122">
        <v>0</v>
      </c>
      <c r="AS317" s="123">
        <v>0</v>
      </c>
      <c r="AT317" s="124">
        <v>20</v>
      </c>
      <c r="AU317" s="272"/>
      <c r="AV317" s="272"/>
      <c r="AW317" s="272"/>
      <c r="AX317" s="138" t="s">
        <v>126</v>
      </c>
    </row>
    <row r="318" spans="1:50" s="77" customFormat="1" ht="36" x14ac:dyDescent="0.25">
      <c r="A318" s="310"/>
      <c r="B318" s="115" t="s">
        <v>224</v>
      </c>
      <c r="C318" s="115" t="s">
        <v>123</v>
      </c>
      <c r="D318" s="117" t="s">
        <v>106</v>
      </c>
      <c r="E318" s="117" t="s">
        <v>48</v>
      </c>
      <c r="F318" s="274"/>
      <c r="G318" s="119" t="s">
        <v>231</v>
      </c>
      <c r="H318" s="272"/>
      <c r="I318" s="239"/>
      <c r="J318" s="231"/>
      <c r="K318" s="225"/>
      <c r="L318" s="227"/>
      <c r="M318" s="233"/>
      <c r="N318" s="278">
        <f t="shared" si="385"/>
        <v>0</v>
      </c>
      <c r="O318" s="242"/>
      <c r="P318" s="71"/>
      <c r="Q318" s="279"/>
      <c r="R318" s="251"/>
      <c r="S318" s="276"/>
      <c r="T318" s="277"/>
      <c r="U318" s="272"/>
      <c r="V318" s="239"/>
      <c r="W318" s="231"/>
      <c r="X318" s="225"/>
      <c r="Y318" s="227"/>
      <c r="Z318" s="233"/>
      <c r="AA318" s="278">
        <f t="shared" si="381"/>
        <v>0</v>
      </c>
      <c r="AB318" s="242"/>
      <c r="AC318" s="272"/>
      <c r="AD318" s="239">
        <v>0</v>
      </c>
      <c r="AE318" s="231">
        <v>0</v>
      </c>
      <c r="AF318" s="225">
        <v>0</v>
      </c>
      <c r="AG318" s="227"/>
      <c r="AH318" s="233">
        <v>0</v>
      </c>
      <c r="AI318" s="278">
        <f t="shared" si="383"/>
        <v>0</v>
      </c>
      <c r="AJ318" s="242"/>
      <c r="AK318" s="272"/>
      <c r="AL318" s="272"/>
      <c r="AM318" s="243"/>
      <c r="AN318" s="272"/>
      <c r="AO318" s="72"/>
      <c r="AP318" s="119" t="s">
        <v>127</v>
      </c>
      <c r="AQ318" s="136">
        <v>1</v>
      </c>
      <c r="AR318" s="122">
        <v>0</v>
      </c>
      <c r="AS318" s="123">
        <v>0</v>
      </c>
      <c r="AT318" s="124">
        <v>1</v>
      </c>
      <c r="AU318" s="272"/>
      <c r="AV318" s="272"/>
      <c r="AW318" s="272"/>
      <c r="AX318" s="138" t="s">
        <v>126</v>
      </c>
    </row>
    <row r="319" spans="1:50" s="77" customFormat="1" ht="36" customHeight="1" x14ac:dyDescent="0.25">
      <c r="A319" s="310"/>
      <c r="B319" s="115" t="s">
        <v>224</v>
      </c>
      <c r="C319" s="115" t="s">
        <v>123</v>
      </c>
      <c r="D319" s="117" t="s">
        <v>106</v>
      </c>
      <c r="E319" s="117" t="s">
        <v>48</v>
      </c>
      <c r="F319" s="274"/>
      <c r="G319" s="119" t="s">
        <v>227</v>
      </c>
      <c r="H319" s="272">
        <v>50</v>
      </c>
      <c r="I319" s="238">
        <v>0</v>
      </c>
      <c r="J319" s="230">
        <v>0</v>
      </c>
      <c r="K319" s="224">
        <v>6</v>
      </c>
      <c r="L319" s="226">
        <v>0</v>
      </c>
      <c r="M319" s="232">
        <v>0</v>
      </c>
      <c r="N319" s="278">
        <f t="shared" si="385"/>
        <v>6</v>
      </c>
      <c r="O319" s="242">
        <v>40</v>
      </c>
      <c r="P319" s="71"/>
      <c r="Q319" s="272"/>
      <c r="R319" s="272" t="s">
        <v>51</v>
      </c>
      <c r="S319" s="276" t="s">
        <v>321</v>
      </c>
      <c r="T319" s="277" t="s">
        <v>322</v>
      </c>
      <c r="U319" s="272">
        <v>100</v>
      </c>
      <c r="V319" s="238">
        <v>0</v>
      </c>
      <c r="W319" s="230">
        <v>0</v>
      </c>
      <c r="X319" s="224">
        <v>6</v>
      </c>
      <c r="Y319" s="226">
        <v>0</v>
      </c>
      <c r="Z319" s="232">
        <v>0</v>
      </c>
      <c r="AA319" s="278">
        <f t="shared" si="381"/>
        <v>6</v>
      </c>
      <c r="AB319" s="242">
        <v>90</v>
      </c>
      <c r="AC319" s="272">
        <v>0</v>
      </c>
      <c r="AD319" s="238">
        <v>0</v>
      </c>
      <c r="AE319" s="230">
        <v>0</v>
      </c>
      <c r="AF319" s="224">
        <v>0</v>
      </c>
      <c r="AG319" s="226">
        <v>0</v>
      </c>
      <c r="AH319" s="232">
        <v>0</v>
      </c>
      <c r="AI319" s="278">
        <f t="shared" si="383"/>
        <v>0</v>
      </c>
      <c r="AJ319" s="242">
        <f>AC319/4*3</f>
        <v>0</v>
      </c>
      <c r="AK319" s="272"/>
      <c r="AL319" s="272" t="s">
        <v>256</v>
      </c>
      <c r="AM319" s="243">
        <v>10</v>
      </c>
      <c r="AN319" s="272"/>
      <c r="AO319" s="72"/>
      <c r="AP319" s="119" t="s">
        <v>58</v>
      </c>
      <c r="AQ319" s="136">
        <v>0</v>
      </c>
      <c r="AR319" s="122">
        <v>0</v>
      </c>
      <c r="AS319" s="123">
        <v>0</v>
      </c>
      <c r="AT319" s="124">
        <v>0</v>
      </c>
      <c r="AU319" s="272"/>
      <c r="AV319" s="272"/>
      <c r="AW319" s="272"/>
      <c r="AX319" s="138" t="s">
        <v>126</v>
      </c>
    </row>
    <row r="320" spans="1:50" s="77" customFormat="1" ht="36" x14ac:dyDescent="0.25">
      <c r="A320" s="310"/>
      <c r="B320" s="115" t="s">
        <v>224</v>
      </c>
      <c r="C320" s="115" t="s">
        <v>123</v>
      </c>
      <c r="D320" s="117" t="s">
        <v>106</v>
      </c>
      <c r="E320" s="117" t="s">
        <v>48</v>
      </c>
      <c r="F320" s="274"/>
      <c r="G320" s="119" t="s">
        <v>227</v>
      </c>
      <c r="H320" s="272"/>
      <c r="I320" s="239"/>
      <c r="J320" s="231"/>
      <c r="K320" s="225"/>
      <c r="L320" s="227"/>
      <c r="M320" s="233"/>
      <c r="N320" s="278">
        <f t="shared" si="385"/>
        <v>0</v>
      </c>
      <c r="O320" s="242"/>
      <c r="P320" s="71"/>
      <c r="Q320" s="272"/>
      <c r="R320" s="272"/>
      <c r="S320" s="276"/>
      <c r="T320" s="277"/>
      <c r="U320" s="272"/>
      <c r="V320" s="239"/>
      <c r="W320" s="231"/>
      <c r="X320" s="225"/>
      <c r="Y320" s="227"/>
      <c r="Z320" s="233"/>
      <c r="AA320" s="278">
        <f t="shared" si="381"/>
        <v>0</v>
      </c>
      <c r="AB320" s="242"/>
      <c r="AC320" s="272"/>
      <c r="AD320" s="239">
        <v>0</v>
      </c>
      <c r="AE320" s="231">
        <v>0</v>
      </c>
      <c r="AF320" s="225">
        <v>0</v>
      </c>
      <c r="AG320" s="227"/>
      <c r="AH320" s="233">
        <v>0</v>
      </c>
      <c r="AI320" s="278">
        <f t="shared" si="383"/>
        <v>0</v>
      </c>
      <c r="AJ320" s="242"/>
      <c r="AK320" s="272"/>
      <c r="AL320" s="272"/>
      <c r="AM320" s="243"/>
      <c r="AN320" s="272"/>
      <c r="AO320" s="72"/>
      <c r="AP320" s="119" t="s">
        <v>127</v>
      </c>
      <c r="AQ320" s="136">
        <v>0</v>
      </c>
      <c r="AR320" s="122">
        <v>0</v>
      </c>
      <c r="AS320" s="123">
        <v>0</v>
      </c>
      <c r="AT320" s="124">
        <v>0</v>
      </c>
      <c r="AU320" s="272"/>
      <c r="AV320" s="272"/>
      <c r="AW320" s="272"/>
      <c r="AX320" s="138" t="s">
        <v>126</v>
      </c>
    </row>
    <row r="321" spans="1:50" s="77" customFormat="1" ht="36" x14ac:dyDescent="0.25">
      <c r="A321" s="310"/>
      <c r="B321" s="115" t="s">
        <v>224</v>
      </c>
      <c r="C321" s="115" t="s">
        <v>123</v>
      </c>
      <c r="D321" s="117" t="s">
        <v>106</v>
      </c>
      <c r="E321" s="117" t="s">
        <v>48</v>
      </c>
      <c r="F321" s="274"/>
      <c r="G321" s="119" t="s">
        <v>229</v>
      </c>
      <c r="H321" s="272">
        <v>5</v>
      </c>
      <c r="I321" s="238">
        <v>0</v>
      </c>
      <c r="J321" s="230">
        <v>0</v>
      </c>
      <c r="K321" s="224">
        <v>0</v>
      </c>
      <c r="L321" s="226">
        <v>0</v>
      </c>
      <c r="M321" s="232">
        <v>0</v>
      </c>
      <c r="N321" s="278">
        <f t="shared" si="385"/>
        <v>0</v>
      </c>
      <c r="O321" s="242">
        <v>5</v>
      </c>
      <c r="P321" s="71"/>
      <c r="Q321" s="272"/>
      <c r="R321" s="272" t="s">
        <v>51</v>
      </c>
      <c r="S321" s="276" t="s">
        <v>321</v>
      </c>
      <c r="T321" s="277" t="s">
        <v>322</v>
      </c>
      <c r="U321" s="272">
        <v>10</v>
      </c>
      <c r="V321" s="238">
        <v>0</v>
      </c>
      <c r="W321" s="230">
        <v>0</v>
      </c>
      <c r="X321" s="224">
        <v>0</v>
      </c>
      <c r="Y321" s="226">
        <v>0</v>
      </c>
      <c r="Z321" s="232">
        <v>0</v>
      </c>
      <c r="AA321" s="278">
        <f t="shared" si="381"/>
        <v>0</v>
      </c>
      <c r="AB321" s="242">
        <v>10</v>
      </c>
      <c r="AC321" s="272">
        <v>0</v>
      </c>
      <c r="AD321" s="238">
        <v>0</v>
      </c>
      <c r="AE321" s="230">
        <v>0</v>
      </c>
      <c r="AF321" s="224">
        <v>0</v>
      </c>
      <c r="AG321" s="226">
        <v>0</v>
      </c>
      <c r="AH321" s="232">
        <v>0</v>
      </c>
      <c r="AI321" s="278">
        <f t="shared" si="383"/>
        <v>0</v>
      </c>
      <c r="AJ321" s="242">
        <v>0</v>
      </c>
      <c r="AK321" s="272"/>
      <c r="AL321" s="272"/>
      <c r="AM321" s="243"/>
      <c r="AN321" s="272"/>
      <c r="AO321" s="72"/>
      <c r="AP321" s="119" t="s">
        <v>58</v>
      </c>
      <c r="AQ321" s="136">
        <v>0</v>
      </c>
      <c r="AR321" s="122">
        <v>0</v>
      </c>
      <c r="AS321" s="123">
        <v>0</v>
      </c>
      <c r="AT321" s="123">
        <v>0</v>
      </c>
      <c r="AU321" s="272"/>
      <c r="AV321" s="272"/>
      <c r="AW321" s="272"/>
      <c r="AX321" s="138" t="s">
        <v>126</v>
      </c>
    </row>
    <row r="322" spans="1:50" s="77" customFormat="1" ht="36" x14ac:dyDescent="0.25">
      <c r="A322" s="310"/>
      <c r="B322" s="115" t="s">
        <v>224</v>
      </c>
      <c r="C322" s="115" t="s">
        <v>123</v>
      </c>
      <c r="D322" s="117" t="s">
        <v>106</v>
      </c>
      <c r="E322" s="117" t="s">
        <v>48</v>
      </c>
      <c r="F322" s="274"/>
      <c r="G322" s="119" t="s">
        <v>229</v>
      </c>
      <c r="H322" s="272"/>
      <c r="I322" s="239"/>
      <c r="J322" s="231"/>
      <c r="K322" s="225"/>
      <c r="L322" s="227"/>
      <c r="M322" s="233"/>
      <c r="N322" s="278">
        <f t="shared" si="385"/>
        <v>0</v>
      </c>
      <c r="O322" s="242"/>
      <c r="P322" s="71"/>
      <c r="Q322" s="272"/>
      <c r="R322" s="272"/>
      <c r="S322" s="276"/>
      <c r="T322" s="277"/>
      <c r="U322" s="272"/>
      <c r="V322" s="239"/>
      <c r="W322" s="231"/>
      <c r="X322" s="225"/>
      <c r="Y322" s="227"/>
      <c r="Z322" s="233"/>
      <c r="AA322" s="278">
        <f t="shared" si="381"/>
        <v>0</v>
      </c>
      <c r="AB322" s="242"/>
      <c r="AC322" s="272"/>
      <c r="AD322" s="239"/>
      <c r="AE322" s="231"/>
      <c r="AF322" s="225"/>
      <c r="AG322" s="227"/>
      <c r="AH322" s="233"/>
      <c r="AI322" s="278">
        <f t="shared" si="383"/>
        <v>0</v>
      </c>
      <c r="AJ322" s="242"/>
      <c r="AK322" s="272"/>
      <c r="AL322" s="272"/>
      <c r="AM322" s="243"/>
      <c r="AN322" s="272"/>
      <c r="AO322" s="72"/>
      <c r="AP322" s="119" t="s">
        <v>127</v>
      </c>
      <c r="AQ322" s="136">
        <v>0</v>
      </c>
      <c r="AR322" s="122">
        <v>0</v>
      </c>
      <c r="AS322" s="123">
        <v>0</v>
      </c>
      <c r="AT322" s="123">
        <v>0</v>
      </c>
      <c r="AU322" s="272"/>
      <c r="AV322" s="272"/>
      <c r="AW322" s="272"/>
      <c r="AX322" s="138" t="s">
        <v>126</v>
      </c>
    </row>
    <row r="323" spans="1:50" s="77" customFormat="1" ht="36" x14ac:dyDescent="0.25">
      <c r="A323" s="310"/>
      <c r="B323" s="115" t="s">
        <v>224</v>
      </c>
      <c r="C323" s="115" t="s">
        <v>123</v>
      </c>
      <c r="D323" s="117" t="s">
        <v>106</v>
      </c>
      <c r="E323" s="117" t="s">
        <v>48</v>
      </c>
      <c r="F323" s="274"/>
      <c r="G323" s="119" t="s">
        <v>234</v>
      </c>
      <c r="H323" s="272">
        <v>80</v>
      </c>
      <c r="I323" s="238">
        <v>0</v>
      </c>
      <c r="J323" s="230">
        <v>0</v>
      </c>
      <c r="K323" s="224">
        <v>8</v>
      </c>
      <c r="L323" s="226">
        <v>0</v>
      </c>
      <c r="M323" s="232">
        <v>2</v>
      </c>
      <c r="N323" s="278">
        <f t="shared" si="385"/>
        <v>10</v>
      </c>
      <c r="O323" s="242">
        <v>70</v>
      </c>
      <c r="P323" s="71"/>
      <c r="Q323" s="272"/>
      <c r="R323" s="272" t="s">
        <v>51</v>
      </c>
      <c r="S323" s="276" t="s">
        <v>321</v>
      </c>
      <c r="T323" s="277" t="s">
        <v>322</v>
      </c>
      <c r="U323" s="272">
        <v>150</v>
      </c>
      <c r="V323" s="238">
        <v>0</v>
      </c>
      <c r="W323" s="230">
        <v>0</v>
      </c>
      <c r="X323" s="224">
        <v>8</v>
      </c>
      <c r="Y323" s="226">
        <v>0</v>
      </c>
      <c r="Z323" s="232">
        <v>2</v>
      </c>
      <c r="AA323" s="278">
        <f t="shared" si="381"/>
        <v>10</v>
      </c>
      <c r="AB323" s="242">
        <v>140</v>
      </c>
      <c r="AC323" s="272">
        <v>10</v>
      </c>
      <c r="AD323" s="238">
        <v>0</v>
      </c>
      <c r="AE323" s="230">
        <v>0</v>
      </c>
      <c r="AF323" s="224">
        <v>0</v>
      </c>
      <c r="AG323" s="226">
        <v>0</v>
      </c>
      <c r="AH323" s="232">
        <v>0</v>
      </c>
      <c r="AI323" s="278">
        <f t="shared" si="383"/>
        <v>0</v>
      </c>
      <c r="AJ323" s="242">
        <v>10</v>
      </c>
      <c r="AK323" s="272"/>
      <c r="AL323" s="272"/>
      <c r="AM323" s="243"/>
      <c r="AN323" s="272"/>
      <c r="AO323" s="72"/>
      <c r="AP323" s="119" t="s">
        <v>58</v>
      </c>
      <c r="AQ323" s="136">
        <v>10</v>
      </c>
      <c r="AR323" s="122">
        <v>0</v>
      </c>
      <c r="AS323" s="123">
        <v>0</v>
      </c>
      <c r="AT323" s="124">
        <v>10</v>
      </c>
      <c r="AU323" s="272"/>
      <c r="AV323" s="272"/>
      <c r="AW323" s="272"/>
      <c r="AX323" s="138" t="s">
        <v>126</v>
      </c>
    </row>
    <row r="324" spans="1:50" s="77" customFormat="1" ht="36" x14ac:dyDescent="0.25">
      <c r="A324" s="310"/>
      <c r="B324" s="115" t="s">
        <v>224</v>
      </c>
      <c r="C324" s="115" t="s">
        <v>123</v>
      </c>
      <c r="D324" s="117" t="s">
        <v>106</v>
      </c>
      <c r="E324" s="117" t="s">
        <v>48</v>
      </c>
      <c r="F324" s="274"/>
      <c r="G324" s="119" t="s">
        <v>234</v>
      </c>
      <c r="H324" s="272"/>
      <c r="I324" s="239"/>
      <c r="J324" s="231"/>
      <c r="K324" s="225"/>
      <c r="L324" s="227"/>
      <c r="M324" s="233"/>
      <c r="N324" s="278">
        <f t="shared" si="385"/>
        <v>0</v>
      </c>
      <c r="O324" s="242"/>
      <c r="P324" s="71"/>
      <c r="Q324" s="272"/>
      <c r="R324" s="272"/>
      <c r="S324" s="276"/>
      <c r="T324" s="277"/>
      <c r="U324" s="272"/>
      <c r="V324" s="239"/>
      <c r="W324" s="231"/>
      <c r="X324" s="225"/>
      <c r="Y324" s="227"/>
      <c r="Z324" s="233"/>
      <c r="AA324" s="278">
        <f t="shared" ref="AA324:AA387" si="433">SUM(V324:Z324)</f>
        <v>0</v>
      </c>
      <c r="AB324" s="242"/>
      <c r="AC324" s="272"/>
      <c r="AD324" s="239">
        <v>0</v>
      </c>
      <c r="AE324" s="231">
        <v>0</v>
      </c>
      <c r="AF324" s="225">
        <v>0</v>
      </c>
      <c r="AG324" s="227"/>
      <c r="AH324" s="233">
        <v>0</v>
      </c>
      <c r="AI324" s="278">
        <f t="shared" ref="AI324:AI387" si="434">SUM(AD324:AH324)</f>
        <v>0</v>
      </c>
      <c r="AJ324" s="242"/>
      <c r="AK324" s="272"/>
      <c r="AL324" s="272"/>
      <c r="AM324" s="243"/>
      <c r="AN324" s="272"/>
      <c r="AO324" s="72"/>
      <c r="AP324" s="119" t="s">
        <v>127</v>
      </c>
      <c r="AQ324" s="136">
        <v>1</v>
      </c>
      <c r="AR324" s="122">
        <v>0</v>
      </c>
      <c r="AS324" s="123">
        <v>0</v>
      </c>
      <c r="AT324" s="124">
        <v>1</v>
      </c>
      <c r="AU324" s="272"/>
      <c r="AV324" s="272"/>
      <c r="AW324" s="272"/>
      <c r="AX324" s="138" t="s">
        <v>126</v>
      </c>
    </row>
    <row r="325" spans="1:50" s="77" customFormat="1" ht="36" x14ac:dyDescent="0.25">
      <c r="A325" s="310"/>
      <c r="B325" s="115" t="s">
        <v>224</v>
      </c>
      <c r="C325" s="115" t="s">
        <v>123</v>
      </c>
      <c r="D325" s="117" t="s">
        <v>106</v>
      </c>
      <c r="E325" s="117" t="s">
        <v>48</v>
      </c>
      <c r="F325" s="274"/>
      <c r="G325" s="119" t="s">
        <v>172</v>
      </c>
      <c r="H325" s="272">
        <v>40</v>
      </c>
      <c r="I325" s="238">
        <v>0</v>
      </c>
      <c r="J325" s="230">
        <v>0</v>
      </c>
      <c r="K325" s="224">
        <v>0</v>
      </c>
      <c r="L325" s="226">
        <v>0</v>
      </c>
      <c r="M325" s="232">
        <v>0</v>
      </c>
      <c r="N325" s="278">
        <f t="shared" si="385"/>
        <v>0</v>
      </c>
      <c r="O325" s="242">
        <v>40</v>
      </c>
      <c r="P325" s="71"/>
      <c r="Q325" s="272"/>
      <c r="R325" s="272" t="s">
        <v>173</v>
      </c>
      <c r="S325" s="276" t="s">
        <v>232</v>
      </c>
      <c r="T325" s="277" t="s">
        <v>322</v>
      </c>
      <c r="U325" s="272">
        <v>40</v>
      </c>
      <c r="V325" s="238">
        <v>0</v>
      </c>
      <c r="W325" s="230">
        <v>0</v>
      </c>
      <c r="X325" s="224">
        <v>0</v>
      </c>
      <c r="Y325" s="226">
        <v>0</v>
      </c>
      <c r="Z325" s="232">
        <v>0</v>
      </c>
      <c r="AA325" s="278">
        <f t="shared" si="433"/>
        <v>0</v>
      </c>
      <c r="AB325" s="242">
        <v>40</v>
      </c>
      <c r="AC325" s="272">
        <v>20</v>
      </c>
      <c r="AD325" s="238">
        <v>0</v>
      </c>
      <c r="AE325" s="230">
        <v>0</v>
      </c>
      <c r="AF325" s="224">
        <v>0</v>
      </c>
      <c r="AG325" s="226">
        <v>0</v>
      </c>
      <c r="AH325" s="232">
        <v>0</v>
      </c>
      <c r="AI325" s="278">
        <f t="shared" si="434"/>
        <v>0</v>
      </c>
      <c r="AJ325" s="242">
        <v>20</v>
      </c>
      <c r="AK325" s="272"/>
      <c r="AL325" s="272"/>
      <c r="AM325" s="243"/>
      <c r="AN325" s="272"/>
      <c r="AO325" s="72"/>
      <c r="AP325" s="119" t="s">
        <v>58</v>
      </c>
      <c r="AQ325" s="136">
        <v>20</v>
      </c>
      <c r="AR325" s="122">
        <v>0</v>
      </c>
      <c r="AS325" s="123">
        <v>0</v>
      </c>
      <c r="AT325" s="123">
        <v>20</v>
      </c>
      <c r="AU325" s="272"/>
      <c r="AV325" s="272"/>
      <c r="AW325" s="272"/>
      <c r="AX325" s="138" t="s">
        <v>126</v>
      </c>
    </row>
    <row r="326" spans="1:50" s="77" customFormat="1" ht="36" x14ac:dyDescent="0.25">
      <c r="A326" s="310"/>
      <c r="B326" s="115" t="s">
        <v>224</v>
      </c>
      <c r="C326" s="115" t="s">
        <v>123</v>
      </c>
      <c r="D326" s="117" t="s">
        <v>106</v>
      </c>
      <c r="E326" s="117" t="s">
        <v>48</v>
      </c>
      <c r="F326" s="275"/>
      <c r="G326" s="119" t="s">
        <v>172</v>
      </c>
      <c r="H326" s="272"/>
      <c r="I326" s="239"/>
      <c r="J326" s="231"/>
      <c r="K326" s="225"/>
      <c r="L326" s="227"/>
      <c r="M326" s="233"/>
      <c r="N326" s="278">
        <f t="shared" si="385"/>
        <v>0</v>
      </c>
      <c r="O326" s="242"/>
      <c r="P326" s="71"/>
      <c r="Q326" s="272"/>
      <c r="R326" s="272"/>
      <c r="S326" s="276"/>
      <c r="T326" s="277"/>
      <c r="U326" s="272"/>
      <c r="V326" s="239"/>
      <c r="W326" s="231"/>
      <c r="X326" s="225"/>
      <c r="Y326" s="227"/>
      <c r="Z326" s="233"/>
      <c r="AA326" s="278">
        <f t="shared" si="433"/>
        <v>0</v>
      </c>
      <c r="AB326" s="242"/>
      <c r="AC326" s="272"/>
      <c r="AD326" s="239"/>
      <c r="AE326" s="231"/>
      <c r="AF326" s="225"/>
      <c r="AG326" s="227"/>
      <c r="AH326" s="233"/>
      <c r="AI326" s="278">
        <f t="shared" si="434"/>
        <v>0</v>
      </c>
      <c r="AJ326" s="242"/>
      <c r="AK326" s="272"/>
      <c r="AL326" s="272"/>
      <c r="AM326" s="243"/>
      <c r="AN326" s="272"/>
      <c r="AO326" s="72"/>
      <c r="AP326" s="119" t="s">
        <v>127</v>
      </c>
      <c r="AQ326" s="136">
        <v>1</v>
      </c>
      <c r="AR326" s="122">
        <v>0</v>
      </c>
      <c r="AS326" s="123">
        <v>0</v>
      </c>
      <c r="AT326" s="123">
        <v>1</v>
      </c>
      <c r="AU326" s="272"/>
      <c r="AV326" s="272"/>
      <c r="AW326" s="272"/>
      <c r="AX326" s="138" t="s">
        <v>126</v>
      </c>
    </row>
    <row r="327" spans="1:50" s="77" customFormat="1" ht="36" x14ac:dyDescent="0.25">
      <c r="A327" s="310"/>
      <c r="B327" s="115" t="s">
        <v>224</v>
      </c>
      <c r="C327" s="115" t="s">
        <v>123</v>
      </c>
      <c r="D327" s="117" t="s">
        <v>106</v>
      </c>
      <c r="E327" s="117" t="s">
        <v>48</v>
      </c>
      <c r="F327" s="142" t="s">
        <v>61</v>
      </c>
      <c r="G327" s="155"/>
      <c r="H327" s="153">
        <f>SUM(H317:H326)</f>
        <v>230</v>
      </c>
      <c r="I327" s="153">
        <f t="shared" ref="I327" si="435">SUM(I317:I326)</f>
        <v>0</v>
      </c>
      <c r="J327" s="153">
        <f t="shared" ref="J327:M327" si="436">SUM(J317:J326)</f>
        <v>0</v>
      </c>
      <c r="K327" s="153">
        <f t="shared" si="436"/>
        <v>54</v>
      </c>
      <c r="L327" s="153">
        <f t="shared" si="436"/>
        <v>25</v>
      </c>
      <c r="M327" s="153">
        <f t="shared" si="436"/>
        <v>22</v>
      </c>
      <c r="N327" s="153">
        <f t="shared" si="385"/>
        <v>101</v>
      </c>
      <c r="O327" s="153">
        <f>SUM(O317:O326)</f>
        <v>200</v>
      </c>
      <c r="P327" s="153"/>
      <c r="Q327" s="156"/>
      <c r="R327" s="129"/>
      <c r="S327" s="157"/>
      <c r="T327" s="158"/>
      <c r="U327" s="153">
        <f>SUM(U317:U326)</f>
        <v>500</v>
      </c>
      <c r="V327" s="153">
        <f t="shared" ref="V327" si="437">SUM(V317:V326)</f>
        <v>0</v>
      </c>
      <c r="W327" s="153">
        <f t="shared" ref="W327:AH327" si="438">SUM(W317:W326)</f>
        <v>0</v>
      </c>
      <c r="X327" s="153">
        <f t="shared" si="438"/>
        <v>54</v>
      </c>
      <c r="Y327" s="153">
        <f t="shared" si="438"/>
        <v>25</v>
      </c>
      <c r="Z327" s="153">
        <f t="shared" si="438"/>
        <v>22</v>
      </c>
      <c r="AA327" s="153">
        <f t="shared" si="433"/>
        <v>101</v>
      </c>
      <c r="AB327" s="153">
        <f t="shared" si="438"/>
        <v>400</v>
      </c>
      <c r="AC327" s="153">
        <f t="shared" si="438"/>
        <v>50</v>
      </c>
      <c r="AD327" s="153">
        <f t="shared" si="438"/>
        <v>0</v>
      </c>
      <c r="AE327" s="153">
        <f t="shared" si="438"/>
        <v>0</v>
      </c>
      <c r="AF327" s="153">
        <f t="shared" si="438"/>
        <v>0</v>
      </c>
      <c r="AG327" s="153">
        <f t="shared" ref="AG327" si="439">SUM(AG317:AG326)</f>
        <v>0</v>
      </c>
      <c r="AH327" s="153">
        <f t="shared" si="438"/>
        <v>0</v>
      </c>
      <c r="AI327" s="153">
        <f t="shared" si="434"/>
        <v>0</v>
      </c>
      <c r="AJ327" s="153">
        <f>SUM(AJ317:AJ324)</f>
        <v>30</v>
      </c>
      <c r="AK327" s="156"/>
      <c r="AL327" s="156"/>
      <c r="AM327" s="156">
        <f>SUM(AM317:AM324)</f>
        <v>20</v>
      </c>
      <c r="AN327" s="156"/>
      <c r="AO327" s="156"/>
      <c r="AP327" s="155"/>
      <c r="AQ327" s="156">
        <f>SUM(AQ317:AQ326)</f>
        <v>53</v>
      </c>
      <c r="AR327" s="156">
        <f t="shared" ref="AR327:AT327" si="440">SUM(AR317:AR326)</f>
        <v>0</v>
      </c>
      <c r="AS327" s="156">
        <f t="shared" si="440"/>
        <v>0</v>
      </c>
      <c r="AT327" s="156">
        <f t="shared" si="440"/>
        <v>53</v>
      </c>
      <c r="AU327" s="129"/>
      <c r="AV327" s="156"/>
      <c r="AW327" s="155"/>
      <c r="AX327" s="155" t="s">
        <v>126</v>
      </c>
    </row>
    <row r="328" spans="1:50" s="77" customFormat="1" ht="72" customHeight="1" x14ac:dyDescent="0.25">
      <c r="A328" s="310"/>
      <c r="B328" s="115" t="s">
        <v>224</v>
      </c>
      <c r="C328" s="115" t="s">
        <v>130</v>
      </c>
      <c r="D328" s="117" t="s">
        <v>106</v>
      </c>
      <c r="E328" s="117" t="s">
        <v>75</v>
      </c>
      <c r="F328" s="272" t="s">
        <v>49</v>
      </c>
      <c r="G328" s="119" t="s">
        <v>227</v>
      </c>
      <c r="H328" s="136">
        <v>50</v>
      </c>
      <c r="I328" s="197">
        <v>0</v>
      </c>
      <c r="J328" s="90">
        <v>0</v>
      </c>
      <c r="K328" s="91">
        <v>0</v>
      </c>
      <c r="L328" s="92">
        <v>0</v>
      </c>
      <c r="M328" s="81">
        <v>0</v>
      </c>
      <c r="N328" s="133">
        <f t="shared" si="385"/>
        <v>0</v>
      </c>
      <c r="O328" s="71">
        <v>50</v>
      </c>
      <c r="P328" s="71"/>
      <c r="Q328" s="136"/>
      <c r="R328" s="136" t="s">
        <v>51</v>
      </c>
      <c r="S328" s="120" t="s">
        <v>323</v>
      </c>
      <c r="T328" s="119" t="s">
        <v>77</v>
      </c>
      <c r="U328" s="136">
        <v>100</v>
      </c>
      <c r="V328" s="197">
        <v>0</v>
      </c>
      <c r="W328" s="90">
        <v>0</v>
      </c>
      <c r="X328" s="91">
        <v>0</v>
      </c>
      <c r="Y328" s="92">
        <v>0</v>
      </c>
      <c r="Z328" s="81">
        <v>0</v>
      </c>
      <c r="AA328" s="133">
        <f t="shared" si="433"/>
        <v>0</v>
      </c>
      <c r="AB328" s="71">
        <v>100</v>
      </c>
      <c r="AC328" s="136">
        <v>20</v>
      </c>
      <c r="AD328" s="197">
        <v>0</v>
      </c>
      <c r="AE328" s="90">
        <v>0</v>
      </c>
      <c r="AF328" s="91">
        <v>0</v>
      </c>
      <c r="AG328" s="92">
        <v>0</v>
      </c>
      <c r="AH328" s="81">
        <v>0</v>
      </c>
      <c r="AI328" s="133">
        <f t="shared" si="434"/>
        <v>0</v>
      </c>
      <c r="AJ328" s="71">
        <v>0</v>
      </c>
      <c r="AK328" s="136"/>
      <c r="AL328" s="119"/>
      <c r="AM328" s="72"/>
      <c r="AN328" s="136"/>
      <c r="AO328" s="72"/>
      <c r="AP328" s="119"/>
      <c r="AQ328" s="136"/>
      <c r="AR328" s="122">
        <v>0</v>
      </c>
      <c r="AS328" s="123">
        <v>0</v>
      </c>
      <c r="AT328" s="124">
        <v>0</v>
      </c>
      <c r="AU328" s="119"/>
      <c r="AV328" s="136"/>
      <c r="AW328" s="119"/>
      <c r="AX328" s="117" t="s">
        <v>134</v>
      </c>
    </row>
    <row r="329" spans="1:50" s="77" customFormat="1" ht="198" customHeight="1" x14ac:dyDescent="0.25">
      <c r="A329" s="310"/>
      <c r="B329" s="115" t="s">
        <v>224</v>
      </c>
      <c r="C329" s="115" t="s">
        <v>130</v>
      </c>
      <c r="D329" s="117" t="s">
        <v>106</v>
      </c>
      <c r="E329" s="117" t="s">
        <v>75</v>
      </c>
      <c r="F329" s="272"/>
      <c r="G329" s="119" t="s">
        <v>228</v>
      </c>
      <c r="H329" s="136">
        <v>20</v>
      </c>
      <c r="I329" s="197">
        <v>0</v>
      </c>
      <c r="J329" s="90">
        <v>0</v>
      </c>
      <c r="K329" s="91">
        <v>0</v>
      </c>
      <c r="L329" s="92">
        <v>0</v>
      </c>
      <c r="M329" s="81">
        <v>0</v>
      </c>
      <c r="N329" s="133">
        <f t="shared" ref="N329:N392" si="441">SUM(I329:M329)</f>
        <v>0</v>
      </c>
      <c r="O329" s="71">
        <v>20</v>
      </c>
      <c r="P329" s="71"/>
      <c r="Q329" s="136"/>
      <c r="R329" s="136" t="s">
        <v>51</v>
      </c>
      <c r="S329" s="120" t="s">
        <v>324</v>
      </c>
      <c r="T329" s="119" t="s">
        <v>77</v>
      </c>
      <c r="U329" s="136">
        <v>20</v>
      </c>
      <c r="V329" s="197">
        <v>0</v>
      </c>
      <c r="W329" s="90">
        <v>0</v>
      </c>
      <c r="X329" s="91">
        <v>0</v>
      </c>
      <c r="Y329" s="92">
        <v>0</v>
      </c>
      <c r="Z329" s="81">
        <v>0</v>
      </c>
      <c r="AA329" s="133">
        <f t="shared" si="433"/>
        <v>0</v>
      </c>
      <c r="AB329" s="71">
        <v>20</v>
      </c>
      <c r="AC329" s="136">
        <v>0</v>
      </c>
      <c r="AD329" s="197">
        <v>0</v>
      </c>
      <c r="AE329" s="90">
        <v>0</v>
      </c>
      <c r="AF329" s="91">
        <v>0</v>
      </c>
      <c r="AG329" s="92">
        <v>0</v>
      </c>
      <c r="AH329" s="81">
        <v>0</v>
      </c>
      <c r="AI329" s="133">
        <f t="shared" si="434"/>
        <v>0</v>
      </c>
      <c r="AJ329" s="71">
        <v>0</v>
      </c>
      <c r="AK329" s="136"/>
      <c r="AL329" s="119"/>
      <c r="AM329" s="72"/>
      <c r="AN329" s="136"/>
      <c r="AO329" s="72"/>
      <c r="AP329" s="119"/>
      <c r="AQ329" s="136"/>
      <c r="AR329" s="122">
        <v>0</v>
      </c>
      <c r="AS329" s="123">
        <v>0</v>
      </c>
      <c r="AT329" s="124">
        <v>0</v>
      </c>
      <c r="AU329" s="119"/>
      <c r="AV329" s="136"/>
      <c r="AW329" s="119"/>
      <c r="AX329" s="117" t="s">
        <v>134</v>
      </c>
    </row>
    <row r="330" spans="1:50" s="77" customFormat="1" ht="198" customHeight="1" x14ac:dyDescent="0.25">
      <c r="A330" s="310"/>
      <c r="B330" s="115" t="s">
        <v>224</v>
      </c>
      <c r="C330" s="115" t="s">
        <v>130</v>
      </c>
      <c r="D330" s="117" t="s">
        <v>106</v>
      </c>
      <c r="E330" s="117" t="s">
        <v>75</v>
      </c>
      <c r="F330" s="272"/>
      <c r="G330" s="119" t="s">
        <v>178</v>
      </c>
      <c r="H330" s="136">
        <v>120</v>
      </c>
      <c r="I330" s="197">
        <v>0</v>
      </c>
      <c r="J330" s="90">
        <v>0</v>
      </c>
      <c r="K330" s="91">
        <v>0</v>
      </c>
      <c r="L330" s="92">
        <v>0</v>
      </c>
      <c r="M330" s="81">
        <v>0</v>
      </c>
      <c r="N330" s="133">
        <f t="shared" si="441"/>
        <v>0</v>
      </c>
      <c r="O330" s="71">
        <v>120</v>
      </c>
      <c r="P330" s="71"/>
      <c r="Q330" s="136"/>
      <c r="R330" s="136" t="s">
        <v>51</v>
      </c>
      <c r="S330" s="120" t="s">
        <v>323</v>
      </c>
      <c r="T330" s="119" t="s">
        <v>77</v>
      </c>
      <c r="U330" s="136">
        <v>200</v>
      </c>
      <c r="V330" s="197">
        <v>0</v>
      </c>
      <c r="W330" s="90">
        <v>0</v>
      </c>
      <c r="X330" s="91">
        <v>0</v>
      </c>
      <c r="Y330" s="92">
        <v>0</v>
      </c>
      <c r="Z330" s="81">
        <v>0</v>
      </c>
      <c r="AA330" s="133">
        <f t="shared" si="433"/>
        <v>0</v>
      </c>
      <c r="AB330" s="71">
        <v>200</v>
      </c>
      <c r="AC330" s="136">
        <v>0</v>
      </c>
      <c r="AD330" s="197">
        <v>0</v>
      </c>
      <c r="AE330" s="90">
        <v>0</v>
      </c>
      <c r="AF330" s="91">
        <v>0</v>
      </c>
      <c r="AG330" s="92">
        <v>0</v>
      </c>
      <c r="AH330" s="81">
        <v>0</v>
      </c>
      <c r="AI330" s="133">
        <f t="shared" si="434"/>
        <v>0</v>
      </c>
      <c r="AJ330" s="71">
        <v>20</v>
      </c>
      <c r="AK330" s="136"/>
      <c r="AL330" s="119" t="s">
        <v>133</v>
      </c>
      <c r="AM330" s="72">
        <v>45</v>
      </c>
      <c r="AN330" s="136"/>
      <c r="AO330" s="72"/>
      <c r="AP330" s="119" t="s">
        <v>58</v>
      </c>
      <c r="AQ330" s="136">
        <v>20</v>
      </c>
      <c r="AR330" s="122">
        <v>0</v>
      </c>
      <c r="AS330" s="123">
        <v>0</v>
      </c>
      <c r="AT330" s="124">
        <v>20</v>
      </c>
      <c r="AU330" s="119"/>
      <c r="AV330" s="136"/>
      <c r="AW330" s="119"/>
      <c r="AX330" s="117" t="s">
        <v>134</v>
      </c>
    </row>
    <row r="331" spans="1:50" s="77" customFormat="1" ht="198" customHeight="1" x14ac:dyDescent="0.25">
      <c r="A331" s="310"/>
      <c r="B331" s="115" t="s">
        <v>224</v>
      </c>
      <c r="C331" s="115" t="s">
        <v>130</v>
      </c>
      <c r="D331" s="117" t="s">
        <v>106</v>
      </c>
      <c r="E331" s="117" t="s">
        <v>75</v>
      </c>
      <c r="F331" s="142" t="s">
        <v>61</v>
      </c>
      <c r="G331" s="155"/>
      <c r="H331" s="153">
        <f>SUM(H328:H330)</f>
        <v>190</v>
      </c>
      <c r="I331" s="153">
        <f t="shared" ref="I331" si="442">SUM(I328:I330)</f>
        <v>0</v>
      </c>
      <c r="J331" s="153">
        <f t="shared" ref="J331:O331" si="443">SUM(J328:J330)</f>
        <v>0</v>
      </c>
      <c r="K331" s="153">
        <f t="shared" si="443"/>
        <v>0</v>
      </c>
      <c r="L331" s="153">
        <f t="shared" si="443"/>
        <v>0</v>
      </c>
      <c r="M331" s="153">
        <f t="shared" si="443"/>
        <v>0</v>
      </c>
      <c r="N331" s="153">
        <f t="shared" si="441"/>
        <v>0</v>
      </c>
      <c r="O331" s="153">
        <f t="shared" si="443"/>
        <v>190</v>
      </c>
      <c r="P331" s="153"/>
      <c r="Q331" s="156"/>
      <c r="R331" s="129"/>
      <c r="S331" s="157"/>
      <c r="T331" s="158"/>
      <c r="U331" s="153">
        <f t="shared" ref="U331:AJ331" si="444">SUM(U328:U330)</f>
        <v>320</v>
      </c>
      <c r="V331" s="153">
        <f t="shared" si="444"/>
        <v>0</v>
      </c>
      <c r="W331" s="153">
        <f t="shared" si="444"/>
        <v>0</v>
      </c>
      <c r="X331" s="153">
        <f t="shared" si="444"/>
        <v>0</v>
      </c>
      <c r="Y331" s="153">
        <f t="shared" si="444"/>
        <v>0</v>
      </c>
      <c r="Z331" s="153">
        <f t="shared" si="444"/>
        <v>0</v>
      </c>
      <c r="AA331" s="153">
        <f t="shared" si="433"/>
        <v>0</v>
      </c>
      <c r="AB331" s="153">
        <f t="shared" si="444"/>
        <v>320</v>
      </c>
      <c r="AC331" s="153">
        <f t="shared" si="444"/>
        <v>20</v>
      </c>
      <c r="AD331" s="153">
        <f t="shared" si="444"/>
        <v>0</v>
      </c>
      <c r="AE331" s="153">
        <f t="shared" si="444"/>
        <v>0</v>
      </c>
      <c r="AF331" s="153">
        <f t="shared" si="444"/>
        <v>0</v>
      </c>
      <c r="AG331" s="153">
        <f t="shared" ref="AG331" si="445">SUM(AG328:AG330)</f>
        <v>0</v>
      </c>
      <c r="AH331" s="153">
        <f t="shared" si="444"/>
        <v>0</v>
      </c>
      <c r="AI331" s="153">
        <f t="shared" si="434"/>
        <v>0</v>
      </c>
      <c r="AJ331" s="153">
        <f t="shared" si="444"/>
        <v>20</v>
      </c>
      <c r="AK331" s="156"/>
      <c r="AL331" s="156"/>
      <c r="AM331" s="156">
        <f>SUM(AM328:AM330)</f>
        <v>45</v>
      </c>
      <c r="AN331" s="156"/>
      <c r="AO331" s="156"/>
      <c r="AP331" s="155"/>
      <c r="AQ331" s="156">
        <f>SUM(AQ328:AQ330)</f>
        <v>20</v>
      </c>
      <c r="AR331" s="153">
        <f>SUM(AR328:AR330)</f>
        <v>0</v>
      </c>
      <c r="AS331" s="153">
        <f>SUM(AS328:AS330)</f>
        <v>0</v>
      </c>
      <c r="AT331" s="153">
        <f>SUM(AT328:AT330)</f>
        <v>20</v>
      </c>
      <c r="AU331" s="129"/>
      <c r="AV331" s="156"/>
      <c r="AW331" s="155"/>
      <c r="AX331" s="155" t="s">
        <v>134</v>
      </c>
    </row>
    <row r="332" spans="1:50" s="77" customFormat="1" ht="72" x14ac:dyDescent="0.25">
      <c r="A332" s="310"/>
      <c r="B332" s="115" t="s">
        <v>224</v>
      </c>
      <c r="C332" s="115" t="s">
        <v>138</v>
      </c>
      <c r="D332" s="117" t="s">
        <v>106</v>
      </c>
      <c r="E332" s="117" t="s">
        <v>48</v>
      </c>
      <c r="F332" s="272" t="s">
        <v>49</v>
      </c>
      <c r="G332" s="119" t="s">
        <v>178</v>
      </c>
      <c r="H332" s="136">
        <v>50</v>
      </c>
      <c r="I332" s="197">
        <v>0</v>
      </c>
      <c r="J332" s="90">
        <v>0</v>
      </c>
      <c r="K332" s="91">
        <v>0</v>
      </c>
      <c r="L332" s="92">
        <v>0</v>
      </c>
      <c r="M332" s="81">
        <v>0</v>
      </c>
      <c r="N332" s="133">
        <f t="shared" si="441"/>
        <v>0</v>
      </c>
      <c r="O332" s="71">
        <v>50</v>
      </c>
      <c r="P332" s="71"/>
      <c r="Q332" s="136"/>
      <c r="R332" s="119" t="s">
        <v>51</v>
      </c>
      <c r="S332" s="120" t="s">
        <v>325</v>
      </c>
      <c r="T332" s="135" t="s">
        <v>77</v>
      </c>
      <c r="U332" s="136">
        <v>120</v>
      </c>
      <c r="V332" s="197">
        <v>0</v>
      </c>
      <c r="W332" s="90">
        <v>0</v>
      </c>
      <c r="X332" s="91">
        <v>0</v>
      </c>
      <c r="Y332" s="92">
        <v>0</v>
      </c>
      <c r="Z332" s="81">
        <v>0</v>
      </c>
      <c r="AA332" s="133">
        <f t="shared" si="433"/>
        <v>0</v>
      </c>
      <c r="AB332" s="71">
        <v>120</v>
      </c>
      <c r="AC332" s="136">
        <v>2</v>
      </c>
      <c r="AD332" s="197">
        <v>0</v>
      </c>
      <c r="AE332" s="90">
        <v>0</v>
      </c>
      <c r="AF332" s="91">
        <v>0</v>
      </c>
      <c r="AG332" s="92">
        <v>0</v>
      </c>
      <c r="AH332" s="81">
        <v>0</v>
      </c>
      <c r="AI332" s="133">
        <f t="shared" si="434"/>
        <v>0</v>
      </c>
      <c r="AJ332" s="71">
        <v>1</v>
      </c>
      <c r="AK332" s="136"/>
      <c r="AL332" s="136"/>
      <c r="AM332" s="72"/>
      <c r="AN332" s="136"/>
      <c r="AO332" s="72"/>
      <c r="AP332" s="119" t="s">
        <v>58</v>
      </c>
      <c r="AQ332" s="136">
        <v>2</v>
      </c>
      <c r="AR332" s="122">
        <v>0</v>
      </c>
      <c r="AS332" s="123">
        <v>2</v>
      </c>
      <c r="AT332" s="124">
        <v>0</v>
      </c>
      <c r="AU332" s="119"/>
      <c r="AV332" s="136"/>
      <c r="AW332" s="119"/>
      <c r="AX332" s="117" t="s">
        <v>326</v>
      </c>
    </row>
    <row r="333" spans="1:50" s="77" customFormat="1" ht="72" x14ac:dyDescent="0.25">
      <c r="A333" s="310"/>
      <c r="B333" s="115" t="s">
        <v>224</v>
      </c>
      <c r="C333" s="115" t="s">
        <v>138</v>
      </c>
      <c r="D333" s="117" t="s">
        <v>106</v>
      </c>
      <c r="E333" s="117" t="s">
        <v>48</v>
      </c>
      <c r="F333" s="272"/>
      <c r="G333" s="119" t="s">
        <v>227</v>
      </c>
      <c r="H333" s="136">
        <v>10</v>
      </c>
      <c r="I333" s="197">
        <v>0</v>
      </c>
      <c r="J333" s="90">
        <v>0</v>
      </c>
      <c r="K333" s="91">
        <v>0</v>
      </c>
      <c r="L333" s="92">
        <v>0</v>
      </c>
      <c r="M333" s="81">
        <v>0</v>
      </c>
      <c r="N333" s="133">
        <f t="shared" si="441"/>
        <v>0</v>
      </c>
      <c r="O333" s="71">
        <v>10</v>
      </c>
      <c r="P333" s="71"/>
      <c r="Q333" s="136"/>
      <c r="R333" s="119" t="s">
        <v>51</v>
      </c>
      <c r="S333" s="120" t="s">
        <v>325</v>
      </c>
      <c r="T333" s="135" t="s">
        <v>77</v>
      </c>
      <c r="U333" s="136">
        <v>100</v>
      </c>
      <c r="V333" s="197">
        <v>0</v>
      </c>
      <c r="W333" s="90">
        <v>0</v>
      </c>
      <c r="X333" s="91">
        <v>0</v>
      </c>
      <c r="Y333" s="92">
        <v>0</v>
      </c>
      <c r="Z333" s="81">
        <v>0</v>
      </c>
      <c r="AA333" s="133">
        <f t="shared" si="433"/>
        <v>0</v>
      </c>
      <c r="AB333" s="71">
        <v>100</v>
      </c>
      <c r="AC333" s="119">
        <v>0</v>
      </c>
      <c r="AD333" s="197">
        <v>0</v>
      </c>
      <c r="AE333" s="90">
        <v>0</v>
      </c>
      <c r="AF333" s="91">
        <v>0</v>
      </c>
      <c r="AG333" s="92">
        <v>0</v>
      </c>
      <c r="AH333" s="81">
        <v>0</v>
      </c>
      <c r="AI333" s="133">
        <f t="shared" si="434"/>
        <v>0</v>
      </c>
      <c r="AJ333" s="71">
        <f>AC333/4*3</f>
        <v>0</v>
      </c>
      <c r="AK333" s="119"/>
      <c r="AL333" s="119"/>
      <c r="AM333" s="46"/>
      <c r="AN333" s="119"/>
      <c r="AO333" s="46"/>
      <c r="AP333" s="119"/>
      <c r="AQ333" s="119"/>
      <c r="AR333" s="122">
        <v>0</v>
      </c>
      <c r="AS333" s="123">
        <v>0</v>
      </c>
      <c r="AT333" s="124">
        <v>0</v>
      </c>
      <c r="AU333" s="119"/>
      <c r="AV333" s="119"/>
      <c r="AW333" s="119"/>
      <c r="AX333" s="117" t="s">
        <v>326</v>
      </c>
    </row>
    <row r="334" spans="1:50" s="77" customFormat="1" ht="36" x14ac:dyDescent="0.25">
      <c r="A334" s="310"/>
      <c r="B334" s="115" t="s">
        <v>224</v>
      </c>
      <c r="C334" s="115" t="s">
        <v>138</v>
      </c>
      <c r="D334" s="117" t="s">
        <v>106</v>
      </c>
      <c r="E334" s="117" t="s">
        <v>48</v>
      </c>
      <c r="F334" s="142" t="s">
        <v>61</v>
      </c>
      <c r="G334" s="155"/>
      <c r="H334" s="153">
        <f t="shared" ref="H334:O334" si="446">SUM(H332:H333)</f>
        <v>60</v>
      </c>
      <c r="I334" s="153">
        <f t="shared" si="446"/>
        <v>0</v>
      </c>
      <c r="J334" s="153">
        <f t="shared" si="446"/>
        <v>0</v>
      </c>
      <c r="K334" s="153">
        <f t="shared" si="446"/>
        <v>0</v>
      </c>
      <c r="L334" s="153">
        <f t="shared" si="446"/>
        <v>0</v>
      </c>
      <c r="M334" s="153">
        <f t="shared" si="446"/>
        <v>0</v>
      </c>
      <c r="N334" s="153">
        <f t="shared" si="441"/>
        <v>0</v>
      </c>
      <c r="O334" s="153">
        <f t="shared" si="446"/>
        <v>60</v>
      </c>
      <c r="P334" s="153"/>
      <c r="Q334" s="156"/>
      <c r="R334" s="129"/>
      <c r="S334" s="157"/>
      <c r="T334" s="158"/>
      <c r="U334" s="153">
        <f t="shared" ref="U334:AJ334" si="447">SUM(U332:U333)</f>
        <v>220</v>
      </c>
      <c r="V334" s="153">
        <f t="shared" si="447"/>
        <v>0</v>
      </c>
      <c r="W334" s="153">
        <f t="shared" si="447"/>
        <v>0</v>
      </c>
      <c r="X334" s="153">
        <f t="shared" si="447"/>
        <v>0</v>
      </c>
      <c r="Y334" s="153">
        <f t="shared" si="447"/>
        <v>0</v>
      </c>
      <c r="Z334" s="153">
        <f t="shared" si="447"/>
        <v>0</v>
      </c>
      <c r="AA334" s="153">
        <f t="shared" si="433"/>
        <v>0</v>
      </c>
      <c r="AB334" s="153">
        <f t="shared" si="447"/>
        <v>220</v>
      </c>
      <c r="AC334" s="153">
        <f t="shared" si="447"/>
        <v>2</v>
      </c>
      <c r="AD334" s="153">
        <f t="shared" si="447"/>
        <v>0</v>
      </c>
      <c r="AE334" s="153">
        <f t="shared" si="447"/>
        <v>0</v>
      </c>
      <c r="AF334" s="153">
        <f t="shared" si="447"/>
        <v>0</v>
      </c>
      <c r="AG334" s="153">
        <f t="shared" ref="AG334" si="448">SUM(AG332:AG333)</f>
        <v>0</v>
      </c>
      <c r="AH334" s="153">
        <f t="shared" si="447"/>
        <v>0</v>
      </c>
      <c r="AI334" s="153">
        <f t="shared" si="434"/>
        <v>0</v>
      </c>
      <c r="AJ334" s="153">
        <f t="shared" si="447"/>
        <v>1</v>
      </c>
      <c r="AK334" s="156"/>
      <c r="AL334" s="156"/>
      <c r="AM334" s="156"/>
      <c r="AN334" s="156"/>
      <c r="AO334" s="156"/>
      <c r="AP334" s="155"/>
      <c r="AQ334" s="153">
        <f>SUM(AQ332:AQ333)</f>
        <v>2</v>
      </c>
      <c r="AR334" s="153">
        <f>SUM(AR332:AR333)</f>
        <v>0</v>
      </c>
      <c r="AS334" s="153">
        <f>SUM(AS332:AS333)</f>
        <v>2</v>
      </c>
      <c r="AT334" s="153">
        <f>SUM(AT332:AT333)</f>
        <v>0</v>
      </c>
      <c r="AU334" s="129"/>
      <c r="AV334" s="156"/>
      <c r="AW334" s="155"/>
      <c r="AX334" s="155" t="s">
        <v>326</v>
      </c>
    </row>
    <row r="335" spans="1:50" s="77" customFormat="1" ht="72" x14ac:dyDescent="0.25">
      <c r="A335" s="310"/>
      <c r="B335" s="115" t="s">
        <v>224</v>
      </c>
      <c r="C335" s="115" t="s">
        <v>141</v>
      </c>
      <c r="D335" s="117" t="s">
        <v>106</v>
      </c>
      <c r="E335" s="117" t="s">
        <v>149</v>
      </c>
      <c r="F335" s="280" t="s">
        <v>49</v>
      </c>
      <c r="G335" s="147" t="s">
        <v>237</v>
      </c>
      <c r="H335" s="159">
        <v>5</v>
      </c>
      <c r="I335" s="197">
        <v>0</v>
      </c>
      <c r="J335" s="90">
        <v>0</v>
      </c>
      <c r="K335" s="91">
        <v>0</v>
      </c>
      <c r="L335" s="92">
        <v>0</v>
      </c>
      <c r="M335" s="81">
        <v>0</v>
      </c>
      <c r="N335" s="133">
        <f t="shared" si="441"/>
        <v>0</v>
      </c>
      <c r="O335" s="71">
        <v>5</v>
      </c>
      <c r="P335" s="71"/>
      <c r="Q335" s="159"/>
      <c r="R335" s="159" t="s">
        <v>51</v>
      </c>
      <c r="S335" s="160" t="s">
        <v>327</v>
      </c>
      <c r="T335" s="147" t="s">
        <v>77</v>
      </c>
      <c r="U335" s="159">
        <v>15</v>
      </c>
      <c r="V335" s="197">
        <v>0</v>
      </c>
      <c r="W335" s="90">
        <v>0</v>
      </c>
      <c r="X335" s="91">
        <v>0</v>
      </c>
      <c r="Y335" s="92">
        <v>0</v>
      </c>
      <c r="Z335" s="81">
        <v>0</v>
      </c>
      <c r="AA335" s="133">
        <f t="shared" si="433"/>
        <v>0</v>
      </c>
      <c r="AB335" s="71">
        <v>15</v>
      </c>
      <c r="AC335" s="159">
        <v>0</v>
      </c>
      <c r="AD335" s="197">
        <v>0</v>
      </c>
      <c r="AE335" s="90">
        <v>0</v>
      </c>
      <c r="AF335" s="91">
        <v>0</v>
      </c>
      <c r="AG335" s="92">
        <v>0</v>
      </c>
      <c r="AH335" s="81">
        <v>0</v>
      </c>
      <c r="AI335" s="133">
        <f t="shared" si="434"/>
        <v>0</v>
      </c>
      <c r="AJ335" s="71">
        <v>0</v>
      </c>
      <c r="AK335" s="159"/>
      <c r="AL335" s="147"/>
      <c r="AM335" s="72"/>
      <c r="AN335" s="159"/>
      <c r="AO335" s="72"/>
      <c r="AP335" s="147"/>
      <c r="AQ335" s="159"/>
      <c r="AR335" s="122">
        <v>0</v>
      </c>
      <c r="AS335" s="123">
        <v>0</v>
      </c>
      <c r="AT335" s="124">
        <v>0</v>
      </c>
      <c r="AU335" s="147"/>
      <c r="AV335" s="159"/>
      <c r="AW335" s="147"/>
      <c r="AX335" s="117" t="s">
        <v>326</v>
      </c>
    </row>
    <row r="336" spans="1:50" s="77" customFormat="1" ht="72" x14ac:dyDescent="0.25">
      <c r="A336" s="310"/>
      <c r="B336" s="115" t="s">
        <v>224</v>
      </c>
      <c r="C336" s="115" t="s">
        <v>141</v>
      </c>
      <c r="D336" s="117" t="s">
        <v>106</v>
      </c>
      <c r="E336" s="117" t="s">
        <v>149</v>
      </c>
      <c r="F336" s="280"/>
      <c r="G336" s="147" t="s">
        <v>227</v>
      </c>
      <c r="H336" s="159">
        <v>15</v>
      </c>
      <c r="I336" s="197">
        <v>0</v>
      </c>
      <c r="J336" s="90">
        <v>3</v>
      </c>
      <c r="K336" s="91">
        <v>3</v>
      </c>
      <c r="L336" s="92">
        <v>0</v>
      </c>
      <c r="M336" s="81">
        <v>0</v>
      </c>
      <c r="N336" s="133">
        <f t="shared" si="441"/>
        <v>6</v>
      </c>
      <c r="O336" s="71">
        <v>10</v>
      </c>
      <c r="P336" s="71"/>
      <c r="Q336" s="147"/>
      <c r="R336" s="159" t="s">
        <v>51</v>
      </c>
      <c r="S336" s="160" t="s">
        <v>327</v>
      </c>
      <c r="T336" s="147" t="s">
        <v>77</v>
      </c>
      <c r="U336" s="159">
        <v>15</v>
      </c>
      <c r="V336" s="197">
        <v>0</v>
      </c>
      <c r="W336" s="90">
        <v>3</v>
      </c>
      <c r="X336" s="91">
        <v>3</v>
      </c>
      <c r="Y336" s="92">
        <v>0</v>
      </c>
      <c r="Z336" s="81">
        <v>0</v>
      </c>
      <c r="AA336" s="133">
        <f t="shared" si="433"/>
        <v>6</v>
      </c>
      <c r="AB336" s="71">
        <v>10</v>
      </c>
      <c r="AC336" s="159">
        <v>1</v>
      </c>
      <c r="AD336" s="197">
        <v>0</v>
      </c>
      <c r="AE336" s="90">
        <v>0</v>
      </c>
      <c r="AF336" s="91">
        <v>0</v>
      </c>
      <c r="AG336" s="92">
        <v>0</v>
      </c>
      <c r="AH336" s="81">
        <v>0</v>
      </c>
      <c r="AI336" s="133">
        <f t="shared" si="434"/>
        <v>0</v>
      </c>
      <c r="AJ336" s="71">
        <v>1</v>
      </c>
      <c r="AK336" s="159"/>
      <c r="AL336" s="147"/>
      <c r="AM336" s="72"/>
      <c r="AN336" s="159"/>
      <c r="AO336" s="72"/>
      <c r="AP336" s="147" t="s">
        <v>58</v>
      </c>
      <c r="AQ336" s="159">
        <v>1</v>
      </c>
      <c r="AR336" s="122">
        <v>0</v>
      </c>
      <c r="AS336" s="123">
        <v>1</v>
      </c>
      <c r="AT336" s="124">
        <v>0</v>
      </c>
      <c r="AU336" s="147"/>
      <c r="AV336" s="159"/>
      <c r="AW336" s="147"/>
      <c r="AX336" s="117" t="s">
        <v>326</v>
      </c>
    </row>
    <row r="337" spans="1:50" s="77" customFormat="1" ht="72" x14ac:dyDescent="0.25">
      <c r="A337" s="310"/>
      <c r="B337" s="115" t="s">
        <v>224</v>
      </c>
      <c r="C337" s="115" t="s">
        <v>141</v>
      </c>
      <c r="D337" s="117" t="s">
        <v>106</v>
      </c>
      <c r="E337" s="117" t="s">
        <v>149</v>
      </c>
      <c r="F337" s="280"/>
      <c r="G337" s="147" t="s">
        <v>228</v>
      </c>
      <c r="H337" s="159">
        <v>15</v>
      </c>
      <c r="I337" s="197">
        <v>0</v>
      </c>
      <c r="J337" s="90">
        <v>15</v>
      </c>
      <c r="K337" s="91">
        <v>3</v>
      </c>
      <c r="L337" s="92">
        <v>0</v>
      </c>
      <c r="M337" s="81">
        <v>3</v>
      </c>
      <c r="N337" s="133">
        <f t="shared" si="441"/>
        <v>21</v>
      </c>
      <c r="O337" s="71">
        <v>10</v>
      </c>
      <c r="P337" s="71"/>
      <c r="Q337" s="159"/>
      <c r="R337" s="159" t="s">
        <v>51</v>
      </c>
      <c r="S337" s="160" t="s">
        <v>327</v>
      </c>
      <c r="T337" s="147" t="s">
        <v>77</v>
      </c>
      <c r="U337" s="159">
        <v>20</v>
      </c>
      <c r="V337" s="197">
        <v>0</v>
      </c>
      <c r="W337" s="90">
        <v>3</v>
      </c>
      <c r="X337" s="91">
        <v>3</v>
      </c>
      <c r="Y337" s="92">
        <v>0</v>
      </c>
      <c r="Z337" s="81">
        <v>3</v>
      </c>
      <c r="AA337" s="133">
        <f t="shared" si="433"/>
        <v>9</v>
      </c>
      <c r="AB337" s="71">
        <v>15</v>
      </c>
      <c r="AC337" s="159">
        <v>1</v>
      </c>
      <c r="AD337" s="197">
        <v>0</v>
      </c>
      <c r="AE337" s="90">
        <v>0</v>
      </c>
      <c r="AF337" s="91">
        <v>0</v>
      </c>
      <c r="AG337" s="92">
        <v>0</v>
      </c>
      <c r="AH337" s="81">
        <v>0</v>
      </c>
      <c r="AI337" s="133">
        <f t="shared" si="434"/>
        <v>0</v>
      </c>
      <c r="AJ337" s="71">
        <v>1</v>
      </c>
      <c r="AK337" s="159"/>
      <c r="AL337" s="147"/>
      <c r="AM337" s="72"/>
      <c r="AN337" s="159"/>
      <c r="AO337" s="72"/>
      <c r="AP337" s="147" t="s">
        <v>58</v>
      </c>
      <c r="AQ337" s="159">
        <v>1</v>
      </c>
      <c r="AR337" s="122">
        <v>0</v>
      </c>
      <c r="AS337" s="123">
        <v>1</v>
      </c>
      <c r="AT337" s="124">
        <v>0</v>
      </c>
      <c r="AU337" s="147"/>
      <c r="AV337" s="159"/>
      <c r="AW337" s="147"/>
      <c r="AX337" s="117" t="s">
        <v>326</v>
      </c>
    </row>
    <row r="338" spans="1:50" s="77" customFormat="1" ht="72" x14ac:dyDescent="0.25">
      <c r="A338" s="310"/>
      <c r="B338" s="115" t="s">
        <v>224</v>
      </c>
      <c r="C338" s="115" t="s">
        <v>141</v>
      </c>
      <c r="D338" s="117" t="s">
        <v>106</v>
      </c>
      <c r="E338" s="117" t="s">
        <v>149</v>
      </c>
      <c r="F338" s="280"/>
      <c r="G338" s="147" t="s">
        <v>260</v>
      </c>
      <c r="H338" s="159">
        <v>5</v>
      </c>
      <c r="I338" s="197">
        <v>0</v>
      </c>
      <c r="J338" s="90">
        <v>0</v>
      </c>
      <c r="K338" s="91">
        <v>0</v>
      </c>
      <c r="L338" s="92">
        <v>0</v>
      </c>
      <c r="M338" s="81">
        <v>0</v>
      </c>
      <c r="N338" s="133">
        <f t="shared" si="441"/>
        <v>0</v>
      </c>
      <c r="O338" s="71">
        <v>5</v>
      </c>
      <c r="P338" s="71"/>
      <c r="Q338" s="159"/>
      <c r="R338" s="159" t="s">
        <v>51</v>
      </c>
      <c r="S338" s="160" t="s">
        <v>327</v>
      </c>
      <c r="T338" s="147" t="s">
        <v>77</v>
      </c>
      <c r="U338" s="159">
        <v>15</v>
      </c>
      <c r="V338" s="197">
        <v>0</v>
      </c>
      <c r="W338" s="90">
        <v>0</v>
      </c>
      <c r="X338" s="91">
        <v>0</v>
      </c>
      <c r="Y338" s="92">
        <v>0</v>
      </c>
      <c r="Z338" s="81">
        <v>0</v>
      </c>
      <c r="AA338" s="133">
        <f t="shared" si="433"/>
        <v>0</v>
      </c>
      <c r="AB338" s="71">
        <v>15</v>
      </c>
      <c r="AC338" s="159">
        <v>0</v>
      </c>
      <c r="AD338" s="197">
        <v>0</v>
      </c>
      <c r="AE338" s="90">
        <v>0</v>
      </c>
      <c r="AF338" s="91">
        <v>0</v>
      </c>
      <c r="AG338" s="92">
        <v>0</v>
      </c>
      <c r="AH338" s="81">
        <v>0</v>
      </c>
      <c r="AI338" s="133">
        <f t="shared" si="434"/>
        <v>0</v>
      </c>
      <c r="AJ338" s="71">
        <v>0</v>
      </c>
      <c r="AK338" s="159"/>
      <c r="AL338" s="147"/>
      <c r="AM338" s="72"/>
      <c r="AN338" s="159"/>
      <c r="AO338" s="72"/>
      <c r="AP338" s="147"/>
      <c r="AQ338" s="159"/>
      <c r="AR338" s="122">
        <v>0</v>
      </c>
      <c r="AS338" s="123">
        <v>0</v>
      </c>
      <c r="AT338" s="124">
        <v>0</v>
      </c>
      <c r="AU338" s="147"/>
      <c r="AV338" s="159"/>
      <c r="AW338" s="147"/>
      <c r="AX338" s="117" t="s">
        <v>326</v>
      </c>
    </row>
    <row r="339" spans="1:50" s="77" customFormat="1" ht="72" x14ac:dyDescent="0.25">
      <c r="A339" s="310"/>
      <c r="B339" s="115" t="s">
        <v>224</v>
      </c>
      <c r="C339" s="115" t="s">
        <v>141</v>
      </c>
      <c r="D339" s="117" t="s">
        <v>106</v>
      </c>
      <c r="E339" s="117" t="s">
        <v>149</v>
      </c>
      <c r="F339" s="280"/>
      <c r="G339" s="147" t="s">
        <v>229</v>
      </c>
      <c r="H339" s="159">
        <v>5</v>
      </c>
      <c r="I339" s="197">
        <v>0</v>
      </c>
      <c r="J339" s="90">
        <v>0</v>
      </c>
      <c r="K339" s="91">
        <v>2</v>
      </c>
      <c r="L339" s="92">
        <v>0</v>
      </c>
      <c r="M339" s="81">
        <v>2</v>
      </c>
      <c r="N339" s="133">
        <f t="shared" si="441"/>
        <v>4</v>
      </c>
      <c r="O339" s="71">
        <v>0</v>
      </c>
      <c r="P339" s="71"/>
      <c r="Q339" s="159"/>
      <c r="R339" s="159" t="s">
        <v>51</v>
      </c>
      <c r="S339" s="160" t="s">
        <v>327</v>
      </c>
      <c r="T339" s="147" t="s">
        <v>77</v>
      </c>
      <c r="U339" s="159">
        <v>5</v>
      </c>
      <c r="V339" s="197">
        <v>0</v>
      </c>
      <c r="W339" s="90">
        <v>0</v>
      </c>
      <c r="X339" s="91">
        <v>2</v>
      </c>
      <c r="Y339" s="92">
        <v>0</v>
      </c>
      <c r="Z339" s="81">
        <v>2</v>
      </c>
      <c r="AA339" s="133">
        <f t="shared" si="433"/>
        <v>4</v>
      </c>
      <c r="AB339" s="71">
        <v>0</v>
      </c>
      <c r="AC339" s="159">
        <v>0</v>
      </c>
      <c r="AD339" s="197">
        <v>0</v>
      </c>
      <c r="AE339" s="90">
        <v>0</v>
      </c>
      <c r="AF339" s="91">
        <v>0</v>
      </c>
      <c r="AG339" s="92">
        <v>0</v>
      </c>
      <c r="AH339" s="81">
        <v>0</v>
      </c>
      <c r="AI339" s="133">
        <f t="shared" si="434"/>
        <v>0</v>
      </c>
      <c r="AJ339" s="71">
        <v>0</v>
      </c>
      <c r="AK339" s="159"/>
      <c r="AL339" s="147"/>
      <c r="AM339" s="72"/>
      <c r="AN339" s="159"/>
      <c r="AO339" s="72"/>
      <c r="AP339" s="147"/>
      <c r="AQ339" s="159"/>
      <c r="AR339" s="122">
        <v>0</v>
      </c>
      <c r="AS339" s="123">
        <v>0</v>
      </c>
      <c r="AT339" s="124">
        <v>0</v>
      </c>
      <c r="AU339" s="147"/>
      <c r="AV339" s="159"/>
      <c r="AW339" s="147"/>
      <c r="AX339" s="117" t="s">
        <v>326</v>
      </c>
    </row>
    <row r="340" spans="1:50" s="77" customFormat="1" ht="72" x14ac:dyDescent="0.25">
      <c r="A340" s="310"/>
      <c r="B340" s="115" t="s">
        <v>224</v>
      </c>
      <c r="C340" s="115" t="s">
        <v>141</v>
      </c>
      <c r="D340" s="117" t="s">
        <v>106</v>
      </c>
      <c r="E340" s="117" t="s">
        <v>149</v>
      </c>
      <c r="F340" s="280"/>
      <c r="G340" s="147" t="s">
        <v>328</v>
      </c>
      <c r="H340" s="159">
        <v>10</v>
      </c>
      <c r="I340" s="197">
        <v>0</v>
      </c>
      <c r="J340" s="90">
        <v>3</v>
      </c>
      <c r="K340" s="91">
        <v>1</v>
      </c>
      <c r="L340" s="92">
        <v>0</v>
      </c>
      <c r="M340" s="81">
        <v>0</v>
      </c>
      <c r="N340" s="133">
        <f t="shared" si="441"/>
        <v>4</v>
      </c>
      <c r="O340" s="71">
        <v>5</v>
      </c>
      <c r="P340" s="71"/>
      <c r="Q340" s="159"/>
      <c r="R340" s="159" t="s">
        <v>51</v>
      </c>
      <c r="S340" s="160" t="s">
        <v>327</v>
      </c>
      <c r="T340" s="147" t="s">
        <v>77</v>
      </c>
      <c r="U340" s="159">
        <v>10</v>
      </c>
      <c r="V340" s="197">
        <v>0</v>
      </c>
      <c r="W340" s="90">
        <v>3</v>
      </c>
      <c r="X340" s="91">
        <v>1</v>
      </c>
      <c r="Y340" s="92">
        <v>0</v>
      </c>
      <c r="Z340" s="81">
        <v>0</v>
      </c>
      <c r="AA340" s="133">
        <f t="shared" si="433"/>
        <v>4</v>
      </c>
      <c r="AB340" s="71">
        <v>5</v>
      </c>
      <c r="AC340" s="159">
        <v>1</v>
      </c>
      <c r="AD340" s="197">
        <v>0</v>
      </c>
      <c r="AE340" s="90">
        <v>0</v>
      </c>
      <c r="AF340" s="91">
        <v>0</v>
      </c>
      <c r="AG340" s="92">
        <v>0</v>
      </c>
      <c r="AH340" s="81">
        <v>0</v>
      </c>
      <c r="AI340" s="133">
        <f t="shared" si="434"/>
        <v>0</v>
      </c>
      <c r="AJ340" s="71">
        <v>1</v>
      </c>
      <c r="AK340" s="159"/>
      <c r="AL340" s="147"/>
      <c r="AM340" s="72"/>
      <c r="AN340" s="159"/>
      <c r="AO340" s="72"/>
      <c r="AP340" s="147" t="s">
        <v>58</v>
      </c>
      <c r="AQ340" s="159">
        <v>1</v>
      </c>
      <c r="AR340" s="122">
        <v>0</v>
      </c>
      <c r="AS340" s="123">
        <v>1</v>
      </c>
      <c r="AT340" s="124">
        <v>0</v>
      </c>
      <c r="AU340" s="147"/>
      <c r="AV340" s="159"/>
      <c r="AW340" s="147"/>
      <c r="AX340" s="117" t="s">
        <v>326</v>
      </c>
    </row>
    <row r="341" spans="1:50" s="77" customFormat="1" ht="36" x14ac:dyDescent="0.25">
      <c r="A341" s="310"/>
      <c r="B341" s="115" t="s">
        <v>224</v>
      </c>
      <c r="C341" s="115" t="s">
        <v>141</v>
      </c>
      <c r="D341" s="117" t="s">
        <v>106</v>
      </c>
      <c r="E341" s="117" t="s">
        <v>149</v>
      </c>
      <c r="F341" s="142" t="s">
        <v>61</v>
      </c>
      <c r="G341" s="155"/>
      <c r="H341" s="153">
        <f>SUBTOTAL(9,H335:H340)</f>
        <v>55</v>
      </c>
      <c r="I341" s="153">
        <f t="shared" ref="I341" si="449">SUBTOTAL(9,I335:I340)</f>
        <v>0</v>
      </c>
      <c r="J341" s="153">
        <f t="shared" ref="J341:O341" si="450">SUBTOTAL(9,J335:J340)</f>
        <v>21</v>
      </c>
      <c r="K341" s="153">
        <f t="shared" si="450"/>
        <v>9</v>
      </c>
      <c r="L341" s="153">
        <f t="shared" si="450"/>
        <v>0</v>
      </c>
      <c r="M341" s="153">
        <f t="shared" si="450"/>
        <v>5</v>
      </c>
      <c r="N341" s="153">
        <f t="shared" si="441"/>
        <v>35</v>
      </c>
      <c r="O341" s="153">
        <f t="shared" si="450"/>
        <v>35</v>
      </c>
      <c r="P341" s="153"/>
      <c r="Q341" s="156"/>
      <c r="R341" s="129"/>
      <c r="S341" s="157"/>
      <c r="T341" s="158"/>
      <c r="U341" s="153">
        <f t="shared" ref="U341:AJ341" si="451">SUM(U335:U340)</f>
        <v>80</v>
      </c>
      <c r="V341" s="153">
        <f t="shared" si="451"/>
        <v>0</v>
      </c>
      <c r="W341" s="153">
        <f t="shared" si="451"/>
        <v>9</v>
      </c>
      <c r="X341" s="153">
        <f t="shared" si="451"/>
        <v>9</v>
      </c>
      <c r="Y341" s="153">
        <f t="shared" ref="Y341" si="452">SUBTOTAL(9,Y335:Y340)</f>
        <v>0</v>
      </c>
      <c r="Z341" s="153">
        <f t="shared" si="451"/>
        <v>5</v>
      </c>
      <c r="AA341" s="153">
        <f t="shared" si="433"/>
        <v>23</v>
      </c>
      <c r="AB341" s="153">
        <f t="shared" si="451"/>
        <v>60</v>
      </c>
      <c r="AC341" s="153">
        <f t="shared" si="451"/>
        <v>3</v>
      </c>
      <c r="AD341" s="153">
        <f t="shared" si="451"/>
        <v>0</v>
      </c>
      <c r="AE341" s="153">
        <f t="shared" si="451"/>
        <v>0</v>
      </c>
      <c r="AF341" s="153">
        <f t="shared" si="451"/>
        <v>0</v>
      </c>
      <c r="AG341" s="153">
        <f t="shared" ref="AG341" si="453">SUM(AG335:AG340)</f>
        <v>0</v>
      </c>
      <c r="AH341" s="153">
        <f t="shared" si="451"/>
        <v>0</v>
      </c>
      <c r="AI341" s="153">
        <f t="shared" si="434"/>
        <v>0</v>
      </c>
      <c r="AJ341" s="153">
        <f t="shared" si="451"/>
        <v>3</v>
      </c>
      <c r="AK341" s="156"/>
      <c r="AL341" s="156"/>
      <c r="AM341" s="156"/>
      <c r="AN341" s="156"/>
      <c r="AO341" s="156"/>
      <c r="AP341" s="155"/>
      <c r="AQ341" s="153">
        <f>SUM(AQ335:AQ340)</f>
        <v>3</v>
      </c>
      <c r="AR341" s="153">
        <f>SUM(AR335:AR340)</f>
        <v>0</v>
      </c>
      <c r="AS341" s="153">
        <f>SUM(AS335:AS340)</f>
        <v>3</v>
      </c>
      <c r="AT341" s="153">
        <f>SUM(AT335:AT340)</f>
        <v>0</v>
      </c>
      <c r="AU341" s="129"/>
      <c r="AV341" s="156"/>
      <c r="AW341" s="155"/>
      <c r="AX341" s="155" t="s">
        <v>326</v>
      </c>
    </row>
    <row r="342" spans="1:50" s="77" customFormat="1" ht="72" x14ac:dyDescent="0.25">
      <c r="A342" s="310"/>
      <c r="B342" s="115" t="s">
        <v>224</v>
      </c>
      <c r="C342" s="115" t="s">
        <v>329</v>
      </c>
      <c r="D342" s="117" t="s">
        <v>106</v>
      </c>
      <c r="E342" s="117" t="s">
        <v>48</v>
      </c>
      <c r="F342" s="273" t="s">
        <v>49</v>
      </c>
      <c r="G342" s="119" t="s">
        <v>237</v>
      </c>
      <c r="H342" s="136">
        <v>100</v>
      </c>
      <c r="I342" s="197">
        <v>0</v>
      </c>
      <c r="J342" s="90">
        <v>0</v>
      </c>
      <c r="K342" s="91">
        <v>8</v>
      </c>
      <c r="L342" s="92">
        <v>1</v>
      </c>
      <c r="M342" s="81">
        <v>0</v>
      </c>
      <c r="N342" s="133">
        <f t="shared" si="441"/>
        <v>9</v>
      </c>
      <c r="O342" s="71">
        <v>90</v>
      </c>
      <c r="P342" s="71"/>
      <c r="Q342" s="136"/>
      <c r="R342" s="119" t="s">
        <v>51</v>
      </c>
      <c r="S342" s="120" t="s">
        <v>330</v>
      </c>
      <c r="T342" s="135" t="s">
        <v>77</v>
      </c>
      <c r="U342" s="136">
        <v>120</v>
      </c>
      <c r="V342" s="197">
        <v>0</v>
      </c>
      <c r="W342" s="90">
        <v>0</v>
      </c>
      <c r="X342" s="91">
        <v>8</v>
      </c>
      <c r="Y342" s="92">
        <v>1</v>
      </c>
      <c r="Z342" s="81">
        <v>0</v>
      </c>
      <c r="AA342" s="133">
        <f t="shared" si="433"/>
        <v>9</v>
      </c>
      <c r="AB342" s="71">
        <v>110</v>
      </c>
      <c r="AC342" s="136">
        <v>1</v>
      </c>
      <c r="AD342" s="197">
        <v>0</v>
      </c>
      <c r="AE342" s="90">
        <v>0</v>
      </c>
      <c r="AF342" s="91">
        <v>0</v>
      </c>
      <c r="AG342" s="92">
        <v>0</v>
      </c>
      <c r="AH342" s="81">
        <v>0</v>
      </c>
      <c r="AI342" s="133">
        <f t="shared" si="434"/>
        <v>0</v>
      </c>
      <c r="AJ342" s="71">
        <f>AC342/4*3</f>
        <v>0.75</v>
      </c>
      <c r="AK342" s="136"/>
      <c r="AL342" s="136"/>
      <c r="AM342" s="72"/>
      <c r="AN342" s="136"/>
      <c r="AO342" s="72"/>
      <c r="AP342" s="119" t="s">
        <v>58</v>
      </c>
      <c r="AQ342" s="136">
        <v>1</v>
      </c>
      <c r="AR342" s="122">
        <f>AQ342/4*1</f>
        <v>0.25</v>
      </c>
      <c r="AS342" s="123">
        <f>AQ342/4*3</f>
        <v>0.75</v>
      </c>
      <c r="AT342" s="124">
        <v>0</v>
      </c>
      <c r="AU342" s="119"/>
      <c r="AV342" s="136"/>
      <c r="AW342" s="119"/>
      <c r="AX342" s="117" t="s">
        <v>326</v>
      </c>
    </row>
    <row r="343" spans="1:50" s="77" customFormat="1" ht="72" x14ac:dyDescent="0.25">
      <c r="A343" s="310"/>
      <c r="B343" s="115" t="s">
        <v>224</v>
      </c>
      <c r="C343" s="115" t="s">
        <v>329</v>
      </c>
      <c r="D343" s="117" t="s">
        <v>106</v>
      </c>
      <c r="E343" s="117" t="s">
        <v>48</v>
      </c>
      <c r="F343" s="274"/>
      <c r="G343" s="119" t="s">
        <v>227</v>
      </c>
      <c r="H343" s="136">
        <v>35</v>
      </c>
      <c r="I343" s="197">
        <v>0</v>
      </c>
      <c r="J343" s="90">
        <v>3</v>
      </c>
      <c r="K343" s="91">
        <v>5</v>
      </c>
      <c r="L343" s="92">
        <v>0</v>
      </c>
      <c r="M343" s="81">
        <v>0</v>
      </c>
      <c r="N343" s="133">
        <f t="shared" si="441"/>
        <v>8</v>
      </c>
      <c r="O343" s="71">
        <v>25</v>
      </c>
      <c r="P343" s="71"/>
      <c r="Q343" s="136"/>
      <c r="R343" s="119" t="s">
        <v>51</v>
      </c>
      <c r="S343" s="120" t="s">
        <v>330</v>
      </c>
      <c r="T343" s="135" t="s">
        <v>77</v>
      </c>
      <c r="U343" s="136">
        <v>60</v>
      </c>
      <c r="V343" s="197">
        <v>0</v>
      </c>
      <c r="W343" s="90">
        <v>3</v>
      </c>
      <c r="X343" s="91">
        <v>5</v>
      </c>
      <c r="Y343" s="92">
        <v>0</v>
      </c>
      <c r="Z343" s="81">
        <v>0</v>
      </c>
      <c r="AA343" s="133">
        <f t="shared" si="433"/>
        <v>8</v>
      </c>
      <c r="AB343" s="71">
        <v>50</v>
      </c>
      <c r="AC343" s="136">
        <v>0</v>
      </c>
      <c r="AD343" s="197">
        <v>0</v>
      </c>
      <c r="AE343" s="90">
        <v>0</v>
      </c>
      <c r="AF343" s="91">
        <v>0</v>
      </c>
      <c r="AG343" s="92">
        <v>0</v>
      </c>
      <c r="AH343" s="81">
        <v>0</v>
      </c>
      <c r="AI343" s="133">
        <f t="shared" si="434"/>
        <v>0</v>
      </c>
      <c r="AJ343" s="71">
        <f>AC343/4*3</f>
        <v>0</v>
      </c>
      <c r="AK343" s="136"/>
      <c r="AL343" s="136"/>
      <c r="AM343" s="72"/>
      <c r="AN343" s="136"/>
      <c r="AO343" s="72"/>
      <c r="AP343" s="119"/>
      <c r="AQ343" s="136"/>
      <c r="AR343" s="122">
        <v>0</v>
      </c>
      <c r="AS343" s="123">
        <v>0</v>
      </c>
      <c r="AT343" s="124">
        <v>0</v>
      </c>
      <c r="AU343" s="119"/>
      <c r="AV343" s="136"/>
      <c r="AW343" s="119"/>
      <c r="AX343" s="117" t="s">
        <v>326</v>
      </c>
    </row>
    <row r="344" spans="1:50" s="77" customFormat="1" ht="72" x14ac:dyDescent="0.25">
      <c r="A344" s="310"/>
      <c r="B344" s="115" t="s">
        <v>224</v>
      </c>
      <c r="C344" s="115" t="s">
        <v>329</v>
      </c>
      <c r="D344" s="117" t="s">
        <v>106</v>
      </c>
      <c r="E344" s="117" t="s">
        <v>48</v>
      </c>
      <c r="F344" s="274"/>
      <c r="G344" s="119" t="s">
        <v>228</v>
      </c>
      <c r="H344" s="136">
        <v>110</v>
      </c>
      <c r="I344" s="197">
        <v>0</v>
      </c>
      <c r="J344" s="90">
        <v>3</v>
      </c>
      <c r="K344" s="91">
        <v>0</v>
      </c>
      <c r="L344" s="92">
        <v>1</v>
      </c>
      <c r="M344" s="81">
        <v>3</v>
      </c>
      <c r="N344" s="133">
        <f t="shared" si="441"/>
        <v>7</v>
      </c>
      <c r="O344" s="71">
        <v>100</v>
      </c>
      <c r="P344" s="71"/>
      <c r="Q344" s="136"/>
      <c r="R344" s="119" t="s">
        <v>51</v>
      </c>
      <c r="S344" s="120" t="s">
        <v>330</v>
      </c>
      <c r="T344" s="135" t="s">
        <v>77</v>
      </c>
      <c r="U344" s="136">
        <v>120</v>
      </c>
      <c r="V344" s="197">
        <v>0</v>
      </c>
      <c r="W344" s="90">
        <v>3</v>
      </c>
      <c r="X344" s="91">
        <v>0</v>
      </c>
      <c r="Y344" s="92">
        <v>1</v>
      </c>
      <c r="Z344" s="81">
        <v>3</v>
      </c>
      <c r="AA344" s="133">
        <f t="shared" si="433"/>
        <v>7</v>
      </c>
      <c r="AB344" s="71">
        <v>110</v>
      </c>
      <c r="AC344" s="136">
        <v>0</v>
      </c>
      <c r="AD344" s="197">
        <v>0</v>
      </c>
      <c r="AE344" s="90">
        <v>0</v>
      </c>
      <c r="AF344" s="91">
        <v>0</v>
      </c>
      <c r="AG344" s="92">
        <v>0</v>
      </c>
      <c r="AH344" s="81">
        <v>0</v>
      </c>
      <c r="AI344" s="133">
        <f t="shared" si="434"/>
        <v>0</v>
      </c>
      <c r="AJ344" s="71">
        <f>AC344/4*3</f>
        <v>0</v>
      </c>
      <c r="AK344" s="136"/>
      <c r="AL344" s="136"/>
      <c r="AM344" s="72"/>
      <c r="AN344" s="136"/>
      <c r="AO344" s="72"/>
      <c r="AP344" s="119"/>
      <c r="AQ344" s="136"/>
      <c r="AR344" s="122">
        <v>0</v>
      </c>
      <c r="AS344" s="123">
        <v>0</v>
      </c>
      <c r="AT344" s="124">
        <v>0</v>
      </c>
      <c r="AU344" s="119"/>
      <c r="AV344" s="136"/>
      <c r="AW344" s="119"/>
      <c r="AX344" s="117" t="s">
        <v>326</v>
      </c>
    </row>
    <row r="345" spans="1:50" s="77" customFormat="1" ht="72" x14ac:dyDescent="0.25">
      <c r="A345" s="310"/>
      <c r="B345" s="115" t="s">
        <v>224</v>
      </c>
      <c r="C345" s="115" t="s">
        <v>329</v>
      </c>
      <c r="D345" s="117" t="s">
        <v>106</v>
      </c>
      <c r="E345" s="117" t="s">
        <v>48</v>
      </c>
      <c r="F345" s="275"/>
      <c r="G345" s="119" t="s">
        <v>260</v>
      </c>
      <c r="H345" s="136">
        <v>5</v>
      </c>
      <c r="I345" s="197">
        <v>0</v>
      </c>
      <c r="J345" s="90">
        <v>0</v>
      </c>
      <c r="K345" s="91">
        <v>0</v>
      </c>
      <c r="L345" s="92">
        <v>0</v>
      </c>
      <c r="M345" s="81">
        <v>0</v>
      </c>
      <c r="N345" s="133">
        <f t="shared" si="441"/>
        <v>0</v>
      </c>
      <c r="O345" s="71">
        <v>5</v>
      </c>
      <c r="P345" s="71"/>
      <c r="Q345" s="136"/>
      <c r="R345" s="119" t="s">
        <v>51</v>
      </c>
      <c r="S345" s="120" t="s">
        <v>330</v>
      </c>
      <c r="T345" s="135" t="s">
        <v>77</v>
      </c>
      <c r="U345" s="136">
        <v>5</v>
      </c>
      <c r="V345" s="197">
        <v>0</v>
      </c>
      <c r="W345" s="90">
        <v>0</v>
      </c>
      <c r="X345" s="91">
        <v>0</v>
      </c>
      <c r="Y345" s="92">
        <v>0</v>
      </c>
      <c r="Z345" s="81">
        <v>0</v>
      </c>
      <c r="AA345" s="133">
        <f t="shared" si="433"/>
        <v>0</v>
      </c>
      <c r="AB345" s="71">
        <v>5</v>
      </c>
      <c r="AC345" s="136">
        <v>0</v>
      </c>
      <c r="AD345" s="197">
        <v>0</v>
      </c>
      <c r="AE345" s="90">
        <v>0</v>
      </c>
      <c r="AF345" s="91">
        <v>0</v>
      </c>
      <c r="AG345" s="92">
        <v>0</v>
      </c>
      <c r="AH345" s="81">
        <v>0</v>
      </c>
      <c r="AI345" s="133">
        <f t="shared" si="434"/>
        <v>0</v>
      </c>
      <c r="AJ345" s="71">
        <v>0</v>
      </c>
      <c r="AK345" s="136"/>
      <c r="AL345" s="136"/>
      <c r="AM345" s="72"/>
      <c r="AN345" s="136"/>
      <c r="AO345" s="72"/>
      <c r="AP345" s="119"/>
      <c r="AQ345" s="136"/>
      <c r="AR345" s="122"/>
      <c r="AS345" s="123"/>
      <c r="AT345" s="124"/>
      <c r="AU345" s="119"/>
      <c r="AV345" s="136"/>
      <c r="AW345" s="119"/>
      <c r="AX345" s="117"/>
    </row>
    <row r="346" spans="1:50" s="77" customFormat="1" ht="36" x14ac:dyDescent="0.25">
      <c r="A346" s="310"/>
      <c r="B346" s="115" t="s">
        <v>224</v>
      </c>
      <c r="C346" s="115" t="s">
        <v>329</v>
      </c>
      <c r="D346" s="117" t="s">
        <v>106</v>
      </c>
      <c r="E346" s="117" t="s">
        <v>48</v>
      </c>
      <c r="F346" s="142" t="s">
        <v>61</v>
      </c>
      <c r="G346" s="155"/>
      <c r="H346" s="153">
        <f>SUBTOTAL(9,H342:H345)</f>
        <v>250</v>
      </c>
      <c r="I346" s="153">
        <f t="shared" ref="I346" si="454">SUBTOTAL(9,I342:I345)</f>
        <v>0</v>
      </c>
      <c r="J346" s="153">
        <f t="shared" ref="J346:O346" si="455">SUBTOTAL(9,J342:J345)</f>
        <v>6</v>
      </c>
      <c r="K346" s="153">
        <f t="shared" si="455"/>
        <v>13</v>
      </c>
      <c r="L346" s="153">
        <f t="shared" si="455"/>
        <v>2</v>
      </c>
      <c r="M346" s="153">
        <f t="shared" si="455"/>
        <v>3</v>
      </c>
      <c r="N346" s="153">
        <f t="shared" si="441"/>
        <v>24</v>
      </c>
      <c r="O346" s="153">
        <f t="shared" si="455"/>
        <v>220</v>
      </c>
      <c r="P346" s="153"/>
      <c r="Q346" s="156"/>
      <c r="R346" s="129"/>
      <c r="S346" s="157"/>
      <c r="T346" s="158"/>
      <c r="U346" s="153">
        <f>SUBTOTAL(9,U342:U345)</f>
        <v>305</v>
      </c>
      <c r="V346" s="153">
        <f t="shared" ref="V346" si="456">SUBTOTAL(9,V342:V345)</f>
        <v>0</v>
      </c>
      <c r="W346" s="153">
        <f t="shared" ref="W346:AJ346" si="457">SUBTOTAL(9,W342:W345)</f>
        <v>6</v>
      </c>
      <c r="X346" s="153">
        <f t="shared" si="457"/>
        <v>13</v>
      </c>
      <c r="Y346" s="153">
        <f t="shared" si="457"/>
        <v>2</v>
      </c>
      <c r="Z346" s="153">
        <f t="shared" si="457"/>
        <v>3</v>
      </c>
      <c r="AA346" s="153">
        <f t="shared" si="433"/>
        <v>24</v>
      </c>
      <c r="AB346" s="153">
        <f t="shared" si="457"/>
        <v>275</v>
      </c>
      <c r="AC346" s="153">
        <f t="shared" si="457"/>
        <v>1</v>
      </c>
      <c r="AD346" s="153">
        <f t="shared" si="457"/>
        <v>0</v>
      </c>
      <c r="AE346" s="153">
        <f t="shared" si="457"/>
        <v>0</v>
      </c>
      <c r="AF346" s="153">
        <f t="shared" si="457"/>
        <v>0</v>
      </c>
      <c r="AG346" s="153">
        <f t="shared" ref="AG346" si="458">SUBTOTAL(9,AG342:AG345)</f>
        <v>0</v>
      </c>
      <c r="AH346" s="153">
        <f t="shared" si="457"/>
        <v>0</v>
      </c>
      <c r="AI346" s="153">
        <f t="shared" si="434"/>
        <v>0</v>
      </c>
      <c r="AJ346" s="153">
        <f t="shared" si="457"/>
        <v>0.75</v>
      </c>
      <c r="AK346" s="156"/>
      <c r="AL346" s="156"/>
      <c r="AM346" s="156"/>
      <c r="AN346" s="156"/>
      <c r="AO346" s="156"/>
      <c r="AP346" s="155"/>
      <c r="AQ346" s="153">
        <f>SUBTOTAL(9,AQ342:AQ345)</f>
        <v>1</v>
      </c>
      <c r="AR346" s="153">
        <f t="shared" ref="AR346:AT346" si="459">SUBTOTAL(9,AR342:AR345)</f>
        <v>0.25</v>
      </c>
      <c r="AS346" s="153">
        <f t="shared" si="459"/>
        <v>0.75</v>
      </c>
      <c r="AT346" s="153">
        <f t="shared" si="459"/>
        <v>0</v>
      </c>
      <c r="AU346" s="129"/>
      <c r="AV346" s="156"/>
      <c r="AW346" s="155"/>
      <c r="AX346" s="155" t="s">
        <v>326</v>
      </c>
    </row>
    <row r="347" spans="1:50" s="77" customFormat="1" ht="72" x14ac:dyDescent="0.25">
      <c r="A347" s="310"/>
      <c r="B347" s="115" t="s">
        <v>224</v>
      </c>
      <c r="C347" s="115" t="s">
        <v>145</v>
      </c>
      <c r="D347" s="117" t="s">
        <v>106</v>
      </c>
      <c r="E347" s="117" t="s">
        <v>70</v>
      </c>
      <c r="F347" s="272" t="s">
        <v>49</v>
      </c>
      <c r="G347" s="119" t="s">
        <v>231</v>
      </c>
      <c r="H347" s="272">
        <v>50</v>
      </c>
      <c r="I347" s="238">
        <v>0</v>
      </c>
      <c r="J347" s="230">
        <v>0</v>
      </c>
      <c r="K347" s="224">
        <v>40</v>
      </c>
      <c r="L347" s="226">
        <v>25</v>
      </c>
      <c r="M347" s="232">
        <v>20</v>
      </c>
      <c r="N347" s="278">
        <f t="shared" si="441"/>
        <v>85</v>
      </c>
      <c r="O347" s="242">
        <v>25</v>
      </c>
      <c r="P347" s="71"/>
      <c r="Q347" s="272"/>
      <c r="R347" s="119" t="s">
        <v>51</v>
      </c>
      <c r="S347" s="120" t="s">
        <v>482</v>
      </c>
      <c r="T347" s="277" t="s">
        <v>146</v>
      </c>
      <c r="U347" s="272">
        <v>200</v>
      </c>
      <c r="V347" s="238">
        <v>0</v>
      </c>
      <c r="W347" s="230">
        <v>0</v>
      </c>
      <c r="X347" s="224">
        <v>40</v>
      </c>
      <c r="Y347" s="226">
        <v>25</v>
      </c>
      <c r="Z347" s="232">
        <v>20</v>
      </c>
      <c r="AA347" s="278">
        <f t="shared" si="433"/>
        <v>85</v>
      </c>
      <c r="AB347" s="242">
        <v>115</v>
      </c>
      <c r="AC347" s="272">
        <v>40</v>
      </c>
      <c r="AD347" s="238">
        <v>0</v>
      </c>
      <c r="AE347" s="230">
        <v>0</v>
      </c>
      <c r="AF347" s="224">
        <v>0</v>
      </c>
      <c r="AG347" s="226">
        <v>0</v>
      </c>
      <c r="AH347" s="232">
        <v>0</v>
      </c>
      <c r="AI347" s="278">
        <f t="shared" si="434"/>
        <v>0</v>
      </c>
      <c r="AJ347" s="242">
        <v>40</v>
      </c>
      <c r="AK347" s="272"/>
      <c r="AL347" s="272"/>
      <c r="AM347" s="243"/>
      <c r="AN347" s="272"/>
      <c r="AO347" s="72"/>
      <c r="AP347" s="251" t="s">
        <v>58</v>
      </c>
      <c r="AQ347" s="272">
        <v>40</v>
      </c>
      <c r="AR347" s="281">
        <v>0</v>
      </c>
      <c r="AS347" s="282">
        <v>0</v>
      </c>
      <c r="AT347" s="283">
        <v>40</v>
      </c>
      <c r="AU347" s="272"/>
      <c r="AV347" s="272"/>
      <c r="AW347" s="272"/>
      <c r="AX347" s="138" t="s">
        <v>147</v>
      </c>
    </row>
    <row r="348" spans="1:50" s="77" customFormat="1" ht="72" x14ac:dyDescent="0.25">
      <c r="A348" s="310"/>
      <c r="B348" s="115" t="s">
        <v>224</v>
      </c>
      <c r="C348" s="115" t="s">
        <v>145</v>
      </c>
      <c r="D348" s="117" t="s">
        <v>106</v>
      </c>
      <c r="E348" s="117" t="s">
        <v>70</v>
      </c>
      <c r="F348" s="272"/>
      <c r="G348" s="119" t="s">
        <v>231</v>
      </c>
      <c r="H348" s="272"/>
      <c r="I348" s="239"/>
      <c r="J348" s="231"/>
      <c r="K348" s="225"/>
      <c r="L348" s="227"/>
      <c r="M348" s="233"/>
      <c r="N348" s="278">
        <f t="shared" si="441"/>
        <v>0</v>
      </c>
      <c r="O348" s="242"/>
      <c r="P348" s="71"/>
      <c r="Q348" s="272"/>
      <c r="R348" s="119" t="s">
        <v>173</v>
      </c>
      <c r="S348" s="120" t="s">
        <v>232</v>
      </c>
      <c r="T348" s="277"/>
      <c r="U348" s="272"/>
      <c r="V348" s="239"/>
      <c r="W348" s="231"/>
      <c r="X348" s="225"/>
      <c r="Y348" s="227"/>
      <c r="Z348" s="233"/>
      <c r="AA348" s="278">
        <f t="shared" si="433"/>
        <v>0</v>
      </c>
      <c r="AB348" s="242"/>
      <c r="AC348" s="272"/>
      <c r="AD348" s="239"/>
      <c r="AE348" s="231"/>
      <c r="AF348" s="225"/>
      <c r="AG348" s="227"/>
      <c r="AH348" s="233"/>
      <c r="AI348" s="278">
        <f t="shared" si="434"/>
        <v>0</v>
      </c>
      <c r="AJ348" s="242"/>
      <c r="AK348" s="272"/>
      <c r="AL348" s="272"/>
      <c r="AM348" s="243"/>
      <c r="AN348" s="272"/>
      <c r="AO348" s="72"/>
      <c r="AP348" s="251"/>
      <c r="AQ348" s="272"/>
      <c r="AR348" s="281"/>
      <c r="AS348" s="282"/>
      <c r="AT348" s="283"/>
      <c r="AU348" s="272"/>
      <c r="AV348" s="272"/>
      <c r="AW348" s="272"/>
      <c r="AX348" s="138" t="s">
        <v>147</v>
      </c>
    </row>
    <row r="349" spans="1:50" s="77" customFormat="1" ht="72" x14ac:dyDescent="0.25">
      <c r="A349" s="310"/>
      <c r="B349" s="115" t="s">
        <v>224</v>
      </c>
      <c r="C349" s="115" t="s">
        <v>145</v>
      </c>
      <c r="D349" s="117" t="s">
        <v>106</v>
      </c>
      <c r="E349" s="117" t="s">
        <v>70</v>
      </c>
      <c r="F349" s="272"/>
      <c r="G349" s="119" t="s">
        <v>227</v>
      </c>
      <c r="H349" s="272">
        <v>5</v>
      </c>
      <c r="I349" s="238">
        <v>0</v>
      </c>
      <c r="J349" s="230">
        <v>0</v>
      </c>
      <c r="K349" s="224">
        <v>6</v>
      </c>
      <c r="L349" s="226">
        <v>0</v>
      </c>
      <c r="M349" s="232">
        <v>0</v>
      </c>
      <c r="N349" s="278">
        <f t="shared" si="441"/>
        <v>6</v>
      </c>
      <c r="O349" s="242">
        <v>2</v>
      </c>
      <c r="P349" s="71"/>
      <c r="Q349" s="272"/>
      <c r="R349" s="119" t="s">
        <v>51</v>
      </c>
      <c r="S349" s="120" t="s">
        <v>482</v>
      </c>
      <c r="T349" s="277" t="s">
        <v>146</v>
      </c>
      <c r="U349" s="251">
        <v>35</v>
      </c>
      <c r="V349" s="238">
        <v>0</v>
      </c>
      <c r="W349" s="230">
        <v>0</v>
      </c>
      <c r="X349" s="224">
        <v>6</v>
      </c>
      <c r="Y349" s="226">
        <v>0</v>
      </c>
      <c r="Z349" s="232">
        <v>0</v>
      </c>
      <c r="AA349" s="278">
        <f t="shared" si="433"/>
        <v>6</v>
      </c>
      <c r="AB349" s="242">
        <v>25</v>
      </c>
      <c r="AC349" s="277" t="s">
        <v>331</v>
      </c>
      <c r="AD349" s="238">
        <v>0</v>
      </c>
      <c r="AE349" s="230">
        <v>0</v>
      </c>
      <c r="AF349" s="224">
        <v>0</v>
      </c>
      <c r="AG349" s="226">
        <v>0</v>
      </c>
      <c r="AH349" s="232">
        <v>0</v>
      </c>
      <c r="AI349" s="278">
        <f t="shared" si="434"/>
        <v>0</v>
      </c>
      <c r="AJ349" s="242">
        <v>0</v>
      </c>
      <c r="AK349" s="277"/>
      <c r="AL349" s="277"/>
      <c r="AM349" s="284"/>
      <c r="AN349" s="277"/>
      <c r="AO349" s="164"/>
      <c r="AP349" s="277" t="s">
        <v>58</v>
      </c>
      <c r="AQ349" s="277" t="s">
        <v>331</v>
      </c>
      <c r="AR349" s="281">
        <v>0</v>
      </c>
      <c r="AS349" s="282">
        <v>0</v>
      </c>
      <c r="AT349" s="283">
        <v>0</v>
      </c>
      <c r="AU349" s="272"/>
      <c r="AV349" s="272"/>
      <c r="AW349" s="272"/>
      <c r="AX349" s="138" t="s">
        <v>147</v>
      </c>
    </row>
    <row r="350" spans="1:50" s="77" customFormat="1" ht="72" x14ac:dyDescent="0.25">
      <c r="A350" s="310"/>
      <c r="B350" s="115" t="s">
        <v>224</v>
      </c>
      <c r="C350" s="115" t="s">
        <v>145</v>
      </c>
      <c r="D350" s="117" t="s">
        <v>106</v>
      </c>
      <c r="E350" s="117" t="s">
        <v>70</v>
      </c>
      <c r="F350" s="272"/>
      <c r="G350" s="119" t="s">
        <v>227</v>
      </c>
      <c r="H350" s="272"/>
      <c r="I350" s="239"/>
      <c r="J350" s="231"/>
      <c r="K350" s="225"/>
      <c r="L350" s="227"/>
      <c r="M350" s="233"/>
      <c r="N350" s="278">
        <f t="shared" si="441"/>
        <v>0</v>
      </c>
      <c r="O350" s="242"/>
      <c r="P350" s="71"/>
      <c r="Q350" s="272"/>
      <c r="R350" s="119" t="s">
        <v>173</v>
      </c>
      <c r="S350" s="120" t="s">
        <v>232</v>
      </c>
      <c r="T350" s="277"/>
      <c r="U350" s="277"/>
      <c r="V350" s="239"/>
      <c r="W350" s="231"/>
      <c r="X350" s="225"/>
      <c r="Y350" s="227"/>
      <c r="Z350" s="233"/>
      <c r="AA350" s="278">
        <f t="shared" si="433"/>
        <v>0</v>
      </c>
      <c r="AB350" s="242"/>
      <c r="AC350" s="277"/>
      <c r="AD350" s="239"/>
      <c r="AE350" s="231"/>
      <c r="AF350" s="225"/>
      <c r="AG350" s="227"/>
      <c r="AH350" s="233"/>
      <c r="AI350" s="278">
        <f t="shared" si="434"/>
        <v>0</v>
      </c>
      <c r="AJ350" s="242"/>
      <c r="AK350" s="277"/>
      <c r="AL350" s="277"/>
      <c r="AM350" s="284"/>
      <c r="AN350" s="277"/>
      <c r="AO350" s="164"/>
      <c r="AP350" s="277"/>
      <c r="AQ350" s="277"/>
      <c r="AR350" s="281"/>
      <c r="AS350" s="282"/>
      <c r="AT350" s="283"/>
      <c r="AU350" s="272"/>
      <c r="AV350" s="272"/>
      <c r="AW350" s="272"/>
      <c r="AX350" s="138" t="s">
        <v>147</v>
      </c>
    </row>
    <row r="351" spans="1:50" s="77" customFormat="1" ht="72" x14ac:dyDescent="0.25">
      <c r="A351" s="310"/>
      <c r="B351" s="115" t="s">
        <v>224</v>
      </c>
      <c r="C351" s="115" t="s">
        <v>145</v>
      </c>
      <c r="D351" s="117" t="s">
        <v>106</v>
      </c>
      <c r="E351" s="117" t="s">
        <v>70</v>
      </c>
      <c r="F351" s="272"/>
      <c r="G351" s="119" t="s">
        <v>234</v>
      </c>
      <c r="H351" s="136">
        <v>60</v>
      </c>
      <c r="I351" s="197">
        <v>0</v>
      </c>
      <c r="J351" s="90">
        <v>0</v>
      </c>
      <c r="K351" s="91">
        <v>8</v>
      </c>
      <c r="L351" s="92">
        <v>0</v>
      </c>
      <c r="M351" s="81">
        <v>2</v>
      </c>
      <c r="N351" s="133">
        <f t="shared" si="441"/>
        <v>10</v>
      </c>
      <c r="O351" s="71">
        <v>50</v>
      </c>
      <c r="P351" s="71"/>
      <c r="Q351" s="136"/>
      <c r="R351" s="119" t="s">
        <v>51</v>
      </c>
      <c r="S351" s="120" t="s">
        <v>332</v>
      </c>
      <c r="T351" s="135" t="s">
        <v>146</v>
      </c>
      <c r="U351" s="136">
        <v>60</v>
      </c>
      <c r="V351" s="197">
        <v>0</v>
      </c>
      <c r="W351" s="90">
        <v>0</v>
      </c>
      <c r="X351" s="91">
        <v>8</v>
      </c>
      <c r="Y351" s="92">
        <v>0</v>
      </c>
      <c r="Z351" s="81">
        <v>2</v>
      </c>
      <c r="AA351" s="133">
        <f t="shared" si="433"/>
        <v>10</v>
      </c>
      <c r="AB351" s="71">
        <v>50</v>
      </c>
      <c r="AC351" s="136">
        <v>5</v>
      </c>
      <c r="AD351" s="197">
        <v>0</v>
      </c>
      <c r="AE351" s="90">
        <v>0</v>
      </c>
      <c r="AF351" s="91">
        <v>0</v>
      </c>
      <c r="AG351" s="92">
        <v>0</v>
      </c>
      <c r="AH351" s="81">
        <v>0</v>
      </c>
      <c r="AI351" s="133">
        <f t="shared" si="434"/>
        <v>0</v>
      </c>
      <c r="AJ351" s="71">
        <v>5</v>
      </c>
      <c r="AK351" s="136"/>
      <c r="AL351" s="136"/>
      <c r="AM351" s="72"/>
      <c r="AN351" s="136"/>
      <c r="AO351" s="72"/>
      <c r="AP351" s="119" t="s">
        <v>58</v>
      </c>
      <c r="AQ351" s="136">
        <v>5</v>
      </c>
      <c r="AR351" s="161">
        <v>0</v>
      </c>
      <c r="AS351" s="162">
        <v>0</v>
      </c>
      <c r="AT351" s="163">
        <v>5</v>
      </c>
      <c r="AU351" s="119"/>
      <c r="AV351" s="136"/>
      <c r="AW351" s="119"/>
      <c r="AX351" s="117" t="s">
        <v>147</v>
      </c>
    </row>
    <row r="352" spans="1:50" s="77" customFormat="1" ht="72" x14ac:dyDescent="0.25">
      <c r="A352" s="310"/>
      <c r="B352" s="115" t="s">
        <v>224</v>
      </c>
      <c r="C352" s="115" t="s">
        <v>145</v>
      </c>
      <c r="D352" s="117" t="s">
        <v>106</v>
      </c>
      <c r="E352" s="117" t="s">
        <v>70</v>
      </c>
      <c r="F352" s="272"/>
      <c r="G352" s="119" t="s">
        <v>172</v>
      </c>
      <c r="H352" s="136">
        <v>60</v>
      </c>
      <c r="I352" s="197">
        <v>0</v>
      </c>
      <c r="J352" s="90">
        <v>1</v>
      </c>
      <c r="K352" s="91">
        <v>20</v>
      </c>
      <c r="L352" s="92">
        <v>20</v>
      </c>
      <c r="M352" s="81">
        <v>4</v>
      </c>
      <c r="N352" s="133">
        <f t="shared" si="441"/>
        <v>45</v>
      </c>
      <c r="O352" s="71">
        <v>10</v>
      </c>
      <c r="P352" s="71"/>
      <c r="Q352" s="136"/>
      <c r="R352" s="119" t="s">
        <v>173</v>
      </c>
      <c r="S352" s="120" t="s">
        <v>232</v>
      </c>
      <c r="T352" s="135" t="s">
        <v>77</v>
      </c>
      <c r="U352" s="136">
        <v>60</v>
      </c>
      <c r="V352" s="197">
        <v>0</v>
      </c>
      <c r="W352" s="90">
        <v>1</v>
      </c>
      <c r="X352" s="91">
        <v>20</v>
      </c>
      <c r="Y352" s="92">
        <v>20</v>
      </c>
      <c r="Z352" s="81">
        <v>4</v>
      </c>
      <c r="AA352" s="133">
        <f t="shared" si="433"/>
        <v>45</v>
      </c>
      <c r="AB352" s="71">
        <v>10</v>
      </c>
      <c r="AC352" s="136">
        <v>5</v>
      </c>
      <c r="AD352" s="197">
        <v>0</v>
      </c>
      <c r="AE352" s="90">
        <v>1</v>
      </c>
      <c r="AF352" s="91">
        <v>1</v>
      </c>
      <c r="AG352" s="92">
        <v>0</v>
      </c>
      <c r="AH352" s="81">
        <v>0</v>
      </c>
      <c r="AI352" s="133">
        <f t="shared" si="434"/>
        <v>2</v>
      </c>
      <c r="AJ352" s="71">
        <v>0</v>
      </c>
      <c r="AK352" s="136"/>
      <c r="AL352" s="136"/>
      <c r="AM352" s="72"/>
      <c r="AN352" s="136"/>
      <c r="AO352" s="72"/>
      <c r="AP352" s="119" t="s">
        <v>58</v>
      </c>
      <c r="AQ352" s="136">
        <v>5</v>
      </c>
      <c r="AR352" s="161">
        <v>0</v>
      </c>
      <c r="AS352" s="162">
        <v>0</v>
      </c>
      <c r="AT352" s="163">
        <v>5</v>
      </c>
      <c r="AU352" s="119"/>
      <c r="AV352" s="136"/>
      <c r="AW352" s="119"/>
      <c r="AX352" s="117" t="s">
        <v>147</v>
      </c>
    </row>
    <row r="353" spans="1:286" s="77" customFormat="1" ht="72" x14ac:dyDescent="0.25">
      <c r="A353" s="310"/>
      <c r="B353" s="115" t="s">
        <v>224</v>
      </c>
      <c r="C353" s="115" t="s">
        <v>145</v>
      </c>
      <c r="D353" s="117" t="s">
        <v>106</v>
      </c>
      <c r="E353" s="117" t="s">
        <v>70</v>
      </c>
      <c r="F353" s="142" t="s">
        <v>61</v>
      </c>
      <c r="G353" s="155"/>
      <c r="H353" s="153">
        <f t="shared" ref="H353:O353" si="460">SUM(H347:H352)</f>
        <v>175</v>
      </c>
      <c r="I353" s="153">
        <f t="shared" si="460"/>
        <v>0</v>
      </c>
      <c r="J353" s="153">
        <f t="shared" si="460"/>
        <v>1</v>
      </c>
      <c r="K353" s="153">
        <f t="shared" si="460"/>
        <v>74</v>
      </c>
      <c r="L353" s="153">
        <f t="shared" si="460"/>
        <v>45</v>
      </c>
      <c r="M353" s="153">
        <f t="shared" si="460"/>
        <v>26</v>
      </c>
      <c r="N353" s="153">
        <f t="shared" si="441"/>
        <v>146</v>
      </c>
      <c r="O353" s="153">
        <f t="shared" si="460"/>
        <v>87</v>
      </c>
      <c r="P353" s="153"/>
      <c r="Q353" s="156"/>
      <c r="R353" s="129"/>
      <c r="S353" s="157"/>
      <c r="T353" s="158"/>
      <c r="U353" s="153">
        <f>SUM(U347:U352)</f>
        <v>355</v>
      </c>
      <c r="V353" s="153">
        <f t="shared" ref="V353" si="461">SUM(V347:V352)</f>
        <v>0</v>
      </c>
      <c r="W353" s="153">
        <f t="shared" ref="W353:AJ353" si="462">SUM(W347:W352)</f>
        <v>1</v>
      </c>
      <c r="X353" s="153">
        <f t="shared" si="462"/>
        <v>74</v>
      </c>
      <c r="Y353" s="153">
        <f t="shared" ref="Y353" si="463">SUM(Y347:Y352)</f>
        <v>45</v>
      </c>
      <c r="Z353" s="153">
        <f t="shared" si="462"/>
        <v>26</v>
      </c>
      <c r="AA353" s="153">
        <f t="shared" si="433"/>
        <v>146</v>
      </c>
      <c r="AB353" s="153">
        <f t="shared" si="462"/>
        <v>200</v>
      </c>
      <c r="AC353" s="153">
        <f t="shared" si="462"/>
        <v>50</v>
      </c>
      <c r="AD353" s="153">
        <f t="shared" si="462"/>
        <v>0</v>
      </c>
      <c r="AE353" s="153">
        <f t="shared" si="462"/>
        <v>1</v>
      </c>
      <c r="AF353" s="153">
        <f t="shared" si="462"/>
        <v>1</v>
      </c>
      <c r="AG353" s="153">
        <f t="shared" ref="AG353" si="464">SUM(AG347:AG352)</f>
        <v>0</v>
      </c>
      <c r="AH353" s="153">
        <f t="shared" si="462"/>
        <v>0</v>
      </c>
      <c r="AI353" s="153">
        <f t="shared" si="434"/>
        <v>2</v>
      </c>
      <c r="AJ353" s="153">
        <f t="shared" si="462"/>
        <v>45</v>
      </c>
      <c r="AK353" s="156"/>
      <c r="AL353" s="156"/>
      <c r="AM353" s="156"/>
      <c r="AN353" s="156"/>
      <c r="AO353" s="156"/>
      <c r="AP353" s="155"/>
      <c r="AQ353" s="153">
        <f>SUM(AQ347:AQ352)</f>
        <v>50</v>
      </c>
      <c r="AR353" s="153">
        <f>SUM(AR347:AR352)</f>
        <v>0</v>
      </c>
      <c r="AS353" s="153">
        <f>SUM(AS347:AS352)</f>
        <v>0</v>
      </c>
      <c r="AT353" s="153">
        <f>SUM(AT347:AT352)</f>
        <v>50</v>
      </c>
      <c r="AU353" s="129"/>
      <c r="AV353" s="156"/>
      <c r="AW353" s="155"/>
      <c r="AX353" s="155" t="s">
        <v>147</v>
      </c>
    </row>
    <row r="354" spans="1:286" s="166" customFormat="1" ht="36" x14ac:dyDescent="0.25">
      <c r="A354" s="310"/>
      <c r="B354" s="115" t="s">
        <v>224</v>
      </c>
      <c r="C354" s="115" t="s">
        <v>148</v>
      </c>
      <c r="D354" s="117" t="s">
        <v>106</v>
      </c>
      <c r="E354" s="117" t="s">
        <v>149</v>
      </c>
      <c r="F354" s="280" t="s">
        <v>49</v>
      </c>
      <c r="G354" s="147" t="s">
        <v>178</v>
      </c>
      <c r="H354" s="280">
        <v>20</v>
      </c>
      <c r="I354" s="238">
        <v>0</v>
      </c>
      <c r="J354" s="230">
        <v>0</v>
      </c>
      <c r="K354" s="224">
        <v>0</v>
      </c>
      <c r="L354" s="226">
        <v>0</v>
      </c>
      <c r="M354" s="232">
        <v>0</v>
      </c>
      <c r="N354" s="278">
        <f t="shared" si="441"/>
        <v>0</v>
      </c>
      <c r="O354" s="242">
        <v>20</v>
      </c>
      <c r="P354" s="71"/>
      <c r="Q354" s="280"/>
      <c r="R354" s="159" t="s">
        <v>51</v>
      </c>
      <c r="S354" s="285" t="s">
        <v>277</v>
      </c>
      <c r="T354" s="147" t="s">
        <v>333</v>
      </c>
      <c r="U354" s="280">
        <v>20</v>
      </c>
      <c r="V354" s="238">
        <v>0</v>
      </c>
      <c r="W354" s="230">
        <v>0</v>
      </c>
      <c r="X354" s="224">
        <v>0</v>
      </c>
      <c r="Y354" s="226">
        <v>0</v>
      </c>
      <c r="Z354" s="232">
        <v>0</v>
      </c>
      <c r="AA354" s="278">
        <f t="shared" si="433"/>
        <v>0</v>
      </c>
      <c r="AB354" s="242">
        <v>20</v>
      </c>
      <c r="AC354" s="280">
        <v>5</v>
      </c>
      <c r="AD354" s="238">
        <v>0</v>
      </c>
      <c r="AE354" s="230">
        <v>0</v>
      </c>
      <c r="AF354" s="224">
        <v>0</v>
      </c>
      <c r="AG354" s="226">
        <v>0</v>
      </c>
      <c r="AH354" s="232">
        <v>0</v>
      </c>
      <c r="AI354" s="278">
        <f t="shared" si="434"/>
        <v>0</v>
      </c>
      <c r="AJ354" s="242">
        <v>5</v>
      </c>
      <c r="AK354" s="280"/>
      <c r="AL354" s="280"/>
      <c r="AM354" s="243"/>
      <c r="AN354" s="280"/>
      <c r="AO354" s="72"/>
      <c r="AP354" s="286" t="s">
        <v>58</v>
      </c>
      <c r="AQ354" s="280">
        <v>5</v>
      </c>
      <c r="AR354" s="281">
        <v>0</v>
      </c>
      <c r="AS354" s="282">
        <v>0</v>
      </c>
      <c r="AT354" s="283">
        <v>5</v>
      </c>
      <c r="AU354" s="280"/>
      <c r="AV354" s="280"/>
      <c r="AW354" s="280"/>
      <c r="AX354" s="165" t="s">
        <v>126</v>
      </c>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c r="BW354" s="77"/>
      <c r="BX354" s="77"/>
      <c r="BY354" s="77"/>
      <c r="BZ354" s="77"/>
      <c r="CA354" s="77"/>
      <c r="CB354" s="77"/>
      <c r="CC354" s="77"/>
      <c r="CD354" s="77"/>
      <c r="CE354" s="77"/>
      <c r="CF354" s="77"/>
      <c r="CG354" s="77"/>
      <c r="CH354" s="77"/>
      <c r="CI354" s="77"/>
      <c r="CJ354" s="77"/>
      <c r="CK354" s="77"/>
      <c r="CL354" s="77"/>
      <c r="CM354" s="77"/>
      <c r="CN354" s="77"/>
      <c r="CO354" s="77"/>
      <c r="CP354" s="77"/>
      <c r="CQ354" s="77"/>
      <c r="CR354" s="77"/>
      <c r="CS354" s="77"/>
      <c r="CT354" s="77"/>
      <c r="CU354" s="77"/>
      <c r="CV354" s="77"/>
      <c r="CW354" s="77"/>
      <c r="CX354" s="77"/>
      <c r="CY354" s="77"/>
      <c r="CZ354" s="77"/>
      <c r="DA354" s="77"/>
      <c r="DB354" s="77"/>
      <c r="DC354" s="77"/>
      <c r="DD354" s="77"/>
      <c r="DE354" s="77"/>
      <c r="DF354" s="77"/>
      <c r="DG354" s="77"/>
      <c r="DH354" s="77"/>
      <c r="DI354" s="77"/>
      <c r="DJ354" s="77"/>
      <c r="DK354" s="77"/>
      <c r="DL354" s="77"/>
      <c r="DM354" s="77"/>
      <c r="DN354" s="77"/>
      <c r="DO354" s="77"/>
      <c r="DP354" s="77"/>
      <c r="DQ354" s="77"/>
      <c r="DR354" s="77"/>
      <c r="DS354" s="77"/>
      <c r="DT354" s="77"/>
      <c r="DU354" s="77"/>
      <c r="DV354" s="77"/>
      <c r="DW354" s="77"/>
      <c r="DX354" s="77"/>
      <c r="DY354" s="77"/>
      <c r="DZ354" s="77"/>
      <c r="EA354" s="77"/>
      <c r="EB354" s="77"/>
      <c r="EC354" s="77"/>
      <c r="ED354" s="77"/>
      <c r="EE354" s="77"/>
      <c r="EF354" s="77"/>
      <c r="EG354" s="77"/>
      <c r="EH354" s="77"/>
      <c r="EI354" s="77"/>
      <c r="EJ354" s="77"/>
      <c r="EK354" s="77"/>
      <c r="EL354" s="77"/>
      <c r="EM354" s="77"/>
      <c r="EN354" s="77"/>
      <c r="EO354" s="77"/>
      <c r="EP354" s="77"/>
      <c r="EQ354" s="77"/>
      <c r="ER354" s="77"/>
      <c r="ES354" s="77"/>
      <c r="ET354" s="77"/>
      <c r="EU354" s="77"/>
      <c r="EV354" s="77"/>
      <c r="EW354" s="77"/>
      <c r="EX354" s="77"/>
      <c r="EY354" s="77"/>
      <c r="EZ354" s="77"/>
      <c r="FA354" s="77"/>
      <c r="FB354" s="77"/>
      <c r="FC354" s="77"/>
      <c r="FD354" s="77"/>
      <c r="FE354" s="77"/>
      <c r="FF354" s="77"/>
      <c r="FG354" s="77"/>
      <c r="FH354" s="77"/>
      <c r="FI354" s="77"/>
      <c r="FJ354" s="77"/>
      <c r="FK354" s="77"/>
      <c r="FL354" s="77"/>
      <c r="FM354" s="77"/>
      <c r="FN354" s="77"/>
      <c r="FO354" s="77"/>
      <c r="FP354" s="77"/>
      <c r="FQ354" s="77"/>
      <c r="FR354" s="77"/>
      <c r="FS354" s="77"/>
      <c r="FT354" s="77"/>
      <c r="FU354" s="77"/>
      <c r="FV354" s="77"/>
      <c r="FW354" s="77"/>
      <c r="FX354" s="77"/>
      <c r="FY354" s="77"/>
      <c r="FZ354" s="77"/>
      <c r="GA354" s="77"/>
      <c r="GB354" s="77"/>
      <c r="GC354" s="77"/>
      <c r="GD354" s="77"/>
      <c r="GE354" s="77"/>
      <c r="GF354" s="77"/>
      <c r="GG354" s="77"/>
      <c r="GH354" s="77"/>
      <c r="GI354" s="77"/>
      <c r="GJ354" s="77"/>
      <c r="GK354" s="77"/>
      <c r="GL354" s="77"/>
      <c r="GM354" s="77"/>
      <c r="GN354" s="77"/>
      <c r="GO354" s="77"/>
      <c r="GP354" s="77"/>
      <c r="GQ354" s="77"/>
      <c r="GR354" s="77"/>
      <c r="GS354" s="77"/>
      <c r="GT354" s="77"/>
      <c r="GU354" s="77"/>
      <c r="GV354" s="77"/>
      <c r="GW354" s="77"/>
      <c r="GX354" s="77"/>
      <c r="GY354" s="77"/>
      <c r="GZ354" s="77"/>
      <c r="HA354" s="77"/>
      <c r="HB354" s="77"/>
      <c r="HC354" s="77"/>
      <c r="HD354" s="77"/>
      <c r="HE354" s="77"/>
      <c r="HF354" s="77"/>
      <c r="HG354" s="77"/>
      <c r="HH354" s="77"/>
      <c r="HI354" s="77"/>
      <c r="HJ354" s="77"/>
      <c r="HK354" s="77"/>
      <c r="HL354" s="77"/>
      <c r="HM354" s="77"/>
      <c r="HN354" s="77"/>
      <c r="HO354" s="77"/>
      <c r="HP354" s="77"/>
      <c r="HQ354" s="77"/>
      <c r="HR354" s="77"/>
      <c r="HS354" s="77"/>
      <c r="HT354" s="77"/>
      <c r="HU354" s="77"/>
      <c r="HV354" s="77"/>
      <c r="HW354" s="77"/>
      <c r="HX354" s="77"/>
      <c r="HY354" s="77"/>
      <c r="HZ354" s="77"/>
      <c r="IA354" s="77"/>
      <c r="IB354" s="77"/>
      <c r="IC354" s="77"/>
      <c r="ID354" s="77"/>
      <c r="IE354" s="77"/>
      <c r="IF354" s="77"/>
      <c r="IG354" s="77"/>
      <c r="IH354" s="77"/>
      <c r="II354" s="77"/>
      <c r="IJ354" s="77"/>
      <c r="IK354" s="77"/>
      <c r="IL354" s="77"/>
      <c r="IM354" s="77"/>
      <c r="IN354" s="77"/>
      <c r="IO354" s="77"/>
      <c r="IP354" s="77"/>
      <c r="IQ354" s="77"/>
      <c r="IR354" s="77"/>
      <c r="IS354" s="77"/>
      <c r="IT354" s="77"/>
      <c r="IU354" s="77"/>
      <c r="IV354" s="77"/>
      <c r="IW354" s="77"/>
      <c r="IX354" s="77"/>
      <c r="IY354" s="77"/>
      <c r="IZ354" s="77"/>
      <c r="JA354" s="77"/>
      <c r="JB354" s="77"/>
      <c r="JC354" s="77"/>
      <c r="JD354" s="77"/>
      <c r="JE354" s="77"/>
      <c r="JF354" s="77"/>
      <c r="JG354" s="77"/>
      <c r="JH354" s="77"/>
      <c r="JI354" s="77"/>
      <c r="JJ354" s="77"/>
      <c r="JK354" s="77"/>
      <c r="JL354" s="77"/>
      <c r="JM354" s="77"/>
      <c r="JN354" s="77"/>
      <c r="JO354" s="77"/>
      <c r="JP354" s="77"/>
      <c r="JQ354" s="77"/>
      <c r="JR354" s="77"/>
      <c r="JS354" s="77"/>
      <c r="JT354" s="77"/>
      <c r="JU354" s="77"/>
      <c r="JV354" s="77"/>
      <c r="JW354" s="77"/>
      <c r="JX354" s="77"/>
      <c r="JY354" s="77"/>
      <c r="JZ354" s="77"/>
    </row>
    <row r="355" spans="1:286" s="166" customFormat="1" ht="36" x14ac:dyDescent="0.25">
      <c r="A355" s="310"/>
      <c r="B355" s="115" t="s">
        <v>224</v>
      </c>
      <c r="C355" s="115" t="s">
        <v>148</v>
      </c>
      <c r="D355" s="117" t="s">
        <v>106</v>
      </c>
      <c r="E355" s="117" t="s">
        <v>149</v>
      </c>
      <c r="F355" s="280"/>
      <c r="G355" s="147" t="s">
        <v>178</v>
      </c>
      <c r="H355" s="280"/>
      <c r="I355" s="239"/>
      <c r="J355" s="231"/>
      <c r="K355" s="225"/>
      <c r="L355" s="227"/>
      <c r="M355" s="233"/>
      <c r="N355" s="278">
        <f t="shared" si="441"/>
        <v>0</v>
      </c>
      <c r="O355" s="242"/>
      <c r="P355" s="71"/>
      <c r="Q355" s="280"/>
      <c r="R355" s="159" t="s">
        <v>179</v>
      </c>
      <c r="S355" s="285"/>
      <c r="T355" s="147" t="s">
        <v>255</v>
      </c>
      <c r="U355" s="280"/>
      <c r="V355" s="239"/>
      <c r="W355" s="231"/>
      <c r="X355" s="225"/>
      <c r="Y355" s="227"/>
      <c r="Z355" s="233"/>
      <c r="AA355" s="278">
        <f t="shared" si="433"/>
        <v>0</v>
      </c>
      <c r="AB355" s="242"/>
      <c r="AC355" s="280"/>
      <c r="AD355" s="239"/>
      <c r="AE355" s="231"/>
      <c r="AF355" s="225"/>
      <c r="AG355" s="227"/>
      <c r="AH355" s="233"/>
      <c r="AI355" s="278">
        <f t="shared" si="434"/>
        <v>0</v>
      </c>
      <c r="AJ355" s="242"/>
      <c r="AK355" s="280"/>
      <c r="AL355" s="280"/>
      <c r="AM355" s="243"/>
      <c r="AN355" s="280"/>
      <c r="AO355" s="72"/>
      <c r="AP355" s="286"/>
      <c r="AQ355" s="280"/>
      <c r="AR355" s="281"/>
      <c r="AS355" s="282"/>
      <c r="AT355" s="283"/>
      <c r="AU355" s="280"/>
      <c r="AV355" s="280"/>
      <c r="AW355" s="280"/>
      <c r="AX355" s="165" t="s">
        <v>126</v>
      </c>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c r="BW355" s="77"/>
      <c r="BX355" s="77"/>
      <c r="BY355" s="77"/>
      <c r="BZ355" s="77"/>
      <c r="CA355" s="77"/>
      <c r="CB355" s="77"/>
      <c r="CC355" s="77"/>
      <c r="CD355" s="77"/>
      <c r="CE355" s="77"/>
      <c r="CF355" s="77"/>
      <c r="CG355" s="77"/>
      <c r="CH355" s="77"/>
      <c r="CI355" s="77"/>
      <c r="CJ355" s="77"/>
      <c r="CK355" s="77"/>
      <c r="CL355" s="77"/>
      <c r="CM355" s="77"/>
      <c r="CN355" s="77"/>
      <c r="CO355" s="77"/>
      <c r="CP355" s="77"/>
      <c r="CQ355" s="77"/>
      <c r="CR355" s="77"/>
      <c r="CS355" s="77"/>
      <c r="CT355" s="77"/>
      <c r="CU355" s="77"/>
      <c r="CV355" s="77"/>
      <c r="CW355" s="77"/>
      <c r="CX355" s="77"/>
      <c r="CY355" s="77"/>
      <c r="CZ355" s="77"/>
      <c r="DA355" s="77"/>
      <c r="DB355" s="77"/>
      <c r="DC355" s="77"/>
      <c r="DD355" s="77"/>
      <c r="DE355" s="77"/>
      <c r="DF355" s="77"/>
      <c r="DG355" s="77"/>
      <c r="DH355" s="77"/>
      <c r="DI355" s="77"/>
      <c r="DJ355" s="77"/>
      <c r="DK355" s="77"/>
      <c r="DL355" s="77"/>
      <c r="DM355" s="77"/>
      <c r="DN355" s="77"/>
      <c r="DO355" s="77"/>
      <c r="DP355" s="77"/>
      <c r="DQ355" s="77"/>
      <c r="DR355" s="77"/>
      <c r="DS355" s="77"/>
      <c r="DT355" s="77"/>
      <c r="DU355" s="77"/>
      <c r="DV355" s="77"/>
      <c r="DW355" s="77"/>
      <c r="DX355" s="77"/>
      <c r="DY355" s="77"/>
      <c r="DZ355" s="77"/>
      <c r="EA355" s="77"/>
      <c r="EB355" s="77"/>
      <c r="EC355" s="77"/>
      <c r="ED355" s="77"/>
      <c r="EE355" s="77"/>
      <c r="EF355" s="77"/>
      <c r="EG355" s="77"/>
      <c r="EH355" s="77"/>
      <c r="EI355" s="77"/>
      <c r="EJ355" s="77"/>
      <c r="EK355" s="77"/>
      <c r="EL355" s="77"/>
      <c r="EM355" s="77"/>
      <c r="EN355" s="77"/>
      <c r="EO355" s="77"/>
      <c r="EP355" s="77"/>
      <c r="EQ355" s="77"/>
      <c r="ER355" s="77"/>
      <c r="ES355" s="77"/>
      <c r="ET355" s="77"/>
      <c r="EU355" s="77"/>
      <c r="EV355" s="77"/>
      <c r="EW355" s="77"/>
      <c r="EX355" s="77"/>
      <c r="EY355" s="77"/>
      <c r="EZ355" s="77"/>
      <c r="FA355" s="77"/>
      <c r="FB355" s="77"/>
      <c r="FC355" s="77"/>
      <c r="FD355" s="77"/>
      <c r="FE355" s="77"/>
      <c r="FF355" s="77"/>
      <c r="FG355" s="77"/>
      <c r="FH355" s="77"/>
      <c r="FI355" s="77"/>
      <c r="FJ355" s="77"/>
      <c r="FK355" s="77"/>
      <c r="FL355" s="77"/>
      <c r="FM355" s="77"/>
      <c r="FN355" s="77"/>
      <c r="FO355" s="77"/>
      <c r="FP355" s="77"/>
      <c r="FQ355" s="77"/>
      <c r="FR355" s="77"/>
      <c r="FS355" s="77"/>
      <c r="FT355" s="77"/>
      <c r="FU355" s="77"/>
      <c r="FV355" s="77"/>
      <c r="FW355" s="77"/>
      <c r="FX355" s="77"/>
      <c r="FY355" s="77"/>
      <c r="FZ355" s="77"/>
      <c r="GA355" s="77"/>
      <c r="GB355" s="77"/>
      <c r="GC355" s="77"/>
      <c r="GD355" s="77"/>
      <c r="GE355" s="77"/>
      <c r="GF355" s="77"/>
      <c r="GG355" s="77"/>
      <c r="GH355" s="77"/>
      <c r="GI355" s="77"/>
      <c r="GJ355" s="77"/>
      <c r="GK355" s="77"/>
      <c r="GL355" s="77"/>
      <c r="GM355" s="77"/>
      <c r="GN355" s="77"/>
      <c r="GO355" s="77"/>
      <c r="GP355" s="77"/>
      <c r="GQ355" s="77"/>
      <c r="GR355" s="77"/>
      <c r="GS355" s="77"/>
      <c r="GT355" s="77"/>
      <c r="GU355" s="77"/>
      <c r="GV355" s="77"/>
      <c r="GW355" s="77"/>
      <c r="GX355" s="77"/>
      <c r="GY355" s="77"/>
      <c r="GZ355" s="77"/>
      <c r="HA355" s="77"/>
      <c r="HB355" s="77"/>
      <c r="HC355" s="77"/>
      <c r="HD355" s="77"/>
      <c r="HE355" s="77"/>
      <c r="HF355" s="77"/>
      <c r="HG355" s="77"/>
      <c r="HH355" s="77"/>
      <c r="HI355" s="77"/>
      <c r="HJ355" s="77"/>
      <c r="HK355" s="77"/>
      <c r="HL355" s="77"/>
      <c r="HM355" s="77"/>
      <c r="HN355" s="77"/>
      <c r="HO355" s="77"/>
      <c r="HP355" s="77"/>
      <c r="HQ355" s="77"/>
      <c r="HR355" s="77"/>
      <c r="HS355" s="77"/>
      <c r="HT355" s="77"/>
      <c r="HU355" s="77"/>
      <c r="HV355" s="77"/>
      <c r="HW355" s="77"/>
      <c r="HX355" s="77"/>
      <c r="HY355" s="77"/>
      <c r="HZ355" s="77"/>
      <c r="IA355" s="77"/>
      <c r="IB355" s="77"/>
      <c r="IC355" s="77"/>
      <c r="ID355" s="77"/>
      <c r="IE355" s="77"/>
      <c r="IF355" s="77"/>
      <c r="IG355" s="77"/>
      <c r="IH355" s="77"/>
      <c r="II355" s="77"/>
      <c r="IJ355" s="77"/>
      <c r="IK355" s="77"/>
      <c r="IL355" s="77"/>
      <c r="IM355" s="77"/>
      <c r="IN355" s="77"/>
      <c r="IO355" s="77"/>
      <c r="IP355" s="77"/>
      <c r="IQ355" s="77"/>
      <c r="IR355" s="77"/>
      <c r="IS355" s="77"/>
      <c r="IT355" s="77"/>
      <c r="IU355" s="77"/>
      <c r="IV355" s="77"/>
      <c r="IW355" s="77"/>
      <c r="IX355" s="77"/>
      <c r="IY355" s="77"/>
      <c r="IZ355" s="77"/>
      <c r="JA355" s="77"/>
      <c r="JB355" s="77"/>
      <c r="JC355" s="77"/>
      <c r="JD355" s="77"/>
      <c r="JE355" s="77"/>
      <c r="JF355" s="77"/>
      <c r="JG355" s="77"/>
      <c r="JH355" s="77"/>
      <c r="JI355" s="77"/>
      <c r="JJ355" s="77"/>
      <c r="JK355" s="77"/>
      <c r="JL355" s="77"/>
      <c r="JM355" s="77"/>
      <c r="JN355" s="77"/>
      <c r="JO355" s="77"/>
      <c r="JP355" s="77"/>
      <c r="JQ355" s="77"/>
      <c r="JR355" s="77"/>
      <c r="JS355" s="77"/>
      <c r="JT355" s="77"/>
      <c r="JU355" s="77"/>
      <c r="JV355" s="77"/>
      <c r="JW355" s="77"/>
      <c r="JX355" s="77"/>
      <c r="JY355" s="77"/>
      <c r="JZ355" s="77"/>
    </row>
    <row r="356" spans="1:286" s="166" customFormat="1" ht="36" x14ac:dyDescent="0.25">
      <c r="A356" s="310"/>
      <c r="B356" s="115" t="s">
        <v>224</v>
      </c>
      <c r="C356" s="115" t="s">
        <v>148</v>
      </c>
      <c r="D356" s="117" t="s">
        <v>106</v>
      </c>
      <c r="E356" s="117" t="s">
        <v>149</v>
      </c>
      <c r="F356" s="280"/>
      <c r="G356" s="147" t="s">
        <v>227</v>
      </c>
      <c r="H356" s="280">
        <v>20</v>
      </c>
      <c r="I356" s="238">
        <v>0</v>
      </c>
      <c r="J356" s="230">
        <v>0</v>
      </c>
      <c r="K356" s="224">
        <v>0</v>
      </c>
      <c r="L356" s="226">
        <v>0</v>
      </c>
      <c r="M356" s="232">
        <v>0</v>
      </c>
      <c r="N356" s="278">
        <f t="shared" si="441"/>
        <v>0</v>
      </c>
      <c r="O356" s="242">
        <v>20</v>
      </c>
      <c r="P356" s="71"/>
      <c r="Q356" s="280"/>
      <c r="R356" s="159" t="s">
        <v>51</v>
      </c>
      <c r="S356" s="285" t="s">
        <v>277</v>
      </c>
      <c r="T356" s="147" t="s">
        <v>333</v>
      </c>
      <c r="U356" s="280">
        <v>20</v>
      </c>
      <c r="V356" s="238">
        <v>0</v>
      </c>
      <c r="W356" s="230">
        <v>0</v>
      </c>
      <c r="X356" s="224">
        <v>0</v>
      </c>
      <c r="Y356" s="226">
        <v>0</v>
      </c>
      <c r="Z356" s="232">
        <v>0</v>
      </c>
      <c r="AA356" s="278">
        <f t="shared" si="433"/>
        <v>0</v>
      </c>
      <c r="AB356" s="242">
        <v>20</v>
      </c>
      <c r="AC356" s="280">
        <v>5</v>
      </c>
      <c r="AD356" s="238">
        <v>0</v>
      </c>
      <c r="AE356" s="230">
        <v>0</v>
      </c>
      <c r="AF356" s="224">
        <v>0</v>
      </c>
      <c r="AG356" s="226">
        <v>0</v>
      </c>
      <c r="AH356" s="232">
        <v>0</v>
      </c>
      <c r="AI356" s="278">
        <f t="shared" si="434"/>
        <v>0</v>
      </c>
      <c r="AJ356" s="242">
        <v>5</v>
      </c>
      <c r="AK356" s="280"/>
      <c r="AL356" s="280"/>
      <c r="AM356" s="243"/>
      <c r="AN356" s="280"/>
      <c r="AO356" s="72"/>
      <c r="AP356" s="286" t="s">
        <v>58</v>
      </c>
      <c r="AQ356" s="280">
        <v>5</v>
      </c>
      <c r="AR356" s="281">
        <v>0</v>
      </c>
      <c r="AS356" s="282">
        <v>0</v>
      </c>
      <c r="AT356" s="283">
        <v>5</v>
      </c>
      <c r="AU356" s="280"/>
      <c r="AV356" s="280"/>
      <c r="AW356" s="280"/>
      <c r="AX356" s="165" t="s">
        <v>126</v>
      </c>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c r="BW356" s="77"/>
      <c r="BX356" s="77"/>
      <c r="BY356" s="77"/>
      <c r="BZ356" s="77"/>
      <c r="CA356" s="77"/>
      <c r="CB356" s="77"/>
      <c r="CC356" s="77"/>
      <c r="CD356" s="77"/>
      <c r="CE356" s="77"/>
      <c r="CF356" s="77"/>
      <c r="CG356" s="77"/>
      <c r="CH356" s="77"/>
      <c r="CI356" s="77"/>
      <c r="CJ356" s="77"/>
      <c r="CK356" s="77"/>
      <c r="CL356" s="77"/>
      <c r="CM356" s="77"/>
      <c r="CN356" s="77"/>
      <c r="CO356" s="77"/>
      <c r="CP356" s="77"/>
      <c r="CQ356" s="77"/>
      <c r="CR356" s="77"/>
      <c r="CS356" s="77"/>
      <c r="CT356" s="77"/>
      <c r="CU356" s="77"/>
      <c r="CV356" s="77"/>
      <c r="CW356" s="77"/>
      <c r="CX356" s="77"/>
      <c r="CY356" s="77"/>
      <c r="CZ356" s="77"/>
      <c r="DA356" s="77"/>
      <c r="DB356" s="77"/>
      <c r="DC356" s="77"/>
      <c r="DD356" s="77"/>
      <c r="DE356" s="77"/>
      <c r="DF356" s="77"/>
      <c r="DG356" s="77"/>
      <c r="DH356" s="77"/>
      <c r="DI356" s="77"/>
      <c r="DJ356" s="77"/>
      <c r="DK356" s="77"/>
      <c r="DL356" s="77"/>
      <c r="DM356" s="77"/>
      <c r="DN356" s="77"/>
      <c r="DO356" s="77"/>
      <c r="DP356" s="77"/>
      <c r="DQ356" s="77"/>
      <c r="DR356" s="77"/>
      <c r="DS356" s="77"/>
      <c r="DT356" s="77"/>
      <c r="DU356" s="77"/>
      <c r="DV356" s="77"/>
      <c r="DW356" s="77"/>
      <c r="DX356" s="77"/>
      <c r="DY356" s="77"/>
      <c r="DZ356" s="77"/>
      <c r="EA356" s="77"/>
      <c r="EB356" s="77"/>
      <c r="EC356" s="77"/>
      <c r="ED356" s="77"/>
      <c r="EE356" s="77"/>
      <c r="EF356" s="77"/>
      <c r="EG356" s="77"/>
      <c r="EH356" s="77"/>
      <c r="EI356" s="77"/>
      <c r="EJ356" s="77"/>
      <c r="EK356" s="77"/>
      <c r="EL356" s="77"/>
      <c r="EM356" s="77"/>
      <c r="EN356" s="77"/>
      <c r="EO356" s="77"/>
      <c r="EP356" s="77"/>
      <c r="EQ356" s="77"/>
      <c r="ER356" s="77"/>
      <c r="ES356" s="77"/>
      <c r="ET356" s="77"/>
      <c r="EU356" s="77"/>
      <c r="EV356" s="77"/>
      <c r="EW356" s="77"/>
      <c r="EX356" s="77"/>
      <c r="EY356" s="77"/>
      <c r="EZ356" s="77"/>
      <c r="FA356" s="77"/>
      <c r="FB356" s="77"/>
      <c r="FC356" s="77"/>
      <c r="FD356" s="77"/>
      <c r="FE356" s="77"/>
      <c r="FF356" s="77"/>
      <c r="FG356" s="77"/>
      <c r="FH356" s="77"/>
      <c r="FI356" s="77"/>
      <c r="FJ356" s="77"/>
      <c r="FK356" s="77"/>
      <c r="FL356" s="77"/>
      <c r="FM356" s="77"/>
      <c r="FN356" s="77"/>
      <c r="FO356" s="77"/>
      <c r="FP356" s="77"/>
      <c r="FQ356" s="77"/>
      <c r="FR356" s="77"/>
      <c r="FS356" s="77"/>
      <c r="FT356" s="77"/>
      <c r="FU356" s="77"/>
      <c r="FV356" s="77"/>
      <c r="FW356" s="77"/>
      <c r="FX356" s="77"/>
      <c r="FY356" s="77"/>
      <c r="FZ356" s="77"/>
      <c r="GA356" s="77"/>
      <c r="GB356" s="77"/>
      <c r="GC356" s="77"/>
      <c r="GD356" s="77"/>
      <c r="GE356" s="77"/>
      <c r="GF356" s="77"/>
      <c r="GG356" s="77"/>
      <c r="GH356" s="77"/>
      <c r="GI356" s="77"/>
      <c r="GJ356" s="77"/>
      <c r="GK356" s="77"/>
      <c r="GL356" s="77"/>
      <c r="GM356" s="77"/>
      <c r="GN356" s="77"/>
      <c r="GO356" s="77"/>
      <c r="GP356" s="77"/>
      <c r="GQ356" s="77"/>
      <c r="GR356" s="77"/>
      <c r="GS356" s="77"/>
      <c r="GT356" s="77"/>
      <c r="GU356" s="77"/>
      <c r="GV356" s="77"/>
      <c r="GW356" s="77"/>
      <c r="GX356" s="77"/>
      <c r="GY356" s="77"/>
      <c r="GZ356" s="77"/>
      <c r="HA356" s="77"/>
      <c r="HB356" s="77"/>
      <c r="HC356" s="77"/>
      <c r="HD356" s="77"/>
      <c r="HE356" s="77"/>
      <c r="HF356" s="77"/>
      <c r="HG356" s="77"/>
      <c r="HH356" s="77"/>
      <c r="HI356" s="77"/>
      <c r="HJ356" s="77"/>
      <c r="HK356" s="77"/>
      <c r="HL356" s="77"/>
      <c r="HM356" s="77"/>
      <c r="HN356" s="77"/>
      <c r="HO356" s="77"/>
      <c r="HP356" s="77"/>
      <c r="HQ356" s="77"/>
      <c r="HR356" s="77"/>
      <c r="HS356" s="77"/>
      <c r="HT356" s="77"/>
      <c r="HU356" s="77"/>
      <c r="HV356" s="77"/>
      <c r="HW356" s="77"/>
      <c r="HX356" s="77"/>
      <c r="HY356" s="77"/>
      <c r="HZ356" s="77"/>
      <c r="IA356" s="77"/>
      <c r="IB356" s="77"/>
      <c r="IC356" s="77"/>
      <c r="ID356" s="77"/>
      <c r="IE356" s="77"/>
      <c r="IF356" s="77"/>
      <c r="IG356" s="77"/>
      <c r="IH356" s="77"/>
      <c r="II356" s="77"/>
      <c r="IJ356" s="77"/>
      <c r="IK356" s="77"/>
      <c r="IL356" s="77"/>
      <c r="IM356" s="77"/>
      <c r="IN356" s="77"/>
      <c r="IO356" s="77"/>
      <c r="IP356" s="77"/>
      <c r="IQ356" s="77"/>
      <c r="IR356" s="77"/>
      <c r="IS356" s="77"/>
      <c r="IT356" s="77"/>
      <c r="IU356" s="77"/>
      <c r="IV356" s="77"/>
      <c r="IW356" s="77"/>
      <c r="IX356" s="77"/>
      <c r="IY356" s="77"/>
      <c r="IZ356" s="77"/>
      <c r="JA356" s="77"/>
      <c r="JB356" s="77"/>
      <c r="JC356" s="77"/>
      <c r="JD356" s="77"/>
      <c r="JE356" s="77"/>
      <c r="JF356" s="77"/>
      <c r="JG356" s="77"/>
      <c r="JH356" s="77"/>
      <c r="JI356" s="77"/>
      <c r="JJ356" s="77"/>
      <c r="JK356" s="77"/>
      <c r="JL356" s="77"/>
      <c r="JM356" s="77"/>
      <c r="JN356" s="77"/>
      <c r="JO356" s="77"/>
      <c r="JP356" s="77"/>
      <c r="JQ356" s="77"/>
      <c r="JR356" s="77"/>
      <c r="JS356" s="77"/>
      <c r="JT356" s="77"/>
      <c r="JU356" s="77"/>
      <c r="JV356" s="77"/>
      <c r="JW356" s="77"/>
      <c r="JX356" s="77"/>
      <c r="JY356" s="77"/>
      <c r="JZ356" s="77"/>
    </row>
    <row r="357" spans="1:286" s="166" customFormat="1" ht="36" x14ac:dyDescent="0.25">
      <c r="A357" s="310"/>
      <c r="B357" s="115" t="s">
        <v>224</v>
      </c>
      <c r="C357" s="115" t="s">
        <v>148</v>
      </c>
      <c r="D357" s="117" t="s">
        <v>106</v>
      </c>
      <c r="E357" s="117" t="s">
        <v>149</v>
      </c>
      <c r="F357" s="280"/>
      <c r="G357" s="147" t="s">
        <v>227</v>
      </c>
      <c r="H357" s="280"/>
      <c r="I357" s="239"/>
      <c r="J357" s="231"/>
      <c r="K357" s="225"/>
      <c r="L357" s="227"/>
      <c r="M357" s="233"/>
      <c r="N357" s="278">
        <f t="shared" si="441"/>
        <v>0</v>
      </c>
      <c r="O357" s="242"/>
      <c r="P357" s="71"/>
      <c r="Q357" s="280"/>
      <c r="R357" s="159" t="s">
        <v>179</v>
      </c>
      <c r="S357" s="285"/>
      <c r="T357" s="147" t="s">
        <v>255</v>
      </c>
      <c r="U357" s="280"/>
      <c r="V357" s="239"/>
      <c r="W357" s="231"/>
      <c r="X357" s="225"/>
      <c r="Y357" s="227"/>
      <c r="Z357" s="233"/>
      <c r="AA357" s="278">
        <f t="shared" si="433"/>
        <v>0</v>
      </c>
      <c r="AB357" s="242"/>
      <c r="AC357" s="280"/>
      <c r="AD357" s="239"/>
      <c r="AE357" s="231"/>
      <c r="AF357" s="225"/>
      <c r="AG357" s="227"/>
      <c r="AH357" s="233"/>
      <c r="AI357" s="278">
        <f t="shared" si="434"/>
        <v>0</v>
      </c>
      <c r="AJ357" s="242"/>
      <c r="AK357" s="280"/>
      <c r="AL357" s="280"/>
      <c r="AM357" s="243"/>
      <c r="AN357" s="280"/>
      <c r="AO357" s="72"/>
      <c r="AP357" s="286"/>
      <c r="AQ357" s="280"/>
      <c r="AR357" s="281"/>
      <c r="AS357" s="282"/>
      <c r="AT357" s="283"/>
      <c r="AU357" s="280"/>
      <c r="AV357" s="280"/>
      <c r="AW357" s="280"/>
      <c r="AX357" s="165" t="s">
        <v>126</v>
      </c>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c r="BW357" s="77"/>
      <c r="BX357" s="77"/>
      <c r="BY357" s="77"/>
      <c r="BZ357" s="77"/>
      <c r="CA357" s="77"/>
      <c r="CB357" s="77"/>
      <c r="CC357" s="77"/>
      <c r="CD357" s="77"/>
      <c r="CE357" s="77"/>
      <c r="CF357" s="77"/>
      <c r="CG357" s="77"/>
      <c r="CH357" s="77"/>
      <c r="CI357" s="77"/>
      <c r="CJ357" s="77"/>
      <c r="CK357" s="77"/>
      <c r="CL357" s="77"/>
      <c r="CM357" s="77"/>
      <c r="CN357" s="77"/>
      <c r="CO357" s="77"/>
      <c r="CP357" s="77"/>
      <c r="CQ357" s="77"/>
      <c r="CR357" s="77"/>
      <c r="CS357" s="77"/>
      <c r="CT357" s="77"/>
      <c r="CU357" s="77"/>
      <c r="CV357" s="77"/>
      <c r="CW357" s="77"/>
      <c r="CX357" s="77"/>
      <c r="CY357" s="77"/>
      <c r="CZ357" s="77"/>
      <c r="DA357" s="77"/>
      <c r="DB357" s="77"/>
      <c r="DC357" s="77"/>
      <c r="DD357" s="77"/>
      <c r="DE357" s="77"/>
      <c r="DF357" s="77"/>
      <c r="DG357" s="77"/>
      <c r="DH357" s="77"/>
      <c r="DI357" s="77"/>
      <c r="DJ357" s="77"/>
      <c r="DK357" s="77"/>
      <c r="DL357" s="77"/>
      <c r="DM357" s="77"/>
      <c r="DN357" s="77"/>
      <c r="DO357" s="77"/>
      <c r="DP357" s="77"/>
      <c r="DQ357" s="77"/>
      <c r="DR357" s="77"/>
      <c r="DS357" s="77"/>
      <c r="DT357" s="77"/>
      <c r="DU357" s="77"/>
      <c r="DV357" s="77"/>
      <c r="DW357" s="77"/>
      <c r="DX357" s="77"/>
      <c r="DY357" s="77"/>
      <c r="DZ357" s="77"/>
      <c r="EA357" s="77"/>
      <c r="EB357" s="77"/>
      <c r="EC357" s="77"/>
      <c r="ED357" s="77"/>
      <c r="EE357" s="77"/>
      <c r="EF357" s="77"/>
      <c r="EG357" s="77"/>
      <c r="EH357" s="77"/>
      <c r="EI357" s="77"/>
      <c r="EJ357" s="77"/>
      <c r="EK357" s="77"/>
      <c r="EL357" s="77"/>
      <c r="EM357" s="77"/>
      <c r="EN357" s="77"/>
      <c r="EO357" s="77"/>
      <c r="EP357" s="77"/>
      <c r="EQ357" s="77"/>
      <c r="ER357" s="77"/>
      <c r="ES357" s="77"/>
      <c r="ET357" s="77"/>
      <c r="EU357" s="77"/>
      <c r="EV357" s="77"/>
      <c r="EW357" s="77"/>
      <c r="EX357" s="77"/>
      <c r="EY357" s="77"/>
      <c r="EZ357" s="77"/>
      <c r="FA357" s="77"/>
      <c r="FB357" s="77"/>
      <c r="FC357" s="77"/>
      <c r="FD357" s="77"/>
      <c r="FE357" s="77"/>
      <c r="FF357" s="77"/>
      <c r="FG357" s="77"/>
      <c r="FH357" s="77"/>
      <c r="FI357" s="77"/>
      <c r="FJ357" s="77"/>
      <c r="FK357" s="77"/>
      <c r="FL357" s="77"/>
      <c r="FM357" s="77"/>
      <c r="FN357" s="77"/>
      <c r="FO357" s="77"/>
      <c r="FP357" s="77"/>
      <c r="FQ357" s="77"/>
      <c r="FR357" s="77"/>
      <c r="FS357" s="77"/>
      <c r="FT357" s="77"/>
      <c r="FU357" s="77"/>
      <c r="FV357" s="77"/>
      <c r="FW357" s="77"/>
      <c r="FX357" s="77"/>
      <c r="FY357" s="77"/>
      <c r="FZ357" s="77"/>
      <c r="GA357" s="77"/>
      <c r="GB357" s="77"/>
      <c r="GC357" s="77"/>
      <c r="GD357" s="77"/>
      <c r="GE357" s="77"/>
      <c r="GF357" s="77"/>
      <c r="GG357" s="77"/>
      <c r="GH357" s="77"/>
      <c r="GI357" s="77"/>
      <c r="GJ357" s="77"/>
      <c r="GK357" s="77"/>
      <c r="GL357" s="77"/>
      <c r="GM357" s="77"/>
      <c r="GN357" s="77"/>
      <c r="GO357" s="77"/>
      <c r="GP357" s="77"/>
      <c r="GQ357" s="77"/>
      <c r="GR357" s="77"/>
      <c r="GS357" s="77"/>
      <c r="GT357" s="77"/>
      <c r="GU357" s="77"/>
      <c r="GV357" s="77"/>
      <c r="GW357" s="77"/>
      <c r="GX357" s="77"/>
      <c r="GY357" s="77"/>
      <c r="GZ357" s="77"/>
      <c r="HA357" s="77"/>
      <c r="HB357" s="77"/>
      <c r="HC357" s="77"/>
      <c r="HD357" s="77"/>
      <c r="HE357" s="77"/>
      <c r="HF357" s="77"/>
      <c r="HG357" s="77"/>
      <c r="HH357" s="77"/>
      <c r="HI357" s="77"/>
      <c r="HJ357" s="77"/>
      <c r="HK357" s="77"/>
      <c r="HL357" s="77"/>
      <c r="HM357" s="77"/>
      <c r="HN357" s="77"/>
      <c r="HO357" s="77"/>
      <c r="HP357" s="77"/>
      <c r="HQ357" s="77"/>
      <c r="HR357" s="77"/>
      <c r="HS357" s="77"/>
      <c r="HT357" s="77"/>
      <c r="HU357" s="77"/>
      <c r="HV357" s="77"/>
      <c r="HW357" s="77"/>
      <c r="HX357" s="77"/>
      <c r="HY357" s="77"/>
      <c r="HZ357" s="77"/>
      <c r="IA357" s="77"/>
      <c r="IB357" s="77"/>
      <c r="IC357" s="77"/>
      <c r="ID357" s="77"/>
      <c r="IE357" s="77"/>
      <c r="IF357" s="77"/>
      <c r="IG357" s="77"/>
      <c r="IH357" s="77"/>
      <c r="II357" s="77"/>
      <c r="IJ357" s="77"/>
      <c r="IK357" s="77"/>
      <c r="IL357" s="77"/>
      <c r="IM357" s="77"/>
      <c r="IN357" s="77"/>
      <c r="IO357" s="77"/>
      <c r="IP357" s="77"/>
      <c r="IQ357" s="77"/>
      <c r="IR357" s="77"/>
      <c r="IS357" s="77"/>
      <c r="IT357" s="77"/>
      <c r="IU357" s="77"/>
      <c r="IV357" s="77"/>
      <c r="IW357" s="77"/>
      <c r="IX357" s="77"/>
      <c r="IY357" s="77"/>
      <c r="IZ357" s="77"/>
      <c r="JA357" s="77"/>
      <c r="JB357" s="77"/>
      <c r="JC357" s="77"/>
      <c r="JD357" s="77"/>
      <c r="JE357" s="77"/>
      <c r="JF357" s="77"/>
      <c r="JG357" s="77"/>
      <c r="JH357" s="77"/>
      <c r="JI357" s="77"/>
      <c r="JJ357" s="77"/>
      <c r="JK357" s="77"/>
      <c r="JL357" s="77"/>
      <c r="JM357" s="77"/>
      <c r="JN357" s="77"/>
      <c r="JO357" s="77"/>
      <c r="JP357" s="77"/>
      <c r="JQ357" s="77"/>
      <c r="JR357" s="77"/>
      <c r="JS357" s="77"/>
      <c r="JT357" s="77"/>
      <c r="JU357" s="77"/>
      <c r="JV357" s="77"/>
      <c r="JW357" s="77"/>
      <c r="JX357" s="77"/>
      <c r="JY357" s="77"/>
      <c r="JZ357" s="77"/>
    </row>
    <row r="358" spans="1:286" s="77" customFormat="1" ht="36" x14ac:dyDescent="0.25">
      <c r="A358" s="310"/>
      <c r="B358" s="115" t="s">
        <v>224</v>
      </c>
      <c r="C358" s="115" t="s">
        <v>148</v>
      </c>
      <c r="D358" s="117" t="s">
        <v>106</v>
      </c>
      <c r="E358" s="117" t="s">
        <v>149</v>
      </c>
      <c r="F358" s="142" t="s">
        <v>61</v>
      </c>
      <c r="G358" s="155"/>
      <c r="H358" s="153">
        <f t="shared" ref="H358:O358" si="465">SUM(H354:H357)</f>
        <v>40</v>
      </c>
      <c r="I358" s="153">
        <f t="shared" si="465"/>
        <v>0</v>
      </c>
      <c r="J358" s="153">
        <f t="shared" si="465"/>
        <v>0</v>
      </c>
      <c r="K358" s="153">
        <f t="shared" si="465"/>
        <v>0</v>
      </c>
      <c r="L358" s="153">
        <f t="shared" si="465"/>
        <v>0</v>
      </c>
      <c r="M358" s="153">
        <f t="shared" si="465"/>
        <v>0</v>
      </c>
      <c r="N358" s="153">
        <f t="shared" si="441"/>
        <v>0</v>
      </c>
      <c r="O358" s="153">
        <f t="shared" si="465"/>
        <v>40</v>
      </c>
      <c r="P358" s="153"/>
      <c r="Q358" s="156"/>
      <c r="R358" s="129"/>
      <c r="S358" s="157"/>
      <c r="T358" s="158"/>
      <c r="U358" s="153">
        <f t="shared" ref="U358:AJ358" si="466">SUM(U354:U357)</f>
        <v>40</v>
      </c>
      <c r="V358" s="153">
        <f t="shared" si="466"/>
        <v>0</v>
      </c>
      <c r="W358" s="153">
        <f t="shared" si="466"/>
        <v>0</v>
      </c>
      <c r="X358" s="153">
        <f t="shared" si="466"/>
        <v>0</v>
      </c>
      <c r="Y358" s="153">
        <f t="shared" si="466"/>
        <v>0</v>
      </c>
      <c r="Z358" s="153">
        <f t="shared" si="466"/>
        <v>0</v>
      </c>
      <c r="AA358" s="153">
        <f t="shared" si="433"/>
        <v>0</v>
      </c>
      <c r="AB358" s="153">
        <f t="shared" si="466"/>
        <v>40</v>
      </c>
      <c r="AC358" s="153">
        <f t="shared" si="466"/>
        <v>10</v>
      </c>
      <c r="AD358" s="153">
        <f t="shared" si="466"/>
        <v>0</v>
      </c>
      <c r="AE358" s="153">
        <f t="shared" si="466"/>
        <v>0</v>
      </c>
      <c r="AF358" s="153">
        <f t="shared" si="466"/>
        <v>0</v>
      </c>
      <c r="AG358" s="153">
        <f t="shared" ref="AG358" si="467">SUM(AG354:AG357)</f>
        <v>0</v>
      </c>
      <c r="AH358" s="153">
        <f t="shared" si="466"/>
        <v>0</v>
      </c>
      <c r="AI358" s="153">
        <f t="shared" si="434"/>
        <v>0</v>
      </c>
      <c r="AJ358" s="153">
        <f t="shared" si="466"/>
        <v>10</v>
      </c>
      <c r="AK358" s="156"/>
      <c r="AL358" s="156"/>
      <c r="AM358" s="156"/>
      <c r="AN358" s="156"/>
      <c r="AO358" s="156"/>
      <c r="AP358" s="155"/>
      <c r="AQ358" s="153">
        <f>SUM(AQ354:AQ357)</f>
        <v>10</v>
      </c>
      <c r="AR358" s="153">
        <f>SUM(AR354:AR357)</f>
        <v>0</v>
      </c>
      <c r="AS358" s="153">
        <f>SUM(AS354:AS357)</f>
        <v>0</v>
      </c>
      <c r="AT358" s="153">
        <f>SUM(AT354:AT357)</f>
        <v>10</v>
      </c>
      <c r="AU358" s="129"/>
      <c r="AV358" s="156"/>
      <c r="AW358" s="155"/>
      <c r="AX358" s="155" t="s">
        <v>126</v>
      </c>
    </row>
    <row r="359" spans="1:286" s="77" customFormat="1" ht="37.5" customHeight="1" x14ac:dyDescent="0.25">
      <c r="A359" s="310"/>
      <c r="B359" s="115" t="s">
        <v>224</v>
      </c>
      <c r="C359" s="115" t="s">
        <v>152</v>
      </c>
      <c r="D359" s="117" t="s">
        <v>106</v>
      </c>
      <c r="E359" s="117" t="s">
        <v>75</v>
      </c>
      <c r="F359" s="272"/>
      <c r="G359" s="119" t="s">
        <v>237</v>
      </c>
      <c r="H359" s="136">
        <v>100</v>
      </c>
      <c r="I359" s="197">
        <v>0</v>
      </c>
      <c r="J359" s="90">
        <v>0</v>
      </c>
      <c r="K359" s="91">
        <v>8</v>
      </c>
      <c r="L359" s="92">
        <v>2</v>
      </c>
      <c r="M359" s="81">
        <v>0</v>
      </c>
      <c r="N359" s="133">
        <f t="shared" si="441"/>
        <v>10</v>
      </c>
      <c r="O359" s="71">
        <v>90</v>
      </c>
      <c r="P359" s="71"/>
      <c r="Q359" s="136"/>
      <c r="R359" s="136" t="s">
        <v>51</v>
      </c>
      <c r="S359" s="120" t="s">
        <v>334</v>
      </c>
      <c r="T359" s="251" t="s">
        <v>77</v>
      </c>
      <c r="U359" s="136">
        <v>150</v>
      </c>
      <c r="V359" s="197">
        <v>0</v>
      </c>
      <c r="W359" s="90">
        <v>0</v>
      </c>
      <c r="X359" s="91">
        <v>8</v>
      </c>
      <c r="Y359" s="92">
        <v>2</v>
      </c>
      <c r="Z359" s="81">
        <v>0</v>
      </c>
      <c r="AA359" s="133">
        <f t="shared" si="433"/>
        <v>10</v>
      </c>
      <c r="AB359" s="71">
        <v>140</v>
      </c>
      <c r="AC359" s="136">
        <v>5</v>
      </c>
      <c r="AD359" s="197">
        <v>0</v>
      </c>
      <c r="AE359" s="90">
        <v>0</v>
      </c>
      <c r="AF359" s="91">
        <v>0</v>
      </c>
      <c r="AG359" s="92">
        <v>0</v>
      </c>
      <c r="AH359" s="81">
        <v>0</v>
      </c>
      <c r="AI359" s="133">
        <f t="shared" si="434"/>
        <v>0</v>
      </c>
      <c r="AJ359" s="71">
        <f t="shared" ref="AJ359:AJ365" si="468">AC359/4*3</f>
        <v>3.75</v>
      </c>
      <c r="AK359" s="136"/>
      <c r="AL359" s="119" t="s">
        <v>335</v>
      </c>
      <c r="AM359" s="72">
        <v>38</v>
      </c>
      <c r="AN359" s="136"/>
      <c r="AO359" s="72"/>
      <c r="AP359" s="119" t="s">
        <v>58</v>
      </c>
      <c r="AQ359" s="136">
        <v>200</v>
      </c>
      <c r="AR359" s="161">
        <v>0</v>
      </c>
      <c r="AS359" s="162">
        <v>200</v>
      </c>
      <c r="AT359" s="163">
        <v>0</v>
      </c>
      <c r="AU359" s="119"/>
      <c r="AV359" s="136"/>
      <c r="AW359" s="119"/>
      <c r="AX359" s="117" t="s">
        <v>108</v>
      </c>
    </row>
    <row r="360" spans="1:286" s="77" customFormat="1" ht="54" x14ac:dyDescent="0.25">
      <c r="A360" s="310"/>
      <c r="B360" s="115" t="s">
        <v>224</v>
      </c>
      <c r="C360" s="115" t="s">
        <v>152</v>
      </c>
      <c r="D360" s="117" t="s">
        <v>106</v>
      </c>
      <c r="E360" s="117" t="s">
        <v>75</v>
      </c>
      <c r="F360" s="272"/>
      <c r="G360" s="119" t="s">
        <v>227</v>
      </c>
      <c r="H360" s="136">
        <v>25</v>
      </c>
      <c r="I360" s="197">
        <v>0</v>
      </c>
      <c r="J360" s="90">
        <v>0</v>
      </c>
      <c r="K360" s="91">
        <v>0</v>
      </c>
      <c r="L360" s="92">
        <v>0</v>
      </c>
      <c r="M360" s="81">
        <v>0</v>
      </c>
      <c r="N360" s="133">
        <f t="shared" si="441"/>
        <v>0</v>
      </c>
      <c r="O360" s="71">
        <v>25</v>
      </c>
      <c r="P360" s="71"/>
      <c r="Q360" s="136"/>
      <c r="R360" s="136" t="s">
        <v>51</v>
      </c>
      <c r="S360" s="120" t="s">
        <v>334</v>
      </c>
      <c r="T360" s="251"/>
      <c r="U360" s="136">
        <v>50</v>
      </c>
      <c r="V360" s="197">
        <v>0</v>
      </c>
      <c r="W360" s="90">
        <v>0</v>
      </c>
      <c r="X360" s="91">
        <v>0</v>
      </c>
      <c r="Y360" s="92">
        <v>0</v>
      </c>
      <c r="Z360" s="81">
        <v>0</v>
      </c>
      <c r="AA360" s="133">
        <f t="shared" si="433"/>
        <v>0</v>
      </c>
      <c r="AB360" s="71">
        <v>50</v>
      </c>
      <c r="AC360" s="136">
        <v>0</v>
      </c>
      <c r="AD360" s="197">
        <v>0</v>
      </c>
      <c r="AE360" s="90">
        <v>0</v>
      </c>
      <c r="AF360" s="91">
        <v>0</v>
      </c>
      <c r="AG360" s="92">
        <v>0</v>
      </c>
      <c r="AH360" s="81">
        <v>0</v>
      </c>
      <c r="AI360" s="133">
        <f t="shared" si="434"/>
        <v>0</v>
      </c>
      <c r="AJ360" s="71">
        <f t="shared" si="468"/>
        <v>0</v>
      </c>
      <c r="AK360" s="136"/>
      <c r="AL360" s="119"/>
      <c r="AM360" s="72"/>
      <c r="AN360" s="136"/>
      <c r="AO360" s="72"/>
      <c r="AP360" s="119"/>
      <c r="AQ360" s="136"/>
      <c r="AR360" s="161">
        <v>0</v>
      </c>
      <c r="AS360" s="162">
        <v>0</v>
      </c>
      <c r="AT360" s="163">
        <v>0</v>
      </c>
      <c r="AU360" s="119"/>
      <c r="AV360" s="136"/>
      <c r="AW360" s="119"/>
      <c r="AX360" s="117" t="s">
        <v>108</v>
      </c>
    </row>
    <row r="361" spans="1:286" s="77" customFormat="1" ht="54" x14ac:dyDescent="0.25">
      <c r="A361" s="310"/>
      <c r="B361" s="115" t="s">
        <v>224</v>
      </c>
      <c r="C361" s="115" t="s">
        <v>152</v>
      </c>
      <c r="D361" s="117" t="s">
        <v>106</v>
      </c>
      <c r="E361" s="117" t="s">
        <v>75</v>
      </c>
      <c r="F361" s="272"/>
      <c r="G361" s="119" t="s">
        <v>228</v>
      </c>
      <c r="H361" s="136">
        <v>50</v>
      </c>
      <c r="I361" s="197">
        <v>0</v>
      </c>
      <c r="J361" s="90">
        <v>3</v>
      </c>
      <c r="K361" s="91">
        <v>4</v>
      </c>
      <c r="L361" s="92">
        <v>6</v>
      </c>
      <c r="M361" s="81">
        <v>3</v>
      </c>
      <c r="N361" s="133">
        <f t="shared" si="441"/>
        <v>16</v>
      </c>
      <c r="O361" s="71">
        <v>30</v>
      </c>
      <c r="P361" s="71"/>
      <c r="Q361" s="136"/>
      <c r="R361" s="136" t="s">
        <v>51</v>
      </c>
      <c r="S361" s="120" t="s">
        <v>334</v>
      </c>
      <c r="T361" s="251"/>
      <c r="U361" s="136">
        <v>60</v>
      </c>
      <c r="V361" s="197">
        <v>0</v>
      </c>
      <c r="W361" s="90">
        <v>3</v>
      </c>
      <c r="X361" s="91">
        <v>4</v>
      </c>
      <c r="Y361" s="92">
        <v>6</v>
      </c>
      <c r="Z361" s="81">
        <v>3</v>
      </c>
      <c r="AA361" s="133">
        <f t="shared" si="433"/>
        <v>16</v>
      </c>
      <c r="AB361" s="71">
        <v>40</v>
      </c>
      <c r="AC361" s="136">
        <v>0</v>
      </c>
      <c r="AD361" s="197">
        <v>0</v>
      </c>
      <c r="AE361" s="90">
        <v>0</v>
      </c>
      <c r="AF361" s="91">
        <v>0</v>
      </c>
      <c r="AG361" s="92">
        <v>0</v>
      </c>
      <c r="AH361" s="81">
        <v>0</v>
      </c>
      <c r="AI361" s="133">
        <f t="shared" si="434"/>
        <v>0</v>
      </c>
      <c r="AJ361" s="71">
        <f t="shared" si="468"/>
        <v>0</v>
      </c>
      <c r="AK361" s="136"/>
      <c r="AL361" s="119" t="s">
        <v>335</v>
      </c>
      <c r="AM361" s="72">
        <v>2</v>
      </c>
      <c r="AN361" s="136"/>
      <c r="AO361" s="72"/>
      <c r="AP361" s="119" t="s">
        <v>58</v>
      </c>
      <c r="AQ361" s="136">
        <v>1</v>
      </c>
      <c r="AR361" s="161">
        <v>0</v>
      </c>
      <c r="AS361" s="162">
        <f>AQ361/4*3</f>
        <v>0.75</v>
      </c>
      <c r="AT361" s="163">
        <v>0</v>
      </c>
      <c r="AU361" s="119"/>
      <c r="AV361" s="136"/>
      <c r="AW361" s="119"/>
      <c r="AX361" s="117" t="s">
        <v>108</v>
      </c>
    </row>
    <row r="362" spans="1:286" s="77" customFormat="1" ht="54" x14ac:dyDescent="0.25">
      <c r="A362" s="310"/>
      <c r="B362" s="115" t="s">
        <v>224</v>
      </c>
      <c r="C362" s="115" t="s">
        <v>152</v>
      </c>
      <c r="D362" s="117" t="s">
        <v>106</v>
      </c>
      <c r="E362" s="117" t="s">
        <v>75</v>
      </c>
      <c r="F362" s="272"/>
      <c r="G362" s="119" t="s">
        <v>260</v>
      </c>
      <c r="H362" s="136">
        <v>5</v>
      </c>
      <c r="I362" s="197">
        <v>0</v>
      </c>
      <c r="J362" s="90">
        <v>0</v>
      </c>
      <c r="K362" s="91">
        <v>0</v>
      </c>
      <c r="L362" s="92">
        <v>0</v>
      </c>
      <c r="M362" s="81">
        <v>0</v>
      </c>
      <c r="N362" s="133">
        <f t="shared" si="441"/>
        <v>0</v>
      </c>
      <c r="O362" s="71">
        <v>5</v>
      </c>
      <c r="P362" s="71"/>
      <c r="Q362" s="136"/>
      <c r="R362" s="136" t="s">
        <v>51</v>
      </c>
      <c r="S362" s="120" t="s">
        <v>334</v>
      </c>
      <c r="T362" s="251"/>
      <c r="U362" s="136">
        <v>10</v>
      </c>
      <c r="V362" s="197">
        <v>0</v>
      </c>
      <c r="W362" s="90">
        <v>0</v>
      </c>
      <c r="X362" s="91">
        <v>0</v>
      </c>
      <c r="Y362" s="92">
        <v>0</v>
      </c>
      <c r="Z362" s="81">
        <v>0</v>
      </c>
      <c r="AA362" s="133">
        <f t="shared" si="433"/>
        <v>0</v>
      </c>
      <c r="AB362" s="71">
        <v>10</v>
      </c>
      <c r="AC362" s="136">
        <v>0</v>
      </c>
      <c r="AD362" s="197">
        <v>0</v>
      </c>
      <c r="AE362" s="90">
        <v>0</v>
      </c>
      <c r="AF362" s="91">
        <v>0</v>
      </c>
      <c r="AG362" s="92">
        <v>0</v>
      </c>
      <c r="AH362" s="81">
        <v>0</v>
      </c>
      <c r="AI362" s="133">
        <f t="shared" si="434"/>
        <v>0</v>
      </c>
      <c r="AJ362" s="71">
        <f t="shared" si="468"/>
        <v>0</v>
      </c>
      <c r="AK362" s="136"/>
      <c r="AL362" s="119" t="s">
        <v>335</v>
      </c>
      <c r="AM362" s="72">
        <v>4</v>
      </c>
      <c r="AN362" s="136"/>
      <c r="AO362" s="72"/>
      <c r="AP362" s="119" t="s">
        <v>58</v>
      </c>
      <c r="AQ362" s="136">
        <v>5</v>
      </c>
      <c r="AR362" s="161">
        <v>0</v>
      </c>
      <c r="AS362" s="162">
        <v>5</v>
      </c>
      <c r="AT362" s="163">
        <v>0</v>
      </c>
      <c r="AU362" s="119"/>
      <c r="AV362" s="136"/>
      <c r="AW362" s="119"/>
      <c r="AX362" s="117" t="s">
        <v>108</v>
      </c>
    </row>
    <row r="363" spans="1:286" s="77" customFormat="1" ht="54" x14ac:dyDescent="0.25">
      <c r="A363" s="310"/>
      <c r="B363" s="115" t="s">
        <v>224</v>
      </c>
      <c r="C363" s="115" t="s">
        <v>152</v>
      </c>
      <c r="D363" s="117" t="s">
        <v>106</v>
      </c>
      <c r="E363" s="117" t="s">
        <v>75</v>
      </c>
      <c r="F363" s="272"/>
      <c r="G363" s="119" t="s">
        <v>292</v>
      </c>
      <c r="H363" s="136">
        <v>10</v>
      </c>
      <c r="I363" s="197">
        <v>0</v>
      </c>
      <c r="J363" s="90">
        <v>0</v>
      </c>
      <c r="K363" s="91">
        <v>0</v>
      </c>
      <c r="L363" s="92">
        <v>0</v>
      </c>
      <c r="M363" s="81">
        <v>0</v>
      </c>
      <c r="N363" s="133">
        <f t="shared" si="441"/>
        <v>0</v>
      </c>
      <c r="O363" s="71">
        <v>10</v>
      </c>
      <c r="P363" s="71"/>
      <c r="Q363" s="136"/>
      <c r="R363" s="119" t="s">
        <v>279</v>
      </c>
      <c r="S363" s="120" t="s">
        <v>334</v>
      </c>
      <c r="T363" s="251"/>
      <c r="U363" s="136">
        <v>15</v>
      </c>
      <c r="V363" s="197">
        <v>0</v>
      </c>
      <c r="W363" s="90">
        <v>0</v>
      </c>
      <c r="X363" s="91">
        <v>0</v>
      </c>
      <c r="Y363" s="92">
        <v>0</v>
      </c>
      <c r="Z363" s="81">
        <v>0</v>
      </c>
      <c r="AA363" s="133">
        <f t="shared" si="433"/>
        <v>0</v>
      </c>
      <c r="AB363" s="71">
        <v>15</v>
      </c>
      <c r="AC363" s="136">
        <v>0</v>
      </c>
      <c r="AD363" s="197">
        <v>0</v>
      </c>
      <c r="AE363" s="90">
        <v>0</v>
      </c>
      <c r="AF363" s="91">
        <v>0</v>
      </c>
      <c r="AG363" s="92">
        <v>0</v>
      </c>
      <c r="AH363" s="81">
        <v>0</v>
      </c>
      <c r="AI363" s="133">
        <f t="shared" si="434"/>
        <v>0</v>
      </c>
      <c r="AJ363" s="71">
        <f t="shared" si="468"/>
        <v>0</v>
      </c>
      <c r="AK363" s="136"/>
      <c r="AL363" s="119" t="s">
        <v>335</v>
      </c>
      <c r="AM363" s="72">
        <v>10</v>
      </c>
      <c r="AN363" s="136"/>
      <c r="AO363" s="72"/>
      <c r="AP363" s="119" t="s">
        <v>58</v>
      </c>
      <c r="AQ363" s="136">
        <v>5</v>
      </c>
      <c r="AR363" s="161">
        <v>0</v>
      </c>
      <c r="AS363" s="162">
        <v>5</v>
      </c>
      <c r="AT363" s="163">
        <v>0</v>
      </c>
      <c r="AU363" s="119"/>
      <c r="AV363" s="136"/>
      <c r="AW363" s="119"/>
      <c r="AX363" s="117" t="s">
        <v>108</v>
      </c>
    </row>
    <row r="364" spans="1:286" s="77" customFormat="1" ht="72" x14ac:dyDescent="0.25">
      <c r="A364" s="310"/>
      <c r="B364" s="115" t="s">
        <v>224</v>
      </c>
      <c r="C364" s="115" t="s">
        <v>152</v>
      </c>
      <c r="D364" s="117" t="s">
        <v>106</v>
      </c>
      <c r="E364" s="117" t="s">
        <v>75</v>
      </c>
      <c r="F364" s="272"/>
      <c r="G364" s="119" t="s">
        <v>290</v>
      </c>
      <c r="H364" s="136">
        <v>10</v>
      </c>
      <c r="I364" s="197">
        <v>0</v>
      </c>
      <c r="J364" s="90">
        <v>0</v>
      </c>
      <c r="K364" s="91">
        <v>0</v>
      </c>
      <c r="L364" s="92">
        <v>0</v>
      </c>
      <c r="M364" s="81">
        <v>0</v>
      </c>
      <c r="N364" s="133">
        <f t="shared" si="441"/>
        <v>0</v>
      </c>
      <c r="O364" s="71">
        <v>10</v>
      </c>
      <c r="P364" s="71"/>
      <c r="Q364" s="136"/>
      <c r="R364" s="119" t="s">
        <v>279</v>
      </c>
      <c r="S364" s="120" t="s">
        <v>334</v>
      </c>
      <c r="T364" s="251"/>
      <c r="U364" s="136">
        <v>15</v>
      </c>
      <c r="V364" s="197">
        <v>0</v>
      </c>
      <c r="W364" s="90">
        <v>0</v>
      </c>
      <c r="X364" s="91">
        <v>0</v>
      </c>
      <c r="Y364" s="92">
        <v>0</v>
      </c>
      <c r="Z364" s="81">
        <v>0</v>
      </c>
      <c r="AA364" s="133">
        <f t="shared" si="433"/>
        <v>0</v>
      </c>
      <c r="AB364" s="71">
        <v>15</v>
      </c>
      <c r="AC364" s="136">
        <v>0</v>
      </c>
      <c r="AD364" s="197">
        <v>0</v>
      </c>
      <c r="AE364" s="90">
        <v>0</v>
      </c>
      <c r="AF364" s="91">
        <v>0</v>
      </c>
      <c r="AG364" s="92">
        <v>0</v>
      </c>
      <c r="AH364" s="81">
        <v>0</v>
      </c>
      <c r="AI364" s="133">
        <f t="shared" si="434"/>
        <v>0</v>
      </c>
      <c r="AJ364" s="71">
        <f t="shared" si="468"/>
        <v>0</v>
      </c>
      <c r="AK364" s="136"/>
      <c r="AL364" s="119" t="s">
        <v>335</v>
      </c>
      <c r="AM364" s="72">
        <v>2</v>
      </c>
      <c r="AN364" s="136"/>
      <c r="AO364" s="72"/>
      <c r="AP364" s="119" t="s">
        <v>58</v>
      </c>
      <c r="AQ364" s="136">
        <v>5</v>
      </c>
      <c r="AR364" s="161">
        <v>0</v>
      </c>
      <c r="AS364" s="162">
        <v>5</v>
      </c>
      <c r="AT364" s="163">
        <v>0</v>
      </c>
      <c r="AU364" s="119"/>
      <c r="AV364" s="136"/>
      <c r="AW364" s="119"/>
      <c r="AX364" s="117" t="s">
        <v>108</v>
      </c>
    </row>
    <row r="365" spans="1:286" s="77" customFormat="1" ht="54" x14ac:dyDescent="0.25">
      <c r="A365" s="310"/>
      <c r="B365" s="115" t="s">
        <v>224</v>
      </c>
      <c r="C365" s="115" t="s">
        <v>152</v>
      </c>
      <c r="D365" s="117" t="s">
        <v>106</v>
      </c>
      <c r="E365" s="117" t="s">
        <v>75</v>
      </c>
      <c r="F365" s="272"/>
      <c r="G365" s="119" t="s">
        <v>236</v>
      </c>
      <c r="H365" s="136">
        <v>3</v>
      </c>
      <c r="I365" s="197">
        <v>0</v>
      </c>
      <c r="J365" s="90">
        <v>0</v>
      </c>
      <c r="K365" s="91">
        <v>0</v>
      </c>
      <c r="L365" s="92">
        <v>0</v>
      </c>
      <c r="M365" s="81">
        <v>0</v>
      </c>
      <c r="N365" s="133">
        <f t="shared" si="441"/>
        <v>0</v>
      </c>
      <c r="O365" s="71">
        <v>3</v>
      </c>
      <c r="P365" s="71"/>
      <c r="Q365" s="136"/>
      <c r="R365" s="119" t="s">
        <v>279</v>
      </c>
      <c r="S365" s="120" t="s">
        <v>334</v>
      </c>
      <c r="T365" s="251"/>
      <c r="U365" s="136">
        <v>15</v>
      </c>
      <c r="V365" s="197">
        <v>0</v>
      </c>
      <c r="W365" s="90">
        <v>0</v>
      </c>
      <c r="X365" s="91">
        <v>0</v>
      </c>
      <c r="Y365" s="92">
        <v>0</v>
      </c>
      <c r="Z365" s="81">
        <v>0</v>
      </c>
      <c r="AA365" s="133">
        <f t="shared" si="433"/>
        <v>0</v>
      </c>
      <c r="AB365" s="71">
        <v>15</v>
      </c>
      <c r="AC365" s="136">
        <v>0</v>
      </c>
      <c r="AD365" s="197">
        <v>0</v>
      </c>
      <c r="AE365" s="90">
        <v>0</v>
      </c>
      <c r="AF365" s="91">
        <v>0</v>
      </c>
      <c r="AG365" s="92">
        <v>0</v>
      </c>
      <c r="AH365" s="81">
        <v>0</v>
      </c>
      <c r="AI365" s="133">
        <f t="shared" si="434"/>
        <v>0</v>
      </c>
      <c r="AJ365" s="71">
        <f t="shared" si="468"/>
        <v>0</v>
      </c>
      <c r="AK365" s="136"/>
      <c r="AL365" s="119" t="s">
        <v>335</v>
      </c>
      <c r="AM365" s="72">
        <v>4</v>
      </c>
      <c r="AN365" s="136"/>
      <c r="AO365" s="72"/>
      <c r="AP365" s="119" t="s">
        <v>58</v>
      </c>
      <c r="AQ365" s="136">
        <v>4</v>
      </c>
      <c r="AR365" s="161">
        <v>0</v>
      </c>
      <c r="AS365" s="162">
        <v>4</v>
      </c>
      <c r="AT365" s="163">
        <v>0</v>
      </c>
      <c r="AU365" s="119"/>
      <c r="AV365" s="136"/>
      <c r="AW365" s="119"/>
      <c r="AX365" s="117" t="s">
        <v>108</v>
      </c>
    </row>
    <row r="366" spans="1:286" s="77" customFormat="1" ht="54" x14ac:dyDescent="0.25">
      <c r="A366" s="310"/>
      <c r="B366" s="115" t="s">
        <v>224</v>
      </c>
      <c r="C366" s="115" t="s">
        <v>152</v>
      </c>
      <c r="D366" s="117" t="s">
        <v>106</v>
      </c>
      <c r="E366" s="117" t="s">
        <v>75</v>
      </c>
      <c r="F366" s="142" t="s">
        <v>61</v>
      </c>
      <c r="G366" s="155"/>
      <c r="H366" s="153">
        <f t="shared" ref="H366:O366" si="469">SUM(H359:H365)</f>
        <v>203</v>
      </c>
      <c r="I366" s="153">
        <f t="shared" si="469"/>
        <v>0</v>
      </c>
      <c r="J366" s="153">
        <f t="shared" si="469"/>
        <v>3</v>
      </c>
      <c r="K366" s="153">
        <f t="shared" si="469"/>
        <v>12</v>
      </c>
      <c r="L366" s="153">
        <f t="shared" si="469"/>
        <v>8</v>
      </c>
      <c r="M366" s="153">
        <f t="shared" si="469"/>
        <v>3</v>
      </c>
      <c r="N366" s="153">
        <f t="shared" si="441"/>
        <v>26</v>
      </c>
      <c r="O366" s="153">
        <f t="shared" si="469"/>
        <v>173</v>
      </c>
      <c r="P366" s="153"/>
      <c r="Q366" s="156"/>
      <c r="R366" s="129"/>
      <c r="S366" s="157"/>
      <c r="T366" s="158"/>
      <c r="U366" s="153">
        <f t="shared" ref="U366:AJ366" si="470">SUM(U359:U365)</f>
        <v>315</v>
      </c>
      <c r="V366" s="153">
        <f t="shared" si="470"/>
        <v>0</v>
      </c>
      <c r="W366" s="153">
        <f t="shared" si="470"/>
        <v>3</v>
      </c>
      <c r="X366" s="153">
        <f t="shared" si="470"/>
        <v>12</v>
      </c>
      <c r="Y366" s="153">
        <f t="shared" si="470"/>
        <v>8</v>
      </c>
      <c r="Z366" s="153">
        <f t="shared" si="470"/>
        <v>3</v>
      </c>
      <c r="AA366" s="153">
        <f t="shared" si="433"/>
        <v>26</v>
      </c>
      <c r="AB366" s="153">
        <f t="shared" si="470"/>
        <v>285</v>
      </c>
      <c r="AC366" s="153">
        <f t="shared" si="470"/>
        <v>5</v>
      </c>
      <c r="AD366" s="153">
        <f t="shared" si="470"/>
        <v>0</v>
      </c>
      <c r="AE366" s="153">
        <f t="shared" si="470"/>
        <v>0</v>
      </c>
      <c r="AF366" s="153">
        <f t="shared" si="470"/>
        <v>0</v>
      </c>
      <c r="AG366" s="153">
        <f t="shared" ref="AG366" si="471">SUM(AG359:AG365)</f>
        <v>0</v>
      </c>
      <c r="AH366" s="153">
        <f t="shared" si="470"/>
        <v>0</v>
      </c>
      <c r="AI366" s="153">
        <f t="shared" si="434"/>
        <v>0</v>
      </c>
      <c r="AJ366" s="153">
        <f t="shared" si="470"/>
        <v>3.75</v>
      </c>
      <c r="AK366" s="156"/>
      <c r="AL366" s="156"/>
      <c r="AM366" s="156">
        <f>SUM(AM359:AM365)</f>
        <v>60</v>
      </c>
      <c r="AN366" s="156"/>
      <c r="AO366" s="156"/>
      <c r="AP366" s="155"/>
      <c r="AQ366" s="153">
        <f>SUM(AQ359:AQ365)</f>
        <v>220</v>
      </c>
      <c r="AR366" s="153">
        <f>SUM(AR359:AR365)</f>
        <v>0</v>
      </c>
      <c r="AS366" s="153">
        <f>SUM(AS359:AS365)</f>
        <v>219.75</v>
      </c>
      <c r="AT366" s="153">
        <f>SUM(AT359:AT365)</f>
        <v>0</v>
      </c>
      <c r="AU366" s="129"/>
      <c r="AV366" s="156"/>
      <c r="AW366" s="156"/>
      <c r="AX366" s="156" t="s">
        <v>108</v>
      </c>
    </row>
    <row r="367" spans="1:286" s="77" customFormat="1" ht="150" x14ac:dyDescent="0.25">
      <c r="A367" s="310"/>
      <c r="B367" s="115" t="s">
        <v>224</v>
      </c>
      <c r="C367" s="115" t="s">
        <v>155</v>
      </c>
      <c r="D367" s="117" t="s">
        <v>106</v>
      </c>
      <c r="E367" s="117" t="s">
        <v>75</v>
      </c>
      <c r="F367" s="267"/>
      <c r="G367" s="119" t="s">
        <v>178</v>
      </c>
      <c r="H367" s="136">
        <v>10</v>
      </c>
      <c r="I367" s="197">
        <v>0</v>
      </c>
      <c r="J367" s="90">
        <v>0</v>
      </c>
      <c r="K367" s="91">
        <v>0</v>
      </c>
      <c r="L367" s="92">
        <v>0</v>
      </c>
      <c r="M367" s="81">
        <v>0</v>
      </c>
      <c r="N367" s="133">
        <f t="shared" si="441"/>
        <v>0</v>
      </c>
      <c r="O367" s="71">
        <v>10</v>
      </c>
      <c r="P367" s="71"/>
      <c r="Q367" s="136"/>
      <c r="R367" s="119" t="s">
        <v>51</v>
      </c>
      <c r="S367" s="120" t="s">
        <v>336</v>
      </c>
      <c r="T367" s="119" t="s">
        <v>77</v>
      </c>
      <c r="U367" s="136">
        <v>100</v>
      </c>
      <c r="V367" s="197">
        <v>0</v>
      </c>
      <c r="W367" s="90">
        <v>0</v>
      </c>
      <c r="X367" s="91">
        <v>0</v>
      </c>
      <c r="Y367" s="92">
        <v>0</v>
      </c>
      <c r="Z367" s="81">
        <v>0</v>
      </c>
      <c r="AA367" s="133">
        <f t="shared" si="433"/>
        <v>0</v>
      </c>
      <c r="AB367" s="71">
        <v>100</v>
      </c>
      <c r="AC367" s="136">
        <v>10</v>
      </c>
      <c r="AD367" s="197">
        <v>0</v>
      </c>
      <c r="AE367" s="90">
        <v>0</v>
      </c>
      <c r="AF367" s="91">
        <v>0</v>
      </c>
      <c r="AG367" s="92">
        <v>0</v>
      </c>
      <c r="AH367" s="81">
        <v>0</v>
      </c>
      <c r="AI367" s="133">
        <f t="shared" si="434"/>
        <v>0</v>
      </c>
      <c r="AJ367" s="71">
        <v>10</v>
      </c>
      <c r="AK367" s="136"/>
      <c r="AL367" s="136"/>
      <c r="AM367" s="72"/>
      <c r="AN367" s="136"/>
      <c r="AO367" s="72"/>
      <c r="AP367" s="119" t="s">
        <v>58</v>
      </c>
      <c r="AQ367" s="136">
        <v>10</v>
      </c>
      <c r="AR367" s="161">
        <v>0</v>
      </c>
      <c r="AS367" s="162">
        <v>10</v>
      </c>
      <c r="AT367" s="163">
        <v>0</v>
      </c>
      <c r="AU367" s="119"/>
      <c r="AV367" s="136"/>
      <c r="AW367" s="119"/>
      <c r="AX367" s="117" t="s">
        <v>108</v>
      </c>
    </row>
    <row r="368" spans="1:286" s="77" customFormat="1" ht="72" x14ac:dyDescent="0.25">
      <c r="A368" s="310"/>
      <c r="B368" s="115" t="s">
        <v>224</v>
      </c>
      <c r="C368" s="115" t="s">
        <v>155</v>
      </c>
      <c r="D368" s="117" t="s">
        <v>106</v>
      </c>
      <c r="E368" s="117" t="s">
        <v>75</v>
      </c>
      <c r="F368" s="268"/>
      <c r="G368" s="119" t="s">
        <v>237</v>
      </c>
      <c r="H368" s="136">
        <v>25</v>
      </c>
      <c r="I368" s="197">
        <v>0</v>
      </c>
      <c r="J368" s="90">
        <v>0</v>
      </c>
      <c r="K368" s="91">
        <v>0</v>
      </c>
      <c r="L368" s="92">
        <v>0</v>
      </c>
      <c r="M368" s="81">
        <v>0</v>
      </c>
      <c r="N368" s="133">
        <f t="shared" si="441"/>
        <v>0</v>
      </c>
      <c r="O368" s="71">
        <v>25</v>
      </c>
      <c r="P368" s="71"/>
      <c r="Q368" s="136"/>
      <c r="R368" s="119" t="s">
        <v>51</v>
      </c>
      <c r="S368" s="120" t="s">
        <v>337</v>
      </c>
      <c r="T368" s="119" t="s">
        <v>77</v>
      </c>
      <c r="U368" s="136">
        <v>25</v>
      </c>
      <c r="V368" s="197">
        <v>0</v>
      </c>
      <c r="W368" s="90">
        <v>0</v>
      </c>
      <c r="X368" s="91">
        <v>0</v>
      </c>
      <c r="Y368" s="92">
        <v>0</v>
      </c>
      <c r="Z368" s="81">
        <v>0</v>
      </c>
      <c r="AA368" s="133">
        <f t="shared" si="433"/>
        <v>0</v>
      </c>
      <c r="AB368" s="71">
        <v>25</v>
      </c>
      <c r="AC368" s="136">
        <v>5</v>
      </c>
      <c r="AD368" s="197">
        <v>0</v>
      </c>
      <c r="AE368" s="90">
        <v>0</v>
      </c>
      <c r="AF368" s="91">
        <v>0</v>
      </c>
      <c r="AG368" s="92">
        <v>0</v>
      </c>
      <c r="AH368" s="81">
        <v>0</v>
      </c>
      <c r="AI368" s="133">
        <f t="shared" si="434"/>
        <v>0</v>
      </c>
      <c r="AJ368" s="71">
        <v>5</v>
      </c>
      <c r="AK368" s="136"/>
      <c r="AL368" s="136"/>
      <c r="AM368" s="72"/>
      <c r="AN368" s="136"/>
      <c r="AO368" s="72"/>
      <c r="AP368" s="119" t="s">
        <v>58</v>
      </c>
      <c r="AQ368" s="136">
        <v>5</v>
      </c>
      <c r="AR368" s="161">
        <v>0</v>
      </c>
      <c r="AS368" s="162">
        <v>5</v>
      </c>
      <c r="AT368" s="163">
        <v>0</v>
      </c>
      <c r="AU368" s="119"/>
      <c r="AV368" s="136"/>
      <c r="AW368" s="119"/>
      <c r="AX368" s="117" t="s">
        <v>108</v>
      </c>
    </row>
    <row r="369" spans="1:286" s="77" customFormat="1" ht="150" x14ac:dyDescent="0.25">
      <c r="A369" s="310"/>
      <c r="B369" s="115" t="s">
        <v>224</v>
      </c>
      <c r="C369" s="115" t="s">
        <v>155</v>
      </c>
      <c r="D369" s="117" t="s">
        <v>106</v>
      </c>
      <c r="E369" s="117" t="s">
        <v>75</v>
      </c>
      <c r="F369" s="268"/>
      <c r="G369" s="119" t="s">
        <v>227</v>
      </c>
      <c r="H369" s="136">
        <v>20</v>
      </c>
      <c r="I369" s="197">
        <v>0</v>
      </c>
      <c r="J369" s="90">
        <v>0</v>
      </c>
      <c r="K369" s="91">
        <v>0</v>
      </c>
      <c r="L369" s="92">
        <v>0</v>
      </c>
      <c r="M369" s="81">
        <v>0</v>
      </c>
      <c r="N369" s="133">
        <f t="shared" si="441"/>
        <v>0</v>
      </c>
      <c r="O369" s="71">
        <v>20</v>
      </c>
      <c r="P369" s="71"/>
      <c r="Q369" s="136"/>
      <c r="R369" s="119" t="s">
        <v>51</v>
      </c>
      <c r="S369" s="120" t="s">
        <v>336</v>
      </c>
      <c r="T369" s="119" t="s">
        <v>77</v>
      </c>
      <c r="U369" s="136">
        <v>50</v>
      </c>
      <c r="V369" s="197">
        <v>0</v>
      </c>
      <c r="W369" s="90">
        <v>0</v>
      </c>
      <c r="X369" s="91">
        <v>0</v>
      </c>
      <c r="Y369" s="92">
        <v>0</v>
      </c>
      <c r="Z369" s="81">
        <v>0</v>
      </c>
      <c r="AA369" s="133">
        <f t="shared" si="433"/>
        <v>0</v>
      </c>
      <c r="AB369" s="71">
        <v>50</v>
      </c>
      <c r="AC369" s="136">
        <v>5</v>
      </c>
      <c r="AD369" s="197">
        <v>0</v>
      </c>
      <c r="AE369" s="90">
        <v>0</v>
      </c>
      <c r="AF369" s="91">
        <v>0</v>
      </c>
      <c r="AG369" s="92">
        <v>0</v>
      </c>
      <c r="AH369" s="81">
        <v>0</v>
      </c>
      <c r="AI369" s="133">
        <f t="shared" si="434"/>
        <v>0</v>
      </c>
      <c r="AJ369" s="71">
        <v>5</v>
      </c>
      <c r="AK369" s="136"/>
      <c r="AL369" s="136"/>
      <c r="AM369" s="72"/>
      <c r="AN369" s="136"/>
      <c r="AO369" s="72"/>
      <c r="AP369" s="119" t="s">
        <v>58</v>
      </c>
      <c r="AQ369" s="136">
        <v>5</v>
      </c>
      <c r="AR369" s="161">
        <v>0</v>
      </c>
      <c r="AS369" s="162">
        <v>5</v>
      </c>
      <c r="AT369" s="163">
        <v>0</v>
      </c>
      <c r="AU369" s="119"/>
      <c r="AV369" s="136"/>
      <c r="AW369" s="119"/>
      <c r="AX369" s="117" t="s">
        <v>108</v>
      </c>
    </row>
    <row r="370" spans="1:286" s="77" customFormat="1" ht="72" x14ac:dyDescent="0.25">
      <c r="A370" s="310"/>
      <c r="B370" s="115" t="s">
        <v>224</v>
      </c>
      <c r="C370" s="115" t="s">
        <v>155</v>
      </c>
      <c r="D370" s="117" t="s">
        <v>106</v>
      </c>
      <c r="E370" s="117" t="s">
        <v>75</v>
      </c>
      <c r="F370" s="268"/>
      <c r="G370" s="119" t="s">
        <v>228</v>
      </c>
      <c r="H370" s="136">
        <v>20</v>
      </c>
      <c r="I370" s="197">
        <v>0</v>
      </c>
      <c r="J370" s="90">
        <v>0</v>
      </c>
      <c r="K370" s="91">
        <v>0</v>
      </c>
      <c r="L370" s="92">
        <v>0</v>
      </c>
      <c r="M370" s="81">
        <v>0</v>
      </c>
      <c r="N370" s="133">
        <f t="shared" si="441"/>
        <v>0</v>
      </c>
      <c r="O370" s="71">
        <v>20</v>
      </c>
      <c r="P370" s="71"/>
      <c r="Q370" s="136"/>
      <c r="R370" s="119" t="s">
        <v>51</v>
      </c>
      <c r="S370" s="120" t="s">
        <v>337</v>
      </c>
      <c r="T370" s="119" t="s">
        <v>77</v>
      </c>
      <c r="U370" s="136">
        <v>50</v>
      </c>
      <c r="V370" s="197">
        <v>0</v>
      </c>
      <c r="W370" s="90">
        <v>0</v>
      </c>
      <c r="X370" s="91">
        <v>0</v>
      </c>
      <c r="Y370" s="92">
        <v>0</v>
      </c>
      <c r="Z370" s="81">
        <v>0</v>
      </c>
      <c r="AA370" s="133">
        <f t="shared" si="433"/>
        <v>0</v>
      </c>
      <c r="AB370" s="71">
        <v>50</v>
      </c>
      <c r="AC370" s="136">
        <v>0</v>
      </c>
      <c r="AD370" s="197">
        <v>0</v>
      </c>
      <c r="AE370" s="90">
        <v>0</v>
      </c>
      <c r="AF370" s="91">
        <v>0</v>
      </c>
      <c r="AG370" s="92">
        <v>0</v>
      </c>
      <c r="AH370" s="81">
        <v>0</v>
      </c>
      <c r="AI370" s="133">
        <f t="shared" si="434"/>
        <v>0</v>
      </c>
      <c r="AJ370" s="71">
        <v>0</v>
      </c>
      <c r="AK370" s="136"/>
      <c r="AL370" s="136"/>
      <c r="AM370" s="72"/>
      <c r="AN370" s="136"/>
      <c r="AO370" s="72"/>
      <c r="AP370" s="119"/>
      <c r="AQ370" s="136">
        <v>0</v>
      </c>
      <c r="AR370" s="161">
        <v>0</v>
      </c>
      <c r="AS370" s="162">
        <v>0</v>
      </c>
      <c r="AT370" s="163">
        <v>0</v>
      </c>
      <c r="AU370" s="119"/>
      <c r="AV370" s="136"/>
      <c r="AW370" s="119"/>
      <c r="AX370" s="117" t="s">
        <v>108</v>
      </c>
    </row>
    <row r="371" spans="1:286" s="77" customFormat="1" ht="72" x14ac:dyDescent="0.25">
      <c r="A371" s="310"/>
      <c r="B371" s="115" t="s">
        <v>224</v>
      </c>
      <c r="C371" s="115" t="s">
        <v>155</v>
      </c>
      <c r="D371" s="117" t="s">
        <v>106</v>
      </c>
      <c r="E371" s="117" t="s">
        <v>75</v>
      </c>
      <c r="F371" s="268"/>
      <c r="G371" s="119" t="s">
        <v>262</v>
      </c>
      <c r="H371" s="136">
        <v>5</v>
      </c>
      <c r="I371" s="197">
        <v>0</v>
      </c>
      <c r="J371" s="90">
        <v>0</v>
      </c>
      <c r="K371" s="91">
        <v>0</v>
      </c>
      <c r="L371" s="92">
        <v>0</v>
      </c>
      <c r="M371" s="81">
        <v>0</v>
      </c>
      <c r="N371" s="133">
        <f t="shared" si="441"/>
        <v>0</v>
      </c>
      <c r="O371" s="71">
        <v>5</v>
      </c>
      <c r="P371" s="71"/>
      <c r="Q371" s="136"/>
      <c r="R371" s="119" t="s">
        <v>51</v>
      </c>
      <c r="S371" s="120" t="s">
        <v>337</v>
      </c>
      <c r="T371" s="119" t="s">
        <v>77</v>
      </c>
      <c r="U371" s="136">
        <v>5</v>
      </c>
      <c r="V371" s="197">
        <v>0</v>
      </c>
      <c r="W371" s="90">
        <v>0</v>
      </c>
      <c r="X371" s="91">
        <v>0</v>
      </c>
      <c r="Y371" s="92">
        <v>0</v>
      </c>
      <c r="Z371" s="81">
        <v>0</v>
      </c>
      <c r="AA371" s="133">
        <f t="shared" si="433"/>
        <v>0</v>
      </c>
      <c r="AB371" s="71">
        <v>5</v>
      </c>
      <c r="AC371" s="136">
        <v>0</v>
      </c>
      <c r="AD371" s="197">
        <v>0</v>
      </c>
      <c r="AE371" s="90">
        <v>0</v>
      </c>
      <c r="AF371" s="91">
        <v>0</v>
      </c>
      <c r="AG371" s="92">
        <v>0</v>
      </c>
      <c r="AH371" s="81">
        <v>0</v>
      </c>
      <c r="AI371" s="133">
        <f t="shared" si="434"/>
        <v>0</v>
      </c>
      <c r="AJ371" s="71">
        <v>0</v>
      </c>
      <c r="AK371" s="136"/>
      <c r="AL371" s="136"/>
      <c r="AM371" s="72"/>
      <c r="AN371" s="136"/>
      <c r="AO371" s="72"/>
      <c r="AP371" s="119"/>
      <c r="AQ371" s="136">
        <v>0</v>
      </c>
      <c r="AR371" s="161">
        <v>0</v>
      </c>
      <c r="AS371" s="162">
        <v>0</v>
      </c>
      <c r="AT371" s="163">
        <v>0</v>
      </c>
      <c r="AU371" s="119"/>
      <c r="AV371" s="136"/>
      <c r="AW371" s="119"/>
      <c r="AX371" s="117" t="s">
        <v>108</v>
      </c>
    </row>
    <row r="372" spans="1:286" s="77" customFormat="1" ht="150" x14ac:dyDescent="0.25">
      <c r="A372" s="310"/>
      <c r="B372" s="115" t="s">
        <v>224</v>
      </c>
      <c r="C372" s="115" t="s">
        <v>155</v>
      </c>
      <c r="D372" s="117" t="s">
        <v>106</v>
      </c>
      <c r="E372" s="117" t="s">
        <v>75</v>
      </c>
      <c r="F372" s="269"/>
      <c r="G372" s="119" t="s">
        <v>172</v>
      </c>
      <c r="H372" s="136">
        <v>5</v>
      </c>
      <c r="I372" s="197">
        <v>0</v>
      </c>
      <c r="J372" s="90">
        <v>0</v>
      </c>
      <c r="K372" s="91">
        <v>0</v>
      </c>
      <c r="L372" s="92">
        <v>0</v>
      </c>
      <c r="M372" s="81">
        <v>0</v>
      </c>
      <c r="N372" s="133">
        <f t="shared" si="441"/>
        <v>0</v>
      </c>
      <c r="O372" s="71">
        <v>5</v>
      </c>
      <c r="P372" s="71"/>
      <c r="Q372" s="136"/>
      <c r="R372" s="119" t="s">
        <v>179</v>
      </c>
      <c r="S372" s="120" t="s">
        <v>336</v>
      </c>
      <c r="T372" s="119" t="s">
        <v>77</v>
      </c>
      <c r="U372" s="136">
        <v>5</v>
      </c>
      <c r="V372" s="197">
        <v>0</v>
      </c>
      <c r="W372" s="90">
        <v>0</v>
      </c>
      <c r="X372" s="91">
        <v>0</v>
      </c>
      <c r="Y372" s="92">
        <v>0</v>
      </c>
      <c r="Z372" s="81">
        <v>0</v>
      </c>
      <c r="AA372" s="133">
        <f t="shared" si="433"/>
        <v>0</v>
      </c>
      <c r="AB372" s="71">
        <v>5</v>
      </c>
      <c r="AC372" s="136">
        <v>0</v>
      </c>
      <c r="AD372" s="197">
        <v>0</v>
      </c>
      <c r="AE372" s="90">
        <v>0</v>
      </c>
      <c r="AF372" s="91">
        <v>0</v>
      </c>
      <c r="AG372" s="92">
        <v>0</v>
      </c>
      <c r="AH372" s="81">
        <v>0</v>
      </c>
      <c r="AI372" s="133">
        <f t="shared" si="434"/>
        <v>0</v>
      </c>
      <c r="AJ372" s="71">
        <v>0</v>
      </c>
      <c r="AK372" s="136"/>
      <c r="AL372" s="136"/>
      <c r="AM372" s="72"/>
      <c r="AN372" s="136"/>
      <c r="AO372" s="72"/>
      <c r="AP372" s="119"/>
      <c r="AQ372" s="136">
        <v>0</v>
      </c>
      <c r="AR372" s="161">
        <v>0</v>
      </c>
      <c r="AS372" s="162">
        <v>0</v>
      </c>
      <c r="AT372" s="163">
        <v>0</v>
      </c>
      <c r="AU372" s="119"/>
      <c r="AV372" s="136"/>
      <c r="AW372" s="119"/>
      <c r="AX372" s="117" t="s">
        <v>108</v>
      </c>
    </row>
    <row r="373" spans="1:286" s="77" customFormat="1" ht="36" x14ac:dyDescent="0.25">
      <c r="A373" s="310"/>
      <c r="B373" s="115" t="s">
        <v>224</v>
      </c>
      <c r="C373" s="115" t="s">
        <v>155</v>
      </c>
      <c r="D373" s="117" t="s">
        <v>106</v>
      </c>
      <c r="E373" s="117" t="s">
        <v>75</v>
      </c>
      <c r="F373" s="142" t="s">
        <v>61</v>
      </c>
      <c r="G373" s="155"/>
      <c r="H373" s="153">
        <f>SUBTOTAL(9,H367:H372)</f>
        <v>85</v>
      </c>
      <c r="I373" s="153">
        <f t="shared" ref="I373" si="472">SUBTOTAL(9,I367:I372)</f>
        <v>0</v>
      </c>
      <c r="J373" s="153">
        <f t="shared" ref="J373:O373" si="473">SUBTOTAL(9,J367:J372)</f>
        <v>0</v>
      </c>
      <c r="K373" s="153">
        <f t="shared" si="473"/>
        <v>0</v>
      </c>
      <c r="L373" s="153">
        <f t="shared" si="473"/>
        <v>0</v>
      </c>
      <c r="M373" s="153">
        <f t="shared" si="473"/>
        <v>0</v>
      </c>
      <c r="N373" s="153">
        <f t="shared" si="441"/>
        <v>0</v>
      </c>
      <c r="O373" s="153">
        <f t="shared" si="473"/>
        <v>85</v>
      </c>
      <c r="P373" s="153"/>
      <c r="Q373" s="156"/>
      <c r="R373" s="129"/>
      <c r="S373" s="157"/>
      <c r="T373" s="158"/>
      <c r="U373" s="153">
        <f>SUBTOTAL(9,U367:U372)</f>
        <v>235</v>
      </c>
      <c r="V373" s="153">
        <f t="shared" ref="V373" si="474">SUBTOTAL(9,V367:V372)</f>
        <v>0</v>
      </c>
      <c r="W373" s="153">
        <f t="shared" ref="W373:AJ373" si="475">SUBTOTAL(9,W367:W372)</f>
        <v>0</v>
      </c>
      <c r="X373" s="153">
        <f t="shared" si="475"/>
        <v>0</v>
      </c>
      <c r="Y373" s="153">
        <f t="shared" si="475"/>
        <v>0</v>
      </c>
      <c r="Z373" s="153">
        <f t="shared" si="475"/>
        <v>0</v>
      </c>
      <c r="AA373" s="153">
        <f t="shared" si="433"/>
        <v>0</v>
      </c>
      <c r="AB373" s="153">
        <f t="shared" si="475"/>
        <v>235</v>
      </c>
      <c r="AC373" s="153">
        <f t="shared" si="475"/>
        <v>20</v>
      </c>
      <c r="AD373" s="153">
        <f t="shared" si="475"/>
        <v>0</v>
      </c>
      <c r="AE373" s="153">
        <f t="shared" si="475"/>
        <v>0</v>
      </c>
      <c r="AF373" s="153">
        <f t="shared" si="475"/>
        <v>0</v>
      </c>
      <c r="AG373" s="153">
        <f t="shared" ref="AG373" si="476">SUBTOTAL(9,AG367:AG372)</f>
        <v>0</v>
      </c>
      <c r="AH373" s="153">
        <f t="shared" si="475"/>
        <v>0</v>
      </c>
      <c r="AI373" s="153">
        <f t="shared" si="434"/>
        <v>0</v>
      </c>
      <c r="AJ373" s="153">
        <f t="shared" si="475"/>
        <v>20</v>
      </c>
      <c r="AK373" s="156"/>
      <c r="AL373" s="156"/>
      <c r="AM373" s="156"/>
      <c r="AN373" s="156"/>
      <c r="AO373" s="156"/>
      <c r="AP373" s="155"/>
      <c r="AQ373" s="153">
        <f>SUBTOTAL(9,AQ367:AQ372)</f>
        <v>20</v>
      </c>
      <c r="AR373" s="153">
        <f t="shared" ref="AR373:AT373" si="477">SUBTOTAL(9,AR367:AR372)</f>
        <v>0</v>
      </c>
      <c r="AS373" s="153">
        <f t="shared" si="477"/>
        <v>20</v>
      </c>
      <c r="AT373" s="153">
        <f t="shared" si="477"/>
        <v>0</v>
      </c>
      <c r="AU373" s="129"/>
      <c r="AV373" s="156"/>
      <c r="AW373" s="156"/>
      <c r="AX373" s="156" t="s">
        <v>108</v>
      </c>
    </row>
    <row r="374" spans="1:286" s="166" customFormat="1" ht="37.5" customHeight="1" x14ac:dyDescent="0.25">
      <c r="A374" s="310"/>
      <c r="B374" s="115" t="s">
        <v>224</v>
      </c>
      <c r="C374" s="115" t="s">
        <v>159</v>
      </c>
      <c r="D374" s="117" t="s">
        <v>106</v>
      </c>
      <c r="E374" s="117" t="s">
        <v>75</v>
      </c>
      <c r="F374" s="280"/>
      <c r="G374" s="147" t="s">
        <v>237</v>
      </c>
      <c r="H374" s="159">
        <v>10</v>
      </c>
      <c r="I374" s="197">
        <v>0</v>
      </c>
      <c r="J374" s="90">
        <v>0</v>
      </c>
      <c r="K374" s="91">
        <v>0</v>
      </c>
      <c r="L374" s="92">
        <v>0</v>
      </c>
      <c r="M374" s="81">
        <v>0</v>
      </c>
      <c r="N374" s="133">
        <f t="shared" si="441"/>
        <v>0</v>
      </c>
      <c r="O374" s="71">
        <v>10</v>
      </c>
      <c r="P374" s="71"/>
      <c r="Q374" s="159"/>
      <c r="R374" s="159" t="s">
        <v>51</v>
      </c>
      <c r="S374" s="160" t="s">
        <v>338</v>
      </c>
      <c r="T374" s="286" t="s">
        <v>77</v>
      </c>
      <c r="U374" s="159">
        <v>10</v>
      </c>
      <c r="V374" s="197">
        <v>0</v>
      </c>
      <c r="W374" s="90">
        <v>0</v>
      </c>
      <c r="X374" s="91">
        <v>0</v>
      </c>
      <c r="Y374" s="92">
        <v>0</v>
      </c>
      <c r="Z374" s="81">
        <v>0</v>
      </c>
      <c r="AA374" s="133">
        <f t="shared" si="433"/>
        <v>0</v>
      </c>
      <c r="AB374" s="71">
        <v>10</v>
      </c>
      <c r="AC374" s="159">
        <v>0</v>
      </c>
      <c r="AD374" s="197">
        <v>0</v>
      </c>
      <c r="AE374" s="90">
        <v>0</v>
      </c>
      <c r="AF374" s="91">
        <v>0</v>
      </c>
      <c r="AG374" s="92">
        <v>0</v>
      </c>
      <c r="AH374" s="81">
        <v>0</v>
      </c>
      <c r="AI374" s="133">
        <f t="shared" si="434"/>
        <v>0</v>
      </c>
      <c r="AJ374" s="71">
        <f t="shared" ref="AJ374:AJ377" si="478">AC374/4*3</f>
        <v>0</v>
      </c>
      <c r="AK374" s="159"/>
      <c r="AL374" s="147"/>
      <c r="AM374" s="72"/>
      <c r="AN374" s="159"/>
      <c r="AO374" s="72"/>
      <c r="AP374" s="147"/>
      <c r="AQ374" s="159"/>
      <c r="AR374" s="161">
        <v>0</v>
      </c>
      <c r="AS374" s="162">
        <v>0</v>
      </c>
      <c r="AT374" s="163">
        <v>0</v>
      </c>
      <c r="AU374" s="147"/>
      <c r="AV374" s="159"/>
      <c r="AW374" s="147"/>
      <c r="AX374" s="117" t="s">
        <v>108</v>
      </c>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c r="BW374" s="77"/>
      <c r="BX374" s="77"/>
      <c r="BY374" s="77"/>
      <c r="BZ374" s="77"/>
      <c r="CA374" s="77"/>
      <c r="CB374" s="77"/>
      <c r="CC374" s="77"/>
      <c r="CD374" s="77"/>
      <c r="CE374" s="77"/>
      <c r="CF374" s="77"/>
      <c r="CG374" s="77"/>
      <c r="CH374" s="77"/>
      <c r="CI374" s="77"/>
      <c r="CJ374" s="77"/>
      <c r="CK374" s="77"/>
      <c r="CL374" s="77"/>
      <c r="CM374" s="77"/>
      <c r="CN374" s="77"/>
      <c r="CO374" s="77"/>
      <c r="CP374" s="77"/>
      <c r="CQ374" s="77"/>
      <c r="CR374" s="77"/>
      <c r="CS374" s="77"/>
      <c r="CT374" s="77"/>
      <c r="CU374" s="77"/>
      <c r="CV374" s="77"/>
      <c r="CW374" s="77"/>
      <c r="CX374" s="77"/>
      <c r="CY374" s="77"/>
      <c r="CZ374" s="77"/>
      <c r="DA374" s="77"/>
      <c r="DB374" s="77"/>
      <c r="DC374" s="77"/>
      <c r="DD374" s="77"/>
      <c r="DE374" s="77"/>
      <c r="DF374" s="77"/>
      <c r="DG374" s="77"/>
      <c r="DH374" s="77"/>
      <c r="DI374" s="77"/>
      <c r="DJ374" s="77"/>
      <c r="DK374" s="77"/>
      <c r="DL374" s="77"/>
      <c r="DM374" s="77"/>
      <c r="DN374" s="77"/>
      <c r="DO374" s="77"/>
      <c r="DP374" s="77"/>
      <c r="DQ374" s="77"/>
      <c r="DR374" s="77"/>
      <c r="DS374" s="77"/>
      <c r="DT374" s="77"/>
      <c r="DU374" s="77"/>
      <c r="DV374" s="77"/>
      <c r="DW374" s="77"/>
      <c r="DX374" s="77"/>
      <c r="DY374" s="77"/>
      <c r="DZ374" s="77"/>
      <c r="EA374" s="77"/>
      <c r="EB374" s="77"/>
      <c r="EC374" s="77"/>
      <c r="ED374" s="77"/>
      <c r="EE374" s="77"/>
      <c r="EF374" s="77"/>
      <c r="EG374" s="77"/>
      <c r="EH374" s="77"/>
      <c r="EI374" s="77"/>
      <c r="EJ374" s="77"/>
      <c r="EK374" s="77"/>
      <c r="EL374" s="77"/>
      <c r="EM374" s="77"/>
      <c r="EN374" s="77"/>
      <c r="EO374" s="77"/>
      <c r="EP374" s="77"/>
      <c r="EQ374" s="77"/>
      <c r="ER374" s="77"/>
      <c r="ES374" s="77"/>
      <c r="ET374" s="77"/>
      <c r="EU374" s="77"/>
      <c r="EV374" s="77"/>
      <c r="EW374" s="77"/>
      <c r="EX374" s="77"/>
      <c r="EY374" s="77"/>
      <c r="EZ374" s="77"/>
      <c r="FA374" s="77"/>
      <c r="FB374" s="77"/>
      <c r="FC374" s="77"/>
      <c r="FD374" s="77"/>
      <c r="FE374" s="77"/>
      <c r="FF374" s="77"/>
      <c r="FG374" s="77"/>
      <c r="FH374" s="77"/>
      <c r="FI374" s="77"/>
      <c r="FJ374" s="77"/>
      <c r="FK374" s="77"/>
      <c r="FL374" s="77"/>
      <c r="FM374" s="77"/>
      <c r="FN374" s="77"/>
      <c r="FO374" s="77"/>
      <c r="FP374" s="77"/>
      <c r="FQ374" s="77"/>
      <c r="FR374" s="77"/>
      <c r="FS374" s="77"/>
      <c r="FT374" s="77"/>
      <c r="FU374" s="77"/>
      <c r="FV374" s="77"/>
      <c r="FW374" s="77"/>
      <c r="FX374" s="77"/>
      <c r="FY374" s="77"/>
      <c r="FZ374" s="77"/>
      <c r="GA374" s="77"/>
      <c r="GB374" s="77"/>
      <c r="GC374" s="77"/>
      <c r="GD374" s="77"/>
      <c r="GE374" s="77"/>
      <c r="GF374" s="77"/>
      <c r="GG374" s="77"/>
      <c r="GH374" s="77"/>
      <c r="GI374" s="77"/>
      <c r="GJ374" s="77"/>
      <c r="GK374" s="77"/>
      <c r="GL374" s="77"/>
      <c r="GM374" s="77"/>
      <c r="GN374" s="77"/>
      <c r="GO374" s="77"/>
      <c r="GP374" s="77"/>
      <c r="GQ374" s="77"/>
      <c r="GR374" s="77"/>
      <c r="GS374" s="77"/>
      <c r="GT374" s="77"/>
      <c r="GU374" s="77"/>
      <c r="GV374" s="77"/>
      <c r="GW374" s="77"/>
      <c r="GX374" s="77"/>
      <c r="GY374" s="77"/>
      <c r="GZ374" s="77"/>
      <c r="HA374" s="77"/>
      <c r="HB374" s="77"/>
      <c r="HC374" s="77"/>
      <c r="HD374" s="77"/>
      <c r="HE374" s="77"/>
      <c r="HF374" s="77"/>
      <c r="HG374" s="77"/>
      <c r="HH374" s="77"/>
      <c r="HI374" s="77"/>
      <c r="HJ374" s="77"/>
      <c r="HK374" s="77"/>
      <c r="HL374" s="77"/>
      <c r="HM374" s="77"/>
      <c r="HN374" s="77"/>
      <c r="HO374" s="77"/>
      <c r="HP374" s="77"/>
      <c r="HQ374" s="77"/>
      <c r="HR374" s="77"/>
      <c r="HS374" s="77"/>
      <c r="HT374" s="77"/>
      <c r="HU374" s="77"/>
      <c r="HV374" s="77"/>
      <c r="HW374" s="77"/>
      <c r="HX374" s="77"/>
      <c r="HY374" s="77"/>
      <c r="HZ374" s="77"/>
      <c r="IA374" s="77"/>
      <c r="IB374" s="77"/>
      <c r="IC374" s="77"/>
      <c r="ID374" s="77"/>
      <c r="IE374" s="77"/>
      <c r="IF374" s="77"/>
      <c r="IG374" s="77"/>
      <c r="IH374" s="77"/>
      <c r="II374" s="77"/>
      <c r="IJ374" s="77"/>
      <c r="IK374" s="77"/>
      <c r="IL374" s="77"/>
      <c r="IM374" s="77"/>
      <c r="IN374" s="77"/>
      <c r="IO374" s="77"/>
      <c r="IP374" s="77"/>
      <c r="IQ374" s="77"/>
      <c r="IR374" s="77"/>
      <c r="IS374" s="77"/>
      <c r="IT374" s="77"/>
      <c r="IU374" s="77"/>
      <c r="IV374" s="77"/>
      <c r="IW374" s="77"/>
      <c r="IX374" s="77"/>
      <c r="IY374" s="77"/>
      <c r="IZ374" s="77"/>
      <c r="JA374" s="77"/>
      <c r="JB374" s="77"/>
      <c r="JC374" s="77"/>
      <c r="JD374" s="77"/>
      <c r="JE374" s="77"/>
      <c r="JF374" s="77"/>
      <c r="JG374" s="77"/>
      <c r="JH374" s="77"/>
      <c r="JI374" s="77"/>
      <c r="JJ374" s="77"/>
      <c r="JK374" s="77"/>
      <c r="JL374" s="77"/>
      <c r="JM374" s="77"/>
      <c r="JN374" s="77"/>
      <c r="JO374" s="77"/>
      <c r="JP374" s="77"/>
      <c r="JQ374" s="77"/>
      <c r="JR374" s="77"/>
      <c r="JS374" s="77"/>
      <c r="JT374" s="77"/>
      <c r="JU374" s="77"/>
      <c r="JV374" s="77"/>
      <c r="JW374" s="77"/>
      <c r="JX374" s="77"/>
      <c r="JY374" s="77"/>
      <c r="JZ374" s="77"/>
    </row>
    <row r="375" spans="1:286" s="166" customFormat="1" ht="216" customHeight="1" x14ac:dyDescent="0.25">
      <c r="A375" s="310"/>
      <c r="B375" s="115" t="s">
        <v>224</v>
      </c>
      <c r="C375" s="115" t="s">
        <v>159</v>
      </c>
      <c r="D375" s="117" t="s">
        <v>106</v>
      </c>
      <c r="E375" s="117" t="s">
        <v>75</v>
      </c>
      <c r="F375" s="280"/>
      <c r="G375" s="147" t="s">
        <v>227</v>
      </c>
      <c r="H375" s="159">
        <v>15</v>
      </c>
      <c r="I375" s="197">
        <v>0</v>
      </c>
      <c r="J375" s="90">
        <v>0</v>
      </c>
      <c r="K375" s="91">
        <v>0</v>
      </c>
      <c r="L375" s="92">
        <v>0</v>
      </c>
      <c r="M375" s="81">
        <v>0</v>
      </c>
      <c r="N375" s="133">
        <f t="shared" si="441"/>
        <v>0</v>
      </c>
      <c r="O375" s="71">
        <v>15</v>
      </c>
      <c r="P375" s="71"/>
      <c r="Q375" s="159"/>
      <c r="R375" s="159" t="s">
        <v>51</v>
      </c>
      <c r="S375" s="160" t="s">
        <v>338</v>
      </c>
      <c r="T375" s="286"/>
      <c r="U375" s="159">
        <v>15</v>
      </c>
      <c r="V375" s="197">
        <v>0</v>
      </c>
      <c r="W375" s="90">
        <v>0</v>
      </c>
      <c r="X375" s="91">
        <v>0</v>
      </c>
      <c r="Y375" s="92">
        <v>0</v>
      </c>
      <c r="Z375" s="81">
        <v>0</v>
      </c>
      <c r="AA375" s="133">
        <f t="shared" si="433"/>
        <v>0</v>
      </c>
      <c r="AB375" s="71">
        <v>15</v>
      </c>
      <c r="AC375" s="159">
        <v>0</v>
      </c>
      <c r="AD375" s="197">
        <v>0</v>
      </c>
      <c r="AE375" s="90">
        <v>0</v>
      </c>
      <c r="AF375" s="91">
        <v>0</v>
      </c>
      <c r="AG375" s="92">
        <v>0</v>
      </c>
      <c r="AH375" s="81">
        <v>0</v>
      </c>
      <c r="AI375" s="133">
        <f t="shared" si="434"/>
        <v>0</v>
      </c>
      <c r="AJ375" s="71">
        <f t="shared" si="478"/>
        <v>0</v>
      </c>
      <c r="AK375" s="159"/>
      <c r="AL375" s="147"/>
      <c r="AM375" s="72"/>
      <c r="AN375" s="159"/>
      <c r="AO375" s="72"/>
      <c r="AP375" s="147"/>
      <c r="AQ375" s="159"/>
      <c r="AR375" s="161">
        <v>0</v>
      </c>
      <c r="AS375" s="162">
        <v>0</v>
      </c>
      <c r="AT375" s="163">
        <v>0</v>
      </c>
      <c r="AU375" s="147"/>
      <c r="AV375" s="159"/>
      <c r="AW375" s="147"/>
      <c r="AX375" s="117" t="s">
        <v>108</v>
      </c>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c r="BW375" s="77"/>
      <c r="BX375" s="77"/>
      <c r="BY375" s="77"/>
      <c r="BZ375" s="77"/>
      <c r="CA375" s="77"/>
      <c r="CB375" s="77"/>
      <c r="CC375" s="77"/>
      <c r="CD375" s="77"/>
      <c r="CE375" s="77"/>
      <c r="CF375" s="77"/>
      <c r="CG375" s="77"/>
      <c r="CH375" s="77"/>
      <c r="CI375" s="77"/>
      <c r="CJ375" s="77"/>
      <c r="CK375" s="77"/>
      <c r="CL375" s="77"/>
      <c r="CM375" s="77"/>
      <c r="CN375" s="77"/>
      <c r="CO375" s="77"/>
      <c r="CP375" s="77"/>
      <c r="CQ375" s="77"/>
      <c r="CR375" s="77"/>
      <c r="CS375" s="77"/>
      <c r="CT375" s="77"/>
      <c r="CU375" s="77"/>
      <c r="CV375" s="77"/>
      <c r="CW375" s="77"/>
      <c r="CX375" s="77"/>
      <c r="CY375" s="77"/>
      <c r="CZ375" s="77"/>
      <c r="DA375" s="77"/>
      <c r="DB375" s="77"/>
      <c r="DC375" s="77"/>
      <c r="DD375" s="77"/>
      <c r="DE375" s="77"/>
      <c r="DF375" s="77"/>
      <c r="DG375" s="77"/>
      <c r="DH375" s="77"/>
      <c r="DI375" s="77"/>
      <c r="DJ375" s="77"/>
      <c r="DK375" s="77"/>
      <c r="DL375" s="77"/>
      <c r="DM375" s="77"/>
      <c r="DN375" s="77"/>
      <c r="DO375" s="77"/>
      <c r="DP375" s="77"/>
      <c r="DQ375" s="77"/>
      <c r="DR375" s="77"/>
      <c r="DS375" s="77"/>
      <c r="DT375" s="77"/>
      <c r="DU375" s="77"/>
      <c r="DV375" s="77"/>
      <c r="DW375" s="77"/>
      <c r="DX375" s="77"/>
      <c r="DY375" s="77"/>
      <c r="DZ375" s="77"/>
      <c r="EA375" s="77"/>
      <c r="EB375" s="77"/>
      <c r="EC375" s="77"/>
      <c r="ED375" s="77"/>
      <c r="EE375" s="77"/>
      <c r="EF375" s="77"/>
      <c r="EG375" s="77"/>
      <c r="EH375" s="77"/>
      <c r="EI375" s="77"/>
      <c r="EJ375" s="77"/>
      <c r="EK375" s="77"/>
      <c r="EL375" s="77"/>
      <c r="EM375" s="77"/>
      <c r="EN375" s="77"/>
      <c r="EO375" s="77"/>
      <c r="EP375" s="77"/>
      <c r="EQ375" s="77"/>
      <c r="ER375" s="77"/>
      <c r="ES375" s="77"/>
      <c r="ET375" s="77"/>
      <c r="EU375" s="77"/>
      <c r="EV375" s="77"/>
      <c r="EW375" s="77"/>
      <c r="EX375" s="77"/>
      <c r="EY375" s="77"/>
      <c r="EZ375" s="77"/>
      <c r="FA375" s="77"/>
      <c r="FB375" s="77"/>
      <c r="FC375" s="77"/>
      <c r="FD375" s="77"/>
      <c r="FE375" s="77"/>
      <c r="FF375" s="77"/>
      <c r="FG375" s="77"/>
      <c r="FH375" s="77"/>
      <c r="FI375" s="77"/>
      <c r="FJ375" s="77"/>
      <c r="FK375" s="77"/>
      <c r="FL375" s="77"/>
      <c r="FM375" s="77"/>
      <c r="FN375" s="77"/>
      <c r="FO375" s="77"/>
      <c r="FP375" s="77"/>
      <c r="FQ375" s="77"/>
      <c r="FR375" s="77"/>
      <c r="FS375" s="77"/>
      <c r="FT375" s="77"/>
      <c r="FU375" s="77"/>
      <c r="FV375" s="77"/>
      <c r="FW375" s="77"/>
      <c r="FX375" s="77"/>
      <c r="FY375" s="77"/>
      <c r="FZ375" s="77"/>
      <c r="GA375" s="77"/>
      <c r="GB375" s="77"/>
      <c r="GC375" s="77"/>
      <c r="GD375" s="77"/>
      <c r="GE375" s="77"/>
      <c r="GF375" s="77"/>
      <c r="GG375" s="77"/>
      <c r="GH375" s="77"/>
      <c r="GI375" s="77"/>
      <c r="GJ375" s="77"/>
      <c r="GK375" s="77"/>
      <c r="GL375" s="77"/>
      <c r="GM375" s="77"/>
      <c r="GN375" s="77"/>
      <c r="GO375" s="77"/>
      <c r="GP375" s="77"/>
      <c r="GQ375" s="77"/>
      <c r="GR375" s="77"/>
      <c r="GS375" s="77"/>
      <c r="GT375" s="77"/>
      <c r="GU375" s="77"/>
      <c r="GV375" s="77"/>
      <c r="GW375" s="77"/>
      <c r="GX375" s="77"/>
      <c r="GY375" s="77"/>
      <c r="GZ375" s="77"/>
      <c r="HA375" s="77"/>
      <c r="HB375" s="77"/>
      <c r="HC375" s="77"/>
      <c r="HD375" s="77"/>
      <c r="HE375" s="77"/>
      <c r="HF375" s="77"/>
      <c r="HG375" s="77"/>
      <c r="HH375" s="77"/>
      <c r="HI375" s="77"/>
      <c r="HJ375" s="77"/>
      <c r="HK375" s="77"/>
      <c r="HL375" s="77"/>
      <c r="HM375" s="77"/>
      <c r="HN375" s="77"/>
      <c r="HO375" s="77"/>
      <c r="HP375" s="77"/>
      <c r="HQ375" s="77"/>
      <c r="HR375" s="77"/>
      <c r="HS375" s="77"/>
      <c r="HT375" s="77"/>
      <c r="HU375" s="77"/>
      <c r="HV375" s="77"/>
      <c r="HW375" s="77"/>
      <c r="HX375" s="77"/>
      <c r="HY375" s="77"/>
      <c r="HZ375" s="77"/>
      <c r="IA375" s="77"/>
      <c r="IB375" s="77"/>
      <c r="IC375" s="77"/>
      <c r="ID375" s="77"/>
      <c r="IE375" s="77"/>
      <c r="IF375" s="77"/>
      <c r="IG375" s="77"/>
      <c r="IH375" s="77"/>
      <c r="II375" s="77"/>
      <c r="IJ375" s="77"/>
      <c r="IK375" s="77"/>
      <c r="IL375" s="77"/>
      <c r="IM375" s="77"/>
      <c r="IN375" s="77"/>
      <c r="IO375" s="77"/>
      <c r="IP375" s="77"/>
      <c r="IQ375" s="77"/>
      <c r="IR375" s="77"/>
      <c r="IS375" s="77"/>
      <c r="IT375" s="77"/>
      <c r="IU375" s="77"/>
      <c r="IV375" s="77"/>
      <c r="IW375" s="77"/>
      <c r="IX375" s="77"/>
      <c r="IY375" s="77"/>
      <c r="IZ375" s="77"/>
      <c r="JA375" s="77"/>
      <c r="JB375" s="77"/>
      <c r="JC375" s="77"/>
      <c r="JD375" s="77"/>
      <c r="JE375" s="77"/>
      <c r="JF375" s="77"/>
      <c r="JG375" s="77"/>
      <c r="JH375" s="77"/>
      <c r="JI375" s="77"/>
      <c r="JJ375" s="77"/>
      <c r="JK375" s="77"/>
      <c r="JL375" s="77"/>
      <c r="JM375" s="77"/>
      <c r="JN375" s="77"/>
      <c r="JO375" s="77"/>
      <c r="JP375" s="77"/>
      <c r="JQ375" s="77"/>
      <c r="JR375" s="77"/>
      <c r="JS375" s="77"/>
      <c r="JT375" s="77"/>
      <c r="JU375" s="77"/>
      <c r="JV375" s="77"/>
      <c r="JW375" s="77"/>
      <c r="JX375" s="77"/>
      <c r="JY375" s="77"/>
      <c r="JZ375" s="77"/>
    </row>
    <row r="376" spans="1:286" s="166" customFormat="1" ht="216" customHeight="1" x14ac:dyDescent="0.25">
      <c r="A376" s="310"/>
      <c r="B376" s="115" t="s">
        <v>224</v>
      </c>
      <c r="C376" s="115" t="s">
        <v>159</v>
      </c>
      <c r="D376" s="117" t="s">
        <v>106</v>
      </c>
      <c r="E376" s="117" t="s">
        <v>75</v>
      </c>
      <c r="F376" s="280"/>
      <c r="G376" s="147" t="s">
        <v>228</v>
      </c>
      <c r="H376" s="159">
        <v>20</v>
      </c>
      <c r="I376" s="197">
        <v>0</v>
      </c>
      <c r="J376" s="90">
        <v>3</v>
      </c>
      <c r="K376" s="91">
        <v>1</v>
      </c>
      <c r="L376" s="92">
        <v>0</v>
      </c>
      <c r="M376" s="81">
        <v>3</v>
      </c>
      <c r="N376" s="133">
        <f t="shared" si="441"/>
        <v>7</v>
      </c>
      <c r="O376" s="71">
        <v>15</v>
      </c>
      <c r="P376" s="71"/>
      <c r="Q376" s="159"/>
      <c r="R376" s="159" t="s">
        <v>51</v>
      </c>
      <c r="S376" s="160" t="s">
        <v>338</v>
      </c>
      <c r="T376" s="286"/>
      <c r="U376" s="159">
        <v>20</v>
      </c>
      <c r="V376" s="197">
        <v>0</v>
      </c>
      <c r="W376" s="90">
        <v>3</v>
      </c>
      <c r="X376" s="91">
        <v>1</v>
      </c>
      <c r="Y376" s="92">
        <v>0</v>
      </c>
      <c r="Z376" s="81">
        <v>3</v>
      </c>
      <c r="AA376" s="133">
        <f t="shared" si="433"/>
        <v>7</v>
      </c>
      <c r="AB376" s="71">
        <v>15</v>
      </c>
      <c r="AC376" s="159">
        <v>1</v>
      </c>
      <c r="AD376" s="197">
        <v>0</v>
      </c>
      <c r="AE376" s="90">
        <v>0</v>
      </c>
      <c r="AF376" s="91">
        <v>0</v>
      </c>
      <c r="AG376" s="92">
        <v>0</v>
      </c>
      <c r="AH376" s="81">
        <v>0</v>
      </c>
      <c r="AI376" s="133">
        <f t="shared" si="434"/>
        <v>0</v>
      </c>
      <c r="AJ376" s="71">
        <f t="shared" si="478"/>
        <v>0.75</v>
      </c>
      <c r="AK376" s="159"/>
      <c r="AL376" s="147"/>
      <c r="AM376" s="72"/>
      <c r="AN376" s="159"/>
      <c r="AO376" s="72"/>
      <c r="AP376" s="147" t="s">
        <v>58</v>
      </c>
      <c r="AQ376" s="159">
        <v>1</v>
      </c>
      <c r="AR376" s="161">
        <f>AQ376/4*1</f>
        <v>0.25</v>
      </c>
      <c r="AS376" s="162">
        <f>AQ376/4*3</f>
        <v>0.75</v>
      </c>
      <c r="AT376" s="163">
        <v>0</v>
      </c>
      <c r="AU376" s="147"/>
      <c r="AV376" s="159"/>
      <c r="AW376" s="147"/>
      <c r="AX376" s="117" t="s">
        <v>108</v>
      </c>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c r="BW376" s="77"/>
      <c r="BX376" s="77"/>
      <c r="BY376" s="77"/>
      <c r="BZ376" s="77"/>
      <c r="CA376" s="77"/>
      <c r="CB376" s="77"/>
      <c r="CC376" s="77"/>
      <c r="CD376" s="77"/>
      <c r="CE376" s="77"/>
      <c r="CF376" s="77"/>
      <c r="CG376" s="77"/>
      <c r="CH376" s="77"/>
      <c r="CI376" s="77"/>
      <c r="CJ376" s="77"/>
      <c r="CK376" s="77"/>
      <c r="CL376" s="77"/>
      <c r="CM376" s="77"/>
      <c r="CN376" s="77"/>
      <c r="CO376" s="77"/>
      <c r="CP376" s="77"/>
      <c r="CQ376" s="77"/>
      <c r="CR376" s="77"/>
      <c r="CS376" s="77"/>
      <c r="CT376" s="77"/>
      <c r="CU376" s="77"/>
      <c r="CV376" s="77"/>
      <c r="CW376" s="77"/>
      <c r="CX376" s="77"/>
      <c r="CY376" s="77"/>
      <c r="CZ376" s="77"/>
      <c r="DA376" s="77"/>
      <c r="DB376" s="77"/>
      <c r="DC376" s="77"/>
      <c r="DD376" s="77"/>
      <c r="DE376" s="77"/>
      <c r="DF376" s="77"/>
      <c r="DG376" s="77"/>
      <c r="DH376" s="77"/>
      <c r="DI376" s="77"/>
      <c r="DJ376" s="77"/>
      <c r="DK376" s="77"/>
      <c r="DL376" s="77"/>
      <c r="DM376" s="77"/>
      <c r="DN376" s="77"/>
      <c r="DO376" s="77"/>
      <c r="DP376" s="77"/>
      <c r="DQ376" s="77"/>
      <c r="DR376" s="77"/>
      <c r="DS376" s="77"/>
      <c r="DT376" s="77"/>
      <c r="DU376" s="77"/>
      <c r="DV376" s="77"/>
      <c r="DW376" s="77"/>
      <c r="DX376" s="77"/>
      <c r="DY376" s="77"/>
      <c r="DZ376" s="77"/>
      <c r="EA376" s="77"/>
      <c r="EB376" s="77"/>
      <c r="EC376" s="77"/>
      <c r="ED376" s="77"/>
      <c r="EE376" s="77"/>
      <c r="EF376" s="77"/>
      <c r="EG376" s="77"/>
      <c r="EH376" s="77"/>
      <c r="EI376" s="77"/>
      <c r="EJ376" s="77"/>
      <c r="EK376" s="77"/>
      <c r="EL376" s="77"/>
      <c r="EM376" s="77"/>
      <c r="EN376" s="77"/>
      <c r="EO376" s="77"/>
      <c r="EP376" s="77"/>
      <c r="EQ376" s="77"/>
      <c r="ER376" s="77"/>
      <c r="ES376" s="77"/>
      <c r="ET376" s="77"/>
      <c r="EU376" s="77"/>
      <c r="EV376" s="77"/>
      <c r="EW376" s="77"/>
      <c r="EX376" s="77"/>
      <c r="EY376" s="77"/>
      <c r="EZ376" s="77"/>
      <c r="FA376" s="77"/>
      <c r="FB376" s="77"/>
      <c r="FC376" s="77"/>
      <c r="FD376" s="77"/>
      <c r="FE376" s="77"/>
      <c r="FF376" s="77"/>
      <c r="FG376" s="77"/>
      <c r="FH376" s="77"/>
      <c r="FI376" s="77"/>
      <c r="FJ376" s="77"/>
      <c r="FK376" s="77"/>
      <c r="FL376" s="77"/>
      <c r="FM376" s="77"/>
      <c r="FN376" s="77"/>
      <c r="FO376" s="77"/>
      <c r="FP376" s="77"/>
      <c r="FQ376" s="77"/>
      <c r="FR376" s="77"/>
      <c r="FS376" s="77"/>
      <c r="FT376" s="77"/>
      <c r="FU376" s="77"/>
      <c r="FV376" s="77"/>
      <c r="FW376" s="77"/>
      <c r="FX376" s="77"/>
      <c r="FY376" s="77"/>
      <c r="FZ376" s="77"/>
      <c r="GA376" s="77"/>
      <c r="GB376" s="77"/>
      <c r="GC376" s="77"/>
      <c r="GD376" s="77"/>
      <c r="GE376" s="77"/>
      <c r="GF376" s="77"/>
      <c r="GG376" s="77"/>
      <c r="GH376" s="77"/>
      <c r="GI376" s="77"/>
      <c r="GJ376" s="77"/>
      <c r="GK376" s="77"/>
      <c r="GL376" s="77"/>
      <c r="GM376" s="77"/>
      <c r="GN376" s="77"/>
      <c r="GO376" s="77"/>
      <c r="GP376" s="77"/>
      <c r="GQ376" s="77"/>
      <c r="GR376" s="77"/>
      <c r="GS376" s="77"/>
      <c r="GT376" s="77"/>
      <c r="GU376" s="77"/>
      <c r="GV376" s="77"/>
      <c r="GW376" s="77"/>
      <c r="GX376" s="77"/>
      <c r="GY376" s="77"/>
      <c r="GZ376" s="77"/>
      <c r="HA376" s="77"/>
      <c r="HB376" s="77"/>
      <c r="HC376" s="77"/>
      <c r="HD376" s="77"/>
      <c r="HE376" s="77"/>
      <c r="HF376" s="77"/>
      <c r="HG376" s="77"/>
      <c r="HH376" s="77"/>
      <c r="HI376" s="77"/>
      <c r="HJ376" s="77"/>
      <c r="HK376" s="77"/>
      <c r="HL376" s="77"/>
      <c r="HM376" s="77"/>
      <c r="HN376" s="77"/>
      <c r="HO376" s="77"/>
      <c r="HP376" s="77"/>
      <c r="HQ376" s="77"/>
      <c r="HR376" s="77"/>
      <c r="HS376" s="77"/>
      <c r="HT376" s="77"/>
      <c r="HU376" s="77"/>
      <c r="HV376" s="77"/>
      <c r="HW376" s="77"/>
      <c r="HX376" s="77"/>
      <c r="HY376" s="77"/>
      <c r="HZ376" s="77"/>
      <c r="IA376" s="77"/>
      <c r="IB376" s="77"/>
      <c r="IC376" s="77"/>
      <c r="ID376" s="77"/>
      <c r="IE376" s="77"/>
      <c r="IF376" s="77"/>
      <c r="IG376" s="77"/>
      <c r="IH376" s="77"/>
      <c r="II376" s="77"/>
      <c r="IJ376" s="77"/>
      <c r="IK376" s="77"/>
      <c r="IL376" s="77"/>
      <c r="IM376" s="77"/>
      <c r="IN376" s="77"/>
      <c r="IO376" s="77"/>
      <c r="IP376" s="77"/>
      <c r="IQ376" s="77"/>
      <c r="IR376" s="77"/>
      <c r="IS376" s="77"/>
      <c r="IT376" s="77"/>
      <c r="IU376" s="77"/>
      <c r="IV376" s="77"/>
      <c r="IW376" s="77"/>
      <c r="IX376" s="77"/>
      <c r="IY376" s="77"/>
      <c r="IZ376" s="77"/>
      <c r="JA376" s="77"/>
      <c r="JB376" s="77"/>
      <c r="JC376" s="77"/>
      <c r="JD376" s="77"/>
      <c r="JE376" s="77"/>
      <c r="JF376" s="77"/>
      <c r="JG376" s="77"/>
      <c r="JH376" s="77"/>
      <c r="JI376" s="77"/>
      <c r="JJ376" s="77"/>
      <c r="JK376" s="77"/>
      <c r="JL376" s="77"/>
      <c r="JM376" s="77"/>
      <c r="JN376" s="77"/>
      <c r="JO376" s="77"/>
      <c r="JP376" s="77"/>
      <c r="JQ376" s="77"/>
      <c r="JR376" s="77"/>
      <c r="JS376" s="77"/>
      <c r="JT376" s="77"/>
      <c r="JU376" s="77"/>
      <c r="JV376" s="77"/>
      <c r="JW376" s="77"/>
      <c r="JX376" s="77"/>
      <c r="JY376" s="77"/>
      <c r="JZ376" s="77"/>
    </row>
    <row r="377" spans="1:286" s="166" customFormat="1" ht="216" customHeight="1" x14ac:dyDescent="0.25">
      <c r="A377" s="310"/>
      <c r="B377" s="115" t="s">
        <v>224</v>
      </c>
      <c r="C377" s="115" t="s">
        <v>159</v>
      </c>
      <c r="D377" s="117" t="s">
        <v>106</v>
      </c>
      <c r="E377" s="117" t="s">
        <v>75</v>
      </c>
      <c r="F377" s="280"/>
      <c r="G377" s="147" t="s">
        <v>260</v>
      </c>
      <c r="H377" s="159">
        <v>5</v>
      </c>
      <c r="I377" s="197">
        <v>0</v>
      </c>
      <c r="J377" s="90">
        <v>0</v>
      </c>
      <c r="K377" s="91">
        <v>0</v>
      </c>
      <c r="L377" s="92">
        <v>0</v>
      </c>
      <c r="M377" s="81">
        <v>0</v>
      </c>
      <c r="N377" s="133">
        <f t="shared" si="441"/>
        <v>0</v>
      </c>
      <c r="O377" s="71">
        <v>5</v>
      </c>
      <c r="P377" s="71"/>
      <c r="Q377" s="159"/>
      <c r="R377" s="159" t="s">
        <v>51</v>
      </c>
      <c r="S377" s="160" t="s">
        <v>338</v>
      </c>
      <c r="T377" s="286"/>
      <c r="U377" s="159">
        <v>5</v>
      </c>
      <c r="V377" s="197">
        <v>0</v>
      </c>
      <c r="W377" s="90">
        <v>0</v>
      </c>
      <c r="X377" s="91">
        <v>0</v>
      </c>
      <c r="Y377" s="92">
        <v>0</v>
      </c>
      <c r="Z377" s="81">
        <v>0</v>
      </c>
      <c r="AA377" s="133">
        <f t="shared" si="433"/>
        <v>0</v>
      </c>
      <c r="AB377" s="71">
        <v>5</v>
      </c>
      <c r="AC377" s="159">
        <v>0</v>
      </c>
      <c r="AD377" s="197">
        <v>0</v>
      </c>
      <c r="AE377" s="90">
        <v>0</v>
      </c>
      <c r="AF377" s="91">
        <v>0</v>
      </c>
      <c r="AG377" s="92">
        <v>0</v>
      </c>
      <c r="AH377" s="81">
        <v>0</v>
      </c>
      <c r="AI377" s="133">
        <f t="shared" si="434"/>
        <v>0</v>
      </c>
      <c r="AJ377" s="71">
        <f t="shared" si="478"/>
        <v>0</v>
      </c>
      <c r="AK377" s="159"/>
      <c r="AL377" s="147"/>
      <c r="AM377" s="72"/>
      <c r="AN377" s="159"/>
      <c r="AO377" s="72"/>
      <c r="AP377" s="147"/>
      <c r="AQ377" s="159"/>
      <c r="AR377" s="161">
        <v>0</v>
      </c>
      <c r="AS377" s="162">
        <v>0</v>
      </c>
      <c r="AT377" s="163">
        <v>0</v>
      </c>
      <c r="AU377" s="147"/>
      <c r="AV377" s="159"/>
      <c r="AW377" s="147"/>
      <c r="AX377" s="117" t="s">
        <v>108</v>
      </c>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c r="BW377" s="77"/>
      <c r="BX377" s="77"/>
      <c r="BY377" s="77"/>
      <c r="BZ377" s="77"/>
      <c r="CA377" s="77"/>
      <c r="CB377" s="77"/>
      <c r="CC377" s="77"/>
      <c r="CD377" s="77"/>
      <c r="CE377" s="77"/>
      <c r="CF377" s="77"/>
      <c r="CG377" s="77"/>
      <c r="CH377" s="77"/>
      <c r="CI377" s="77"/>
      <c r="CJ377" s="77"/>
      <c r="CK377" s="77"/>
      <c r="CL377" s="77"/>
      <c r="CM377" s="77"/>
      <c r="CN377" s="77"/>
      <c r="CO377" s="77"/>
      <c r="CP377" s="77"/>
      <c r="CQ377" s="77"/>
      <c r="CR377" s="77"/>
      <c r="CS377" s="77"/>
      <c r="CT377" s="77"/>
      <c r="CU377" s="77"/>
      <c r="CV377" s="77"/>
      <c r="CW377" s="77"/>
      <c r="CX377" s="77"/>
      <c r="CY377" s="77"/>
      <c r="CZ377" s="77"/>
      <c r="DA377" s="77"/>
      <c r="DB377" s="77"/>
      <c r="DC377" s="77"/>
      <c r="DD377" s="77"/>
      <c r="DE377" s="77"/>
      <c r="DF377" s="77"/>
      <c r="DG377" s="77"/>
      <c r="DH377" s="77"/>
      <c r="DI377" s="77"/>
      <c r="DJ377" s="77"/>
      <c r="DK377" s="77"/>
      <c r="DL377" s="77"/>
      <c r="DM377" s="77"/>
      <c r="DN377" s="77"/>
      <c r="DO377" s="77"/>
      <c r="DP377" s="77"/>
      <c r="DQ377" s="77"/>
      <c r="DR377" s="77"/>
      <c r="DS377" s="77"/>
      <c r="DT377" s="77"/>
      <c r="DU377" s="77"/>
      <c r="DV377" s="77"/>
      <c r="DW377" s="77"/>
      <c r="DX377" s="77"/>
      <c r="DY377" s="77"/>
      <c r="DZ377" s="77"/>
      <c r="EA377" s="77"/>
      <c r="EB377" s="77"/>
      <c r="EC377" s="77"/>
      <c r="ED377" s="77"/>
      <c r="EE377" s="77"/>
      <c r="EF377" s="77"/>
      <c r="EG377" s="77"/>
      <c r="EH377" s="77"/>
      <c r="EI377" s="77"/>
      <c r="EJ377" s="77"/>
      <c r="EK377" s="77"/>
      <c r="EL377" s="77"/>
      <c r="EM377" s="77"/>
      <c r="EN377" s="77"/>
      <c r="EO377" s="77"/>
      <c r="EP377" s="77"/>
      <c r="EQ377" s="77"/>
      <c r="ER377" s="77"/>
      <c r="ES377" s="77"/>
      <c r="ET377" s="77"/>
      <c r="EU377" s="77"/>
      <c r="EV377" s="77"/>
      <c r="EW377" s="77"/>
      <c r="EX377" s="77"/>
      <c r="EY377" s="77"/>
      <c r="EZ377" s="77"/>
      <c r="FA377" s="77"/>
      <c r="FB377" s="77"/>
      <c r="FC377" s="77"/>
      <c r="FD377" s="77"/>
      <c r="FE377" s="77"/>
      <c r="FF377" s="77"/>
      <c r="FG377" s="77"/>
      <c r="FH377" s="77"/>
      <c r="FI377" s="77"/>
      <c r="FJ377" s="77"/>
      <c r="FK377" s="77"/>
      <c r="FL377" s="77"/>
      <c r="FM377" s="77"/>
      <c r="FN377" s="77"/>
      <c r="FO377" s="77"/>
      <c r="FP377" s="77"/>
      <c r="FQ377" s="77"/>
      <c r="FR377" s="77"/>
      <c r="FS377" s="77"/>
      <c r="FT377" s="77"/>
      <c r="FU377" s="77"/>
      <c r="FV377" s="77"/>
      <c r="FW377" s="77"/>
      <c r="FX377" s="77"/>
      <c r="FY377" s="77"/>
      <c r="FZ377" s="77"/>
      <c r="GA377" s="77"/>
      <c r="GB377" s="77"/>
      <c r="GC377" s="77"/>
      <c r="GD377" s="77"/>
      <c r="GE377" s="77"/>
      <c r="GF377" s="77"/>
      <c r="GG377" s="77"/>
      <c r="GH377" s="77"/>
      <c r="GI377" s="77"/>
      <c r="GJ377" s="77"/>
      <c r="GK377" s="77"/>
      <c r="GL377" s="77"/>
      <c r="GM377" s="77"/>
      <c r="GN377" s="77"/>
      <c r="GO377" s="77"/>
      <c r="GP377" s="77"/>
      <c r="GQ377" s="77"/>
      <c r="GR377" s="77"/>
      <c r="GS377" s="77"/>
      <c r="GT377" s="77"/>
      <c r="GU377" s="77"/>
      <c r="GV377" s="77"/>
      <c r="GW377" s="77"/>
      <c r="GX377" s="77"/>
      <c r="GY377" s="77"/>
      <c r="GZ377" s="77"/>
      <c r="HA377" s="77"/>
      <c r="HB377" s="77"/>
      <c r="HC377" s="77"/>
      <c r="HD377" s="77"/>
      <c r="HE377" s="77"/>
      <c r="HF377" s="77"/>
      <c r="HG377" s="77"/>
      <c r="HH377" s="77"/>
      <c r="HI377" s="77"/>
      <c r="HJ377" s="77"/>
      <c r="HK377" s="77"/>
      <c r="HL377" s="77"/>
      <c r="HM377" s="77"/>
      <c r="HN377" s="77"/>
      <c r="HO377" s="77"/>
      <c r="HP377" s="77"/>
      <c r="HQ377" s="77"/>
      <c r="HR377" s="77"/>
      <c r="HS377" s="77"/>
      <c r="HT377" s="77"/>
      <c r="HU377" s="77"/>
      <c r="HV377" s="77"/>
      <c r="HW377" s="77"/>
      <c r="HX377" s="77"/>
      <c r="HY377" s="77"/>
      <c r="HZ377" s="77"/>
      <c r="IA377" s="77"/>
      <c r="IB377" s="77"/>
      <c r="IC377" s="77"/>
      <c r="ID377" s="77"/>
      <c r="IE377" s="77"/>
      <c r="IF377" s="77"/>
      <c r="IG377" s="77"/>
      <c r="IH377" s="77"/>
      <c r="II377" s="77"/>
      <c r="IJ377" s="77"/>
      <c r="IK377" s="77"/>
      <c r="IL377" s="77"/>
      <c r="IM377" s="77"/>
      <c r="IN377" s="77"/>
      <c r="IO377" s="77"/>
      <c r="IP377" s="77"/>
      <c r="IQ377" s="77"/>
      <c r="IR377" s="77"/>
      <c r="IS377" s="77"/>
      <c r="IT377" s="77"/>
      <c r="IU377" s="77"/>
      <c r="IV377" s="77"/>
      <c r="IW377" s="77"/>
      <c r="IX377" s="77"/>
      <c r="IY377" s="77"/>
      <c r="IZ377" s="77"/>
      <c r="JA377" s="77"/>
      <c r="JB377" s="77"/>
      <c r="JC377" s="77"/>
      <c r="JD377" s="77"/>
      <c r="JE377" s="77"/>
      <c r="JF377" s="77"/>
      <c r="JG377" s="77"/>
      <c r="JH377" s="77"/>
      <c r="JI377" s="77"/>
      <c r="JJ377" s="77"/>
      <c r="JK377" s="77"/>
      <c r="JL377" s="77"/>
      <c r="JM377" s="77"/>
      <c r="JN377" s="77"/>
      <c r="JO377" s="77"/>
      <c r="JP377" s="77"/>
      <c r="JQ377" s="77"/>
      <c r="JR377" s="77"/>
      <c r="JS377" s="77"/>
      <c r="JT377" s="77"/>
      <c r="JU377" s="77"/>
      <c r="JV377" s="77"/>
      <c r="JW377" s="77"/>
      <c r="JX377" s="77"/>
      <c r="JY377" s="77"/>
      <c r="JZ377" s="77"/>
    </row>
    <row r="378" spans="1:286" s="77" customFormat="1" ht="216" customHeight="1" x14ac:dyDescent="0.25">
      <c r="A378" s="310"/>
      <c r="B378" s="115" t="s">
        <v>224</v>
      </c>
      <c r="C378" s="115" t="s">
        <v>159</v>
      </c>
      <c r="D378" s="117" t="s">
        <v>106</v>
      </c>
      <c r="E378" s="117" t="s">
        <v>75</v>
      </c>
      <c r="F378" s="142" t="s">
        <v>61</v>
      </c>
      <c r="G378" s="155"/>
      <c r="H378" s="153">
        <f>SUM(H374:H377)</f>
        <v>50</v>
      </c>
      <c r="I378" s="153">
        <f t="shared" ref="I378" si="479">SUM(I374:I377)</f>
        <v>0</v>
      </c>
      <c r="J378" s="153">
        <f t="shared" ref="J378:M378" si="480">SUM(J374:J377)</f>
        <v>3</v>
      </c>
      <c r="K378" s="153">
        <f t="shared" si="480"/>
        <v>1</v>
      </c>
      <c r="L378" s="153">
        <f t="shared" si="480"/>
        <v>0</v>
      </c>
      <c r="M378" s="153">
        <f t="shared" si="480"/>
        <v>3</v>
      </c>
      <c r="N378" s="153">
        <f t="shared" si="441"/>
        <v>7</v>
      </c>
      <c r="O378" s="153">
        <f>SUM(O374:O377)</f>
        <v>45</v>
      </c>
      <c r="P378" s="153"/>
      <c r="Q378" s="156"/>
      <c r="R378" s="129"/>
      <c r="S378" s="157"/>
      <c r="T378" s="158"/>
      <c r="U378" s="153">
        <f t="shared" ref="U378:AJ378" si="481">SUM(U374:U377)</f>
        <v>50</v>
      </c>
      <c r="V378" s="153">
        <f t="shared" si="481"/>
        <v>0</v>
      </c>
      <c r="W378" s="153">
        <f t="shared" si="481"/>
        <v>3</v>
      </c>
      <c r="X378" s="153">
        <f t="shared" si="481"/>
        <v>1</v>
      </c>
      <c r="Y378" s="153">
        <f t="shared" si="481"/>
        <v>0</v>
      </c>
      <c r="Z378" s="153">
        <f t="shared" si="481"/>
        <v>3</v>
      </c>
      <c r="AA378" s="153">
        <f t="shared" si="433"/>
        <v>7</v>
      </c>
      <c r="AB378" s="153">
        <f t="shared" si="481"/>
        <v>45</v>
      </c>
      <c r="AC378" s="153">
        <f t="shared" si="481"/>
        <v>1</v>
      </c>
      <c r="AD378" s="153">
        <f t="shared" si="481"/>
        <v>0</v>
      </c>
      <c r="AE378" s="153">
        <f t="shared" si="481"/>
        <v>0</v>
      </c>
      <c r="AF378" s="153">
        <f t="shared" si="481"/>
        <v>0</v>
      </c>
      <c r="AG378" s="153">
        <f t="shared" ref="AG378" si="482">SUM(AG374:AG377)</f>
        <v>0</v>
      </c>
      <c r="AH378" s="153">
        <f t="shared" si="481"/>
        <v>0</v>
      </c>
      <c r="AI378" s="153">
        <f t="shared" si="434"/>
        <v>0</v>
      </c>
      <c r="AJ378" s="153">
        <f t="shared" si="481"/>
        <v>0.75</v>
      </c>
      <c r="AK378" s="156"/>
      <c r="AL378" s="156"/>
      <c r="AM378" s="156"/>
      <c r="AN378" s="156"/>
      <c r="AO378" s="156"/>
      <c r="AP378" s="155"/>
      <c r="AQ378" s="153">
        <f>SUM(AQ374:AQ377)</f>
        <v>1</v>
      </c>
      <c r="AR378" s="153">
        <f>SUM(AR374:AR377)</f>
        <v>0.25</v>
      </c>
      <c r="AS378" s="153">
        <f>SUM(AS374:AS377)</f>
        <v>0.75</v>
      </c>
      <c r="AT378" s="153">
        <f>SUM(AT374:AT377)</f>
        <v>0</v>
      </c>
      <c r="AU378" s="129"/>
      <c r="AV378" s="156"/>
      <c r="AW378" s="155"/>
      <c r="AX378" s="155" t="s">
        <v>108</v>
      </c>
    </row>
    <row r="379" spans="1:286" s="77" customFormat="1" ht="36" x14ac:dyDescent="0.25">
      <c r="A379" s="310"/>
      <c r="B379" s="115" t="s">
        <v>224</v>
      </c>
      <c r="C379" s="115" t="s">
        <v>161</v>
      </c>
      <c r="D379" s="117" t="s">
        <v>106</v>
      </c>
      <c r="E379" s="117" t="s">
        <v>70</v>
      </c>
      <c r="F379" s="272" t="s">
        <v>49</v>
      </c>
      <c r="G379" s="119" t="s">
        <v>178</v>
      </c>
      <c r="H379" s="272">
        <v>25</v>
      </c>
      <c r="I379" s="238">
        <v>0</v>
      </c>
      <c r="J379" s="230">
        <v>0</v>
      </c>
      <c r="K379" s="224">
        <v>0</v>
      </c>
      <c r="L379" s="226">
        <v>0</v>
      </c>
      <c r="M379" s="232">
        <v>0</v>
      </c>
      <c r="N379" s="278">
        <f t="shared" si="441"/>
        <v>0</v>
      </c>
      <c r="O379" s="242">
        <v>25</v>
      </c>
      <c r="P379" s="71"/>
      <c r="Q379" s="272"/>
      <c r="R379" s="272" t="s">
        <v>51</v>
      </c>
      <c r="S379" s="276" t="s">
        <v>277</v>
      </c>
      <c r="T379" s="251" t="s">
        <v>77</v>
      </c>
      <c r="U379" s="272">
        <v>80</v>
      </c>
      <c r="V379" s="238">
        <v>0</v>
      </c>
      <c r="W379" s="230">
        <v>0</v>
      </c>
      <c r="X379" s="224">
        <v>0</v>
      </c>
      <c r="Y379" s="226">
        <v>0</v>
      </c>
      <c r="Z379" s="232">
        <v>0</v>
      </c>
      <c r="AA379" s="278">
        <f t="shared" si="433"/>
        <v>0</v>
      </c>
      <c r="AB379" s="242">
        <v>80</v>
      </c>
      <c r="AC379" s="272">
        <v>5</v>
      </c>
      <c r="AD379" s="238">
        <v>0</v>
      </c>
      <c r="AE379" s="230">
        <v>0</v>
      </c>
      <c r="AF379" s="224">
        <v>0</v>
      </c>
      <c r="AG379" s="226">
        <v>0</v>
      </c>
      <c r="AH379" s="232">
        <v>0</v>
      </c>
      <c r="AI379" s="278">
        <f t="shared" si="434"/>
        <v>0</v>
      </c>
      <c r="AJ379" s="242">
        <v>6</v>
      </c>
      <c r="AK379" s="272"/>
      <c r="AL379" s="272" t="s">
        <v>335</v>
      </c>
      <c r="AM379" s="243">
        <v>5</v>
      </c>
      <c r="AN379" s="272">
        <v>5</v>
      </c>
      <c r="AO379" s="72"/>
      <c r="AP379" s="119" t="s">
        <v>58</v>
      </c>
      <c r="AQ379" s="136">
        <v>50</v>
      </c>
      <c r="AR379" s="161">
        <v>0</v>
      </c>
      <c r="AS379" s="162">
        <v>0</v>
      </c>
      <c r="AT379" s="163">
        <v>50</v>
      </c>
      <c r="AU379" s="272"/>
      <c r="AV379" s="272"/>
      <c r="AW379" s="272"/>
      <c r="AX379" s="138" t="s">
        <v>126</v>
      </c>
    </row>
    <row r="380" spans="1:286" s="77" customFormat="1" ht="36" x14ac:dyDescent="0.25">
      <c r="A380" s="310"/>
      <c r="B380" s="115" t="s">
        <v>224</v>
      </c>
      <c r="C380" s="115" t="s">
        <v>161</v>
      </c>
      <c r="D380" s="117" t="s">
        <v>106</v>
      </c>
      <c r="E380" s="117" t="s">
        <v>70</v>
      </c>
      <c r="F380" s="272"/>
      <c r="G380" s="119" t="s">
        <v>178</v>
      </c>
      <c r="H380" s="272"/>
      <c r="I380" s="239"/>
      <c r="J380" s="231"/>
      <c r="K380" s="225"/>
      <c r="L380" s="227"/>
      <c r="M380" s="233"/>
      <c r="N380" s="278">
        <f t="shared" si="441"/>
        <v>0</v>
      </c>
      <c r="O380" s="242"/>
      <c r="P380" s="71"/>
      <c r="Q380" s="272"/>
      <c r="R380" s="272"/>
      <c r="S380" s="276"/>
      <c r="T380" s="251"/>
      <c r="U380" s="272"/>
      <c r="V380" s="239"/>
      <c r="W380" s="231"/>
      <c r="X380" s="225"/>
      <c r="Y380" s="227"/>
      <c r="Z380" s="233"/>
      <c r="AA380" s="278">
        <f t="shared" si="433"/>
        <v>0</v>
      </c>
      <c r="AB380" s="242"/>
      <c r="AC380" s="272"/>
      <c r="AD380" s="239"/>
      <c r="AE380" s="231"/>
      <c r="AF380" s="225"/>
      <c r="AG380" s="227"/>
      <c r="AH380" s="233"/>
      <c r="AI380" s="278">
        <f t="shared" si="434"/>
        <v>0</v>
      </c>
      <c r="AJ380" s="242"/>
      <c r="AK380" s="272"/>
      <c r="AL380" s="272"/>
      <c r="AM380" s="243"/>
      <c r="AN380" s="272"/>
      <c r="AO380" s="72"/>
      <c r="AP380" s="119" t="s">
        <v>127</v>
      </c>
      <c r="AQ380" s="136">
        <v>1</v>
      </c>
      <c r="AR380" s="161">
        <f>AQ380/4*1</f>
        <v>0.25</v>
      </c>
      <c r="AS380" s="162">
        <v>0</v>
      </c>
      <c r="AT380" s="163">
        <v>1</v>
      </c>
      <c r="AU380" s="272"/>
      <c r="AV380" s="272"/>
      <c r="AW380" s="272"/>
      <c r="AX380" s="138" t="s">
        <v>126</v>
      </c>
    </row>
    <row r="381" spans="1:286" s="77" customFormat="1" ht="36" x14ac:dyDescent="0.25">
      <c r="A381" s="310"/>
      <c r="B381" s="115" t="s">
        <v>224</v>
      </c>
      <c r="C381" s="115" t="s">
        <v>161</v>
      </c>
      <c r="D381" s="117" t="s">
        <v>106</v>
      </c>
      <c r="E381" s="117" t="s">
        <v>70</v>
      </c>
      <c r="F381" s="272"/>
      <c r="G381" s="119" t="s">
        <v>227</v>
      </c>
      <c r="H381" s="136">
        <v>5</v>
      </c>
      <c r="I381" s="197">
        <v>0</v>
      </c>
      <c r="J381" s="90">
        <v>0</v>
      </c>
      <c r="K381" s="91">
        <v>0</v>
      </c>
      <c r="L381" s="92">
        <v>0</v>
      </c>
      <c r="M381" s="81">
        <v>0</v>
      </c>
      <c r="N381" s="133">
        <f t="shared" si="441"/>
        <v>0</v>
      </c>
      <c r="O381" s="71">
        <v>5</v>
      </c>
      <c r="P381" s="71"/>
      <c r="Q381" s="136"/>
      <c r="R381" s="119" t="s">
        <v>51</v>
      </c>
      <c r="S381" s="276" t="s">
        <v>277</v>
      </c>
      <c r="T381" s="251"/>
      <c r="U381" s="136">
        <v>70</v>
      </c>
      <c r="V381" s="197">
        <v>0</v>
      </c>
      <c r="W381" s="90">
        <v>0</v>
      </c>
      <c r="X381" s="91">
        <v>0</v>
      </c>
      <c r="Y381" s="92">
        <v>0</v>
      </c>
      <c r="Z381" s="81">
        <v>0</v>
      </c>
      <c r="AA381" s="133">
        <f t="shared" si="433"/>
        <v>0</v>
      </c>
      <c r="AB381" s="71">
        <v>70</v>
      </c>
      <c r="AC381" s="136">
        <v>5</v>
      </c>
      <c r="AD381" s="197">
        <v>0</v>
      </c>
      <c r="AE381" s="90">
        <v>0</v>
      </c>
      <c r="AF381" s="91">
        <v>0</v>
      </c>
      <c r="AG381" s="92">
        <v>0</v>
      </c>
      <c r="AH381" s="81">
        <v>0</v>
      </c>
      <c r="AI381" s="133">
        <f t="shared" si="434"/>
        <v>0</v>
      </c>
      <c r="AJ381" s="71">
        <v>5</v>
      </c>
      <c r="AK381" s="136"/>
      <c r="AL381" s="136" t="s">
        <v>335</v>
      </c>
      <c r="AM381" s="72">
        <v>5</v>
      </c>
      <c r="AN381" s="136">
        <v>5</v>
      </c>
      <c r="AO381" s="72"/>
      <c r="AP381" s="119" t="s">
        <v>58</v>
      </c>
      <c r="AQ381" s="136">
        <v>50</v>
      </c>
      <c r="AR381" s="161">
        <v>0</v>
      </c>
      <c r="AS381" s="162">
        <v>0</v>
      </c>
      <c r="AT381" s="163">
        <v>50</v>
      </c>
      <c r="AU381" s="119"/>
      <c r="AV381" s="136"/>
      <c r="AW381" s="119"/>
      <c r="AX381" s="117" t="s">
        <v>126</v>
      </c>
    </row>
    <row r="382" spans="1:286" s="77" customFormat="1" ht="36" x14ac:dyDescent="0.25">
      <c r="A382" s="310"/>
      <c r="B382" s="115" t="s">
        <v>224</v>
      </c>
      <c r="C382" s="115" t="s">
        <v>161</v>
      </c>
      <c r="D382" s="117" t="s">
        <v>106</v>
      </c>
      <c r="E382" s="117" t="s">
        <v>70</v>
      </c>
      <c r="F382" s="272"/>
      <c r="G382" s="119" t="s">
        <v>228</v>
      </c>
      <c r="H382" s="136">
        <v>5</v>
      </c>
      <c r="I382" s="197">
        <v>0</v>
      </c>
      <c r="J382" s="90">
        <v>0</v>
      </c>
      <c r="K382" s="91">
        <v>0</v>
      </c>
      <c r="L382" s="92">
        <v>0</v>
      </c>
      <c r="M382" s="81">
        <v>0</v>
      </c>
      <c r="N382" s="133">
        <f t="shared" si="441"/>
        <v>0</v>
      </c>
      <c r="O382" s="71">
        <v>5</v>
      </c>
      <c r="P382" s="71"/>
      <c r="Q382" s="136"/>
      <c r="R382" s="119" t="s">
        <v>51</v>
      </c>
      <c r="S382" s="276"/>
      <c r="T382" s="251"/>
      <c r="U382" s="136">
        <v>10</v>
      </c>
      <c r="V382" s="197">
        <v>0</v>
      </c>
      <c r="W382" s="90">
        <v>0</v>
      </c>
      <c r="X382" s="91">
        <v>0</v>
      </c>
      <c r="Y382" s="92">
        <v>0</v>
      </c>
      <c r="Z382" s="81">
        <v>0</v>
      </c>
      <c r="AA382" s="133">
        <f t="shared" si="433"/>
        <v>0</v>
      </c>
      <c r="AB382" s="71">
        <v>10</v>
      </c>
      <c r="AC382" s="136">
        <v>0</v>
      </c>
      <c r="AD382" s="197">
        <v>0</v>
      </c>
      <c r="AE382" s="90">
        <v>0</v>
      </c>
      <c r="AF382" s="91">
        <v>0</v>
      </c>
      <c r="AG382" s="92">
        <v>0</v>
      </c>
      <c r="AH382" s="81">
        <v>0</v>
      </c>
      <c r="AI382" s="133">
        <f t="shared" si="434"/>
        <v>0</v>
      </c>
      <c r="AJ382" s="71">
        <f>AC382/4*3</f>
        <v>0</v>
      </c>
      <c r="AK382" s="136"/>
      <c r="AL382" s="136"/>
      <c r="AM382" s="72"/>
      <c r="AN382" s="136"/>
      <c r="AO382" s="72"/>
      <c r="AP382" s="119"/>
      <c r="AQ382" s="136"/>
      <c r="AR382" s="161">
        <v>0</v>
      </c>
      <c r="AS382" s="162">
        <v>0</v>
      </c>
      <c r="AT382" s="163">
        <v>0</v>
      </c>
      <c r="AU382" s="119"/>
      <c r="AV382" s="136"/>
      <c r="AW382" s="119"/>
      <c r="AX382" s="117" t="s">
        <v>126</v>
      </c>
    </row>
    <row r="383" spans="1:286" s="77" customFormat="1" ht="36" x14ac:dyDescent="0.25">
      <c r="A383" s="310"/>
      <c r="B383" s="115" t="s">
        <v>224</v>
      </c>
      <c r="C383" s="115" t="s">
        <v>161</v>
      </c>
      <c r="D383" s="117" t="s">
        <v>106</v>
      </c>
      <c r="E383" s="117" t="s">
        <v>70</v>
      </c>
      <c r="F383" s="142" t="s">
        <v>61</v>
      </c>
      <c r="G383" s="155"/>
      <c r="H383" s="153">
        <f t="shared" ref="H383:O383" si="483">SUM(H379:H382)</f>
        <v>35</v>
      </c>
      <c r="I383" s="153">
        <f t="shared" si="483"/>
        <v>0</v>
      </c>
      <c r="J383" s="153">
        <f t="shared" si="483"/>
        <v>0</v>
      </c>
      <c r="K383" s="153">
        <f t="shared" si="483"/>
        <v>0</v>
      </c>
      <c r="L383" s="153">
        <f t="shared" si="483"/>
        <v>0</v>
      </c>
      <c r="M383" s="153">
        <f t="shared" si="483"/>
        <v>0</v>
      </c>
      <c r="N383" s="153">
        <f t="shared" si="441"/>
        <v>0</v>
      </c>
      <c r="O383" s="153">
        <f t="shared" si="483"/>
        <v>35</v>
      </c>
      <c r="P383" s="153"/>
      <c r="Q383" s="156"/>
      <c r="R383" s="129"/>
      <c r="S383" s="157"/>
      <c r="T383" s="158"/>
      <c r="U383" s="153">
        <f t="shared" ref="U383:AJ383" si="484">SUM(U379:U382)</f>
        <v>160</v>
      </c>
      <c r="V383" s="153">
        <f t="shared" si="484"/>
        <v>0</v>
      </c>
      <c r="W383" s="153">
        <f t="shared" si="484"/>
        <v>0</v>
      </c>
      <c r="X383" s="153">
        <f t="shared" si="484"/>
        <v>0</v>
      </c>
      <c r="Y383" s="153">
        <f t="shared" si="484"/>
        <v>0</v>
      </c>
      <c r="Z383" s="153">
        <f t="shared" si="484"/>
        <v>0</v>
      </c>
      <c r="AA383" s="153">
        <f t="shared" si="433"/>
        <v>0</v>
      </c>
      <c r="AB383" s="153">
        <f t="shared" si="484"/>
        <v>160</v>
      </c>
      <c r="AC383" s="153">
        <f t="shared" si="484"/>
        <v>10</v>
      </c>
      <c r="AD383" s="153">
        <f t="shared" si="484"/>
        <v>0</v>
      </c>
      <c r="AE383" s="153">
        <f t="shared" si="484"/>
        <v>0</v>
      </c>
      <c r="AF383" s="153">
        <f t="shared" si="484"/>
        <v>0</v>
      </c>
      <c r="AG383" s="153">
        <f t="shared" ref="AG383" si="485">SUM(AG379:AG382)</f>
        <v>0</v>
      </c>
      <c r="AH383" s="153">
        <f t="shared" si="484"/>
        <v>0</v>
      </c>
      <c r="AI383" s="153">
        <f t="shared" si="434"/>
        <v>0</v>
      </c>
      <c r="AJ383" s="153">
        <f t="shared" si="484"/>
        <v>11</v>
      </c>
      <c r="AK383" s="156"/>
      <c r="AL383" s="156"/>
      <c r="AM383" s="156">
        <f>SUM(AM379:AM382)</f>
        <v>10</v>
      </c>
      <c r="AN383" s="156"/>
      <c r="AO383" s="156"/>
      <c r="AP383" s="155"/>
      <c r="AQ383" s="153">
        <f>SUM(AQ379:AQ382)</f>
        <v>101</v>
      </c>
      <c r="AR383" s="153">
        <f>SUM(AR379:AR382)</f>
        <v>0.25</v>
      </c>
      <c r="AS383" s="153">
        <f>SUM(AS379:AS382)</f>
        <v>0</v>
      </c>
      <c r="AT383" s="153">
        <f>SUM(AT379:AT382)</f>
        <v>101</v>
      </c>
      <c r="AU383" s="129"/>
      <c r="AV383" s="156"/>
      <c r="AW383" s="155"/>
      <c r="AX383" s="155" t="s">
        <v>126</v>
      </c>
    </row>
    <row r="384" spans="1:286" s="77" customFormat="1" ht="36" x14ac:dyDescent="0.25">
      <c r="A384" s="310"/>
      <c r="B384" s="115" t="s">
        <v>224</v>
      </c>
      <c r="C384" s="115" t="s">
        <v>164</v>
      </c>
      <c r="D384" s="117" t="s">
        <v>106</v>
      </c>
      <c r="E384" s="117" t="s">
        <v>48</v>
      </c>
      <c r="F384" s="272" t="s">
        <v>49</v>
      </c>
      <c r="G384" s="119" t="s">
        <v>231</v>
      </c>
      <c r="H384" s="136">
        <v>10</v>
      </c>
      <c r="I384" s="197">
        <v>0</v>
      </c>
      <c r="J384" s="90">
        <v>0</v>
      </c>
      <c r="K384" s="91">
        <v>5</v>
      </c>
      <c r="L384" s="92">
        <v>0</v>
      </c>
      <c r="M384" s="81">
        <v>0</v>
      </c>
      <c r="N384" s="133">
        <f t="shared" si="441"/>
        <v>5</v>
      </c>
      <c r="O384" s="71">
        <v>5</v>
      </c>
      <c r="P384" s="71"/>
      <c r="Q384" s="136"/>
      <c r="R384" s="119" t="s">
        <v>51</v>
      </c>
      <c r="S384" s="120" t="s">
        <v>339</v>
      </c>
      <c r="T384" s="251" t="s">
        <v>73</v>
      </c>
      <c r="U384" s="136">
        <v>20</v>
      </c>
      <c r="V384" s="197">
        <v>0</v>
      </c>
      <c r="W384" s="90">
        <v>0</v>
      </c>
      <c r="X384" s="91">
        <v>5</v>
      </c>
      <c r="Y384" s="92">
        <v>0</v>
      </c>
      <c r="Z384" s="81">
        <v>0</v>
      </c>
      <c r="AA384" s="133">
        <f t="shared" si="433"/>
        <v>5</v>
      </c>
      <c r="AB384" s="71">
        <v>15</v>
      </c>
      <c r="AC384" s="136">
        <v>0</v>
      </c>
      <c r="AD384" s="197">
        <v>0</v>
      </c>
      <c r="AE384" s="90">
        <v>0</v>
      </c>
      <c r="AF384" s="91">
        <v>0</v>
      </c>
      <c r="AG384" s="92">
        <v>0</v>
      </c>
      <c r="AH384" s="81">
        <v>0</v>
      </c>
      <c r="AI384" s="133">
        <f t="shared" si="434"/>
        <v>0</v>
      </c>
      <c r="AJ384" s="71">
        <f>AC384/4*3</f>
        <v>0</v>
      </c>
      <c r="AK384" s="136"/>
      <c r="AL384" s="136"/>
      <c r="AM384" s="72"/>
      <c r="AN384" s="136"/>
      <c r="AO384" s="72"/>
      <c r="AP384" s="119"/>
      <c r="AQ384" s="136"/>
      <c r="AR384" s="161">
        <v>0</v>
      </c>
      <c r="AS384" s="162">
        <v>0</v>
      </c>
      <c r="AT384" s="163">
        <v>0</v>
      </c>
      <c r="AU384" s="119"/>
      <c r="AV384" s="136"/>
      <c r="AW384" s="119"/>
      <c r="AX384" s="117" t="s">
        <v>134</v>
      </c>
    </row>
    <row r="385" spans="1:50" s="77" customFormat="1" ht="36" x14ac:dyDescent="0.25">
      <c r="A385" s="310"/>
      <c r="B385" s="115" t="s">
        <v>224</v>
      </c>
      <c r="C385" s="115" t="s">
        <v>164</v>
      </c>
      <c r="D385" s="117" t="s">
        <v>106</v>
      </c>
      <c r="E385" s="117" t="s">
        <v>48</v>
      </c>
      <c r="F385" s="272"/>
      <c r="G385" s="119" t="s">
        <v>178</v>
      </c>
      <c r="H385" s="272">
        <v>35</v>
      </c>
      <c r="I385" s="238">
        <v>0</v>
      </c>
      <c r="J385" s="230">
        <v>10</v>
      </c>
      <c r="K385" s="224">
        <v>3</v>
      </c>
      <c r="L385" s="226">
        <v>0</v>
      </c>
      <c r="M385" s="232">
        <v>1</v>
      </c>
      <c r="N385" s="278">
        <f t="shared" si="441"/>
        <v>14</v>
      </c>
      <c r="O385" s="242">
        <v>9</v>
      </c>
      <c r="P385" s="71"/>
      <c r="Q385" s="272"/>
      <c r="R385" s="251" t="s">
        <v>51</v>
      </c>
      <c r="S385" s="276" t="s">
        <v>340</v>
      </c>
      <c r="T385" s="251"/>
      <c r="U385" s="272">
        <v>100</v>
      </c>
      <c r="V385" s="238">
        <v>5</v>
      </c>
      <c r="W385" s="230">
        <v>0</v>
      </c>
      <c r="X385" s="224">
        <v>1</v>
      </c>
      <c r="Y385" s="226">
        <v>0</v>
      </c>
      <c r="Z385" s="232">
        <v>1</v>
      </c>
      <c r="AA385" s="278">
        <f t="shared" si="433"/>
        <v>7</v>
      </c>
      <c r="AB385" s="242">
        <v>95</v>
      </c>
      <c r="AC385" s="272">
        <v>25</v>
      </c>
      <c r="AD385" s="238">
        <v>0</v>
      </c>
      <c r="AE385" s="230">
        <v>0</v>
      </c>
      <c r="AF385" s="224">
        <v>0</v>
      </c>
      <c r="AG385" s="226">
        <v>0</v>
      </c>
      <c r="AH385" s="232">
        <v>0</v>
      </c>
      <c r="AI385" s="278">
        <f t="shared" si="434"/>
        <v>0</v>
      </c>
      <c r="AJ385" s="242">
        <v>25</v>
      </c>
      <c r="AK385" s="272"/>
      <c r="AL385" s="272" t="s">
        <v>335</v>
      </c>
      <c r="AM385" s="243">
        <v>3</v>
      </c>
      <c r="AN385" s="272"/>
      <c r="AO385" s="72"/>
      <c r="AP385" s="119" t="s">
        <v>58</v>
      </c>
      <c r="AQ385" s="136">
        <v>5</v>
      </c>
      <c r="AR385" s="161">
        <v>0</v>
      </c>
      <c r="AS385" s="162">
        <v>0</v>
      </c>
      <c r="AT385" s="163">
        <v>5</v>
      </c>
      <c r="AU385" s="272"/>
      <c r="AV385" s="272"/>
      <c r="AW385" s="272"/>
      <c r="AX385" s="117" t="s">
        <v>134</v>
      </c>
    </row>
    <row r="386" spans="1:50" s="77" customFormat="1" ht="36" x14ac:dyDescent="0.25">
      <c r="A386" s="310"/>
      <c r="B386" s="115" t="s">
        <v>224</v>
      </c>
      <c r="C386" s="115" t="s">
        <v>164</v>
      </c>
      <c r="D386" s="117" t="s">
        <v>106</v>
      </c>
      <c r="E386" s="117" t="s">
        <v>48</v>
      </c>
      <c r="F386" s="272"/>
      <c r="G386" s="119" t="s">
        <v>178</v>
      </c>
      <c r="H386" s="272"/>
      <c r="I386" s="257"/>
      <c r="J386" s="253"/>
      <c r="K386" s="254"/>
      <c r="L386" s="255"/>
      <c r="M386" s="258"/>
      <c r="N386" s="278">
        <f t="shared" si="441"/>
        <v>0</v>
      </c>
      <c r="O386" s="242"/>
      <c r="P386" s="71"/>
      <c r="Q386" s="272"/>
      <c r="R386" s="251"/>
      <c r="S386" s="276"/>
      <c r="T386" s="251"/>
      <c r="U386" s="272"/>
      <c r="V386" s="257"/>
      <c r="W386" s="253"/>
      <c r="X386" s="254"/>
      <c r="Y386" s="255"/>
      <c r="Z386" s="258"/>
      <c r="AA386" s="278">
        <f t="shared" si="433"/>
        <v>0</v>
      </c>
      <c r="AB386" s="242"/>
      <c r="AC386" s="272"/>
      <c r="AD386" s="257"/>
      <c r="AE386" s="253"/>
      <c r="AF386" s="254"/>
      <c r="AG386" s="255"/>
      <c r="AH386" s="258"/>
      <c r="AI386" s="278">
        <f t="shared" si="434"/>
        <v>0</v>
      </c>
      <c r="AJ386" s="242"/>
      <c r="AK386" s="272"/>
      <c r="AL386" s="272"/>
      <c r="AM386" s="243"/>
      <c r="AN386" s="272"/>
      <c r="AO386" s="72"/>
      <c r="AP386" s="119" t="s">
        <v>127</v>
      </c>
      <c r="AQ386" s="136">
        <v>1</v>
      </c>
      <c r="AR386" s="161">
        <v>0</v>
      </c>
      <c r="AS386" s="162">
        <v>0</v>
      </c>
      <c r="AT386" s="163">
        <v>1</v>
      </c>
      <c r="AU386" s="272"/>
      <c r="AV386" s="272"/>
      <c r="AW386" s="272"/>
      <c r="AX386" s="117" t="s">
        <v>134</v>
      </c>
    </row>
    <row r="387" spans="1:50" s="77" customFormat="1" ht="36" x14ac:dyDescent="0.25">
      <c r="A387" s="310"/>
      <c r="B387" s="115" t="s">
        <v>224</v>
      </c>
      <c r="C387" s="115" t="s">
        <v>164</v>
      </c>
      <c r="D387" s="117" t="s">
        <v>106</v>
      </c>
      <c r="E387" s="117" t="s">
        <v>48</v>
      </c>
      <c r="F387" s="272"/>
      <c r="G387" s="119" t="s">
        <v>178</v>
      </c>
      <c r="H387" s="272"/>
      <c r="I387" s="239"/>
      <c r="J387" s="231"/>
      <c r="K387" s="225"/>
      <c r="L387" s="227"/>
      <c r="M387" s="233"/>
      <c r="N387" s="278">
        <f t="shared" si="441"/>
        <v>0</v>
      </c>
      <c r="O387" s="242"/>
      <c r="P387" s="71"/>
      <c r="Q387" s="272"/>
      <c r="R387" s="251"/>
      <c r="S387" s="276"/>
      <c r="T387" s="251"/>
      <c r="U387" s="272"/>
      <c r="V387" s="239"/>
      <c r="W387" s="231"/>
      <c r="X387" s="225"/>
      <c r="Y387" s="227"/>
      <c r="Z387" s="233"/>
      <c r="AA387" s="278">
        <f t="shared" si="433"/>
        <v>0</v>
      </c>
      <c r="AB387" s="242"/>
      <c r="AC387" s="272"/>
      <c r="AD387" s="239"/>
      <c r="AE387" s="231"/>
      <c r="AF387" s="225"/>
      <c r="AG387" s="227"/>
      <c r="AH387" s="233"/>
      <c r="AI387" s="278">
        <f t="shared" si="434"/>
        <v>0</v>
      </c>
      <c r="AJ387" s="242"/>
      <c r="AK387" s="272"/>
      <c r="AL387" s="136" t="s">
        <v>256</v>
      </c>
      <c r="AM387" s="72">
        <v>10</v>
      </c>
      <c r="AN387" s="272"/>
      <c r="AO387" s="72"/>
      <c r="AP387" s="119" t="s">
        <v>58</v>
      </c>
      <c r="AQ387" s="136">
        <v>20</v>
      </c>
      <c r="AR387" s="161">
        <v>0</v>
      </c>
      <c r="AS387" s="162">
        <v>0</v>
      </c>
      <c r="AT387" s="163">
        <v>20</v>
      </c>
      <c r="AU387" s="272"/>
      <c r="AV387" s="272"/>
      <c r="AW387" s="272"/>
      <c r="AX387" s="117" t="s">
        <v>134</v>
      </c>
    </row>
    <row r="388" spans="1:50" s="77" customFormat="1" ht="36" customHeight="1" x14ac:dyDescent="0.25">
      <c r="A388" s="310"/>
      <c r="B388" s="115" t="s">
        <v>224</v>
      </c>
      <c r="C388" s="115" t="s">
        <v>164</v>
      </c>
      <c r="D388" s="117" t="s">
        <v>106</v>
      </c>
      <c r="E388" s="117" t="s">
        <v>48</v>
      </c>
      <c r="F388" s="272"/>
      <c r="G388" s="119" t="s">
        <v>227</v>
      </c>
      <c r="H388" s="272">
        <v>25</v>
      </c>
      <c r="I388" s="238">
        <v>0</v>
      </c>
      <c r="J388" s="230">
        <v>0</v>
      </c>
      <c r="K388" s="224">
        <v>0</v>
      </c>
      <c r="L388" s="226">
        <v>0</v>
      </c>
      <c r="M388" s="232">
        <v>3</v>
      </c>
      <c r="N388" s="278">
        <f t="shared" si="441"/>
        <v>3</v>
      </c>
      <c r="O388" s="242">
        <v>15</v>
      </c>
      <c r="P388" s="71"/>
      <c r="Q388" s="272"/>
      <c r="R388" s="272" t="s">
        <v>51</v>
      </c>
      <c r="S388" s="276" t="s">
        <v>340</v>
      </c>
      <c r="T388" s="251"/>
      <c r="U388" s="272">
        <v>50</v>
      </c>
      <c r="V388" s="238">
        <v>0</v>
      </c>
      <c r="W388" s="230">
        <v>0</v>
      </c>
      <c r="X388" s="224">
        <v>0</v>
      </c>
      <c r="Y388" s="226">
        <v>0</v>
      </c>
      <c r="Z388" s="232">
        <v>0</v>
      </c>
      <c r="AA388" s="278">
        <f t="shared" ref="AA388:AA451" si="486">SUM(V388:Z388)</f>
        <v>0</v>
      </c>
      <c r="AB388" s="242">
        <v>50</v>
      </c>
      <c r="AC388" s="272">
        <v>10</v>
      </c>
      <c r="AD388" s="238">
        <v>0</v>
      </c>
      <c r="AE388" s="230">
        <v>0</v>
      </c>
      <c r="AF388" s="224">
        <v>0</v>
      </c>
      <c r="AG388" s="226">
        <v>0</v>
      </c>
      <c r="AH388" s="232">
        <v>0</v>
      </c>
      <c r="AI388" s="278">
        <f t="shared" ref="AI388:AI451" si="487">SUM(AD388:AH388)</f>
        <v>0</v>
      </c>
      <c r="AJ388" s="242">
        <v>10</v>
      </c>
      <c r="AK388" s="272"/>
      <c r="AL388" s="272" t="s">
        <v>335</v>
      </c>
      <c r="AM388" s="243">
        <v>2</v>
      </c>
      <c r="AN388" s="272"/>
      <c r="AO388" s="72"/>
      <c r="AP388" s="119" t="s">
        <v>58</v>
      </c>
      <c r="AQ388" s="136">
        <v>5</v>
      </c>
      <c r="AR388" s="161">
        <v>0</v>
      </c>
      <c r="AS388" s="162">
        <v>0</v>
      </c>
      <c r="AT388" s="163">
        <v>5</v>
      </c>
      <c r="AU388" s="272"/>
      <c r="AV388" s="272"/>
      <c r="AW388" s="272"/>
      <c r="AX388" s="117" t="s">
        <v>134</v>
      </c>
    </row>
    <row r="389" spans="1:50" s="77" customFormat="1" ht="36" x14ac:dyDescent="0.25">
      <c r="A389" s="310"/>
      <c r="B389" s="115" t="s">
        <v>224</v>
      </c>
      <c r="C389" s="115" t="s">
        <v>164</v>
      </c>
      <c r="D389" s="117" t="s">
        <v>106</v>
      </c>
      <c r="E389" s="117" t="s">
        <v>48</v>
      </c>
      <c r="F389" s="272"/>
      <c r="G389" s="119" t="s">
        <v>227</v>
      </c>
      <c r="H389" s="272"/>
      <c r="I389" s="257"/>
      <c r="J389" s="253"/>
      <c r="K389" s="254"/>
      <c r="L389" s="255"/>
      <c r="M389" s="258"/>
      <c r="N389" s="278">
        <f t="shared" si="441"/>
        <v>0</v>
      </c>
      <c r="O389" s="242"/>
      <c r="P389" s="71"/>
      <c r="Q389" s="272"/>
      <c r="R389" s="272"/>
      <c r="S389" s="276"/>
      <c r="T389" s="251"/>
      <c r="U389" s="272"/>
      <c r="V389" s="257"/>
      <c r="W389" s="253"/>
      <c r="X389" s="254"/>
      <c r="Y389" s="255"/>
      <c r="Z389" s="258"/>
      <c r="AA389" s="278">
        <f t="shared" si="486"/>
        <v>0</v>
      </c>
      <c r="AB389" s="242"/>
      <c r="AC389" s="272"/>
      <c r="AD389" s="257"/>
      <c r="AE389" s="253"/>
      <c r="AF389" s="254"/>
      <c r="AG389" s="255"/>
      <c r="AH389" s="258"/>
      <c r="AI389" s="278">
        <f t="shared" si="487"/>
        <v>0</v>
      </c>
      <c r="AJ389" s="242"/>
      <c r="AK389" s="272"/>
      <c r="AL389" s="272"/>
      <c r="AM389" s="243"/>
      <c r="AN389" s="272"/>
      <c r="AO389" s="72"/>
      <c r="AP389" s="119" t="s">
        <v>127</v>
      </c>
      <c r="AQ389" s="136">
        <v>1</v>
      </c>
      <c r="AR389" s="161">
        <v>0</v>
      </c>
      <c r="AS389" s="162">
        <v>0</v>
      </c>
      <c r="AT389" s="163">
        <v>1</v>
      </c>
      <c r="AU389" s="272"/>
      <c r="AV389" s="272"/>
      <c r="AW389" s="272"/>
      <c r="AX389" s="117" t="s">
        <v>134</v>
      </c>
    </row>
    <row r="390" spans="1:50" s="77" customFormat="1" ht="36" x14ac:dyDescent="0.25">
      <c r="A390" s="310"/>
      <c r="B390" s="115" t="s">
        <v>224</v>
      </c>
      <c r="C390" s="115" t="s">
        <v>164</v>
      </c>
      <c r="D390" s="117" t="s">
        <v>106</v>
      </c>
      <c r="E390" s="117" t="s">
        <v>48</v>
      </c>
      <c r="F390" s="272"/>
      <c r="G390" s="119" t="s">
        <v>227</v>
      </c>
      <c r="H390" s="272"/>
      <c r="I390" s="239"/>
      <c r="J390" s="231"/>
      <c r="K390" s="225"/>
      <c r="L390" s="227"/>
      <c r="M390" s="233"/>
      <c r="N390" s="278">
        <f t="shared" si="441"/>
        <v>0</v>
      </c>
      <c r="O390" s="242"/>
      <c r="P390" s="71"/>
      <c r="Q390" s="272"/>
      <c r="R390" s="272"/>
      <c r="S390" s="276"/>
      <c r="T390" s="251"/>
      <c r="U390" s="272"/>
      <c r="V390" s="239"/>
      <c r="W390" s="231"/>
      <c r="X390" s="225"/>
      <c r="Y390" s="227"/>
      <c r="Z390" s="233"/>
      <c r="AA390" s="278">
        <f t="shared" si="486"/>
        <v>0</v>
      </c>
      <c r="AB390" s="242"/>
      <c r="AC390" s="272"/>
      <c r="AD390" s="239"/>
      <c r="AE390" s="231"/>
      <c r="AF390" s="225"/>
      <c r="AG390" s="227"/>
      <c r="AH390" s="233"/>
      <c r="AI390" s="278">
        <f t="shared" si="487"/>
        <v>0</v>
      </c>
      <c r="AJ390" s="242"/>
      <c r="AK390" s="272"/>
      <c r="AL390" s="136" t="s">
        <v>256</v>
      </c>
      <c r="AM390" s="72">
        <v>10</v>
      </c>
      <c r="AN390" s="272"/>
      <c r="AO390" s="72"/>
      <c r="AP390" s="119" t="s">
        <v>58</v>
      </c>
      <c r="AQ390" s="136">
        <v>10</v>
      </c>
      <c r="AR390" s="161">
        <v>0</v>
      </c>
      <c r="AS390" s="162">
        <v>0</v>
      </c>
      <c r="AT390" s="163">
        <v>10</v>
      </c>
      <c r="AU390" s="272"/>
      <c r="AV390" s="272"/>
      <c r="AW390" s="272"/>
      <c r="AX390" s="117" t="s">
        <v>134</v>
      </c>
    </row>
    <row r="391" spans="1:50" s="77" customFormat="1" ht="37.5" x14ac:dyDescent="0.25">
      <c r="A391" s="310"/>
      <c r="B391" s="115" t="s">
        <v>224</v>
      </c>
      <c r="C391" s="115" t="s">
        <v>164</v>
      </c>
      <c r="D391" s="117" t="s">
        <v>106</v>
      </c>
      <c r="E391" s="117" t="s">
        <v>48</v>
      </c>
      <c r="F391" s="272"/>
      <c r="G391" s="119" t="s">
        <v>228</v>
      </c>
      <c r="H391" s="136">
        <v>55</v>
      </c>
      <c r="I391" s="197">
        <v>10</v>
      </c>
      <c r="J391" s="90">
        <v>5</v>
      </c>
      <c r="K391" s="91">
        <v>5</v>
      </c>
      <c r="L391" s="92">
        <v>4</v>
      </c>
      <c r="M391" s="81">
        <v>5</v>
      </c>
      <c r="N391" s="133">
        <f t="shared" si="441"/>
        <v>29</v>
      </c>
      <c r="O391" s="71">
        <v>25</v>
      </c>
      <c r="P391" s="71"/>
      <c r="Q391" s="136"/>
      <c r="R391" s="119" t="s">
        <v>51</v>
      </c>
      <c r="S391" s="120" t="s">
        <v>341</v>
      </c>
      <c r="T391" s="251"/>
      <c r="U391" s="136">
        <v>60</v>
      </c>
      <c r="V391" s="197">
        <v>5</v>
      </c>
      <c r="W391" s="90">
        <v>5</v>
      </c>
      <c r="X391" s="91">
        <v>1</v>
      </c>
      <c r="Y391" s="92">
        <v>4</v>
      </c>
      <c r="Z391" s="81">
        <v>5</v>
      </c>
      <c r="AA391" s="133">
        <f t="shared" si="486"/>
        <v>20</v>
      </c>
      <c r="AB391" s="71">
        <v>40</v>
      </c>
      <c r="AC391" s="136">
        <v>0</v>
      </c>
      <c r="AD391" s="197">
        <v>0</v>
      </c>
      <c r="AE391" s="90">
        <v>0</v>
      </c>
      <c r="AF391" s="91">
        <v>0</v>
      </c>
      <c r="AG391" s="92">
        <v>0</v>
      </c>
      <c r="AH391" s="81">
        <v>0</v>
      </c>
      <c r="AI391" s="133">
        <f t="shared" si="487"/>
        <v>0</v>
      </c>
      <c r="AJ391" s="71">
        <f>AC391/4*3</f>
        <v>0</v>
      </c>
      <c r="AK391" s="136"/>
      <c r="AL391" s="136"/>
      <c r="AM391" s="72"/>
      <c r="AN391" s="136"/>
      <c r="AO391" s="72"/>
      <c r="AP391" s="119"/>
      <c r="AQ391" s="136"/>
      <c r="AR391" s="161">
        <v>0</v>
      </c>
      <c r="AS391" s="162">
        <v>0</v>
      </c>
      <c r="AT391" s="163">
        <v>0</v>
      </c>
      <c r="AU391" s="119"/>
      <c r="AV391" s="136"/>
      <c r="AW391" s="119"/>
      <c r="AX391" s="117" t="s">
        <v>134</v>
      </c>
    </row>
    <row r="392" spans="1:50" s="77" customFormat="1" ht="54" x14ac:dyDescent="0.25">
      <c r="A392" s="310"/>
      <c r="B392" s="115" t="s">
        <v>224</v>
      </c>
      <c r="C392" s="115" t="s">
        <v>164</v>
      </c>
      <c r="D392" s="117" t="s">
        <v>106</v>
      </c>
      <c r="E392" s="117" t="s">
        <v>48</v>
      </c>
      <c r="F392" s="272"/>
      <c r="G392" s="119" t="s">
        <v>262</v>
      </c>
      <c r="H392" s="272">
        <v>5</v>
      </c>
      <c r="I392" s="238">
        <v>0</v>
      </c>
      <c r="J392" s="230">
        <v>0</v>
      </c>
      <c r="K392" s="224">
        <v>0</v>
      </c>
      <c r="L392" s="226">
        <v>0</v>
      </c>
      <c r="M392" s="232">
        <v>0</v>
      </c>
      <c r="N392" s="278">
        <f t="shared" si="441"/>
        <v>0</v>
      </c>
      <c r="O392" s="242">
        <v>5</v>
      </c>
      <c r="P392" s="71"/>
      <c r="Q392" s="272"/>
      <c r="R392" s="272" t="s">
        <v>51</v>
      </c>
      <c r="S392" s="276" t="s">
        <v>342</v>
      </c>
      <c r="T392" s="251" t="s">
        <v>125</v>
      </c>
      <c r="U392" s="272">
        <v>10</v>
      </c>
      <c r="V392" s="238">
        <v>0</v>
      </c>
      <c r="W392" s="230">
        <v>0</v>
      </c>
      <c r="X392" s="224">
        <v>0</v>
      </c>
      <c r="Y392" s="226">
        <v>0</v>
      </c>
      <c r="Z392" s="232">
        <v>0</v>
      </c>
      <c r="AA392" s="278">
        <f t="shared" si="486"/>
        <v>0</v>
      </c>
      <c r="AB392" s="242">
        <v>10</v>
      </c>
      <c r="AC392" s="272">
        <v>0</v>
      </c>
      <c r="AD392" s="238">
        <v>0</v>
      </c>
      <c r="AE392" s="230">
        <v>0</v>
      </c>
      <c r="AF392" s="224">
        <v>0</v>
      </c>
      <c r="AG392" s="226">
        <v>0</v>
      </c>
      <c r="AH392" s="232">
        <v>0</v>
      </c>
      <c r="AI392" s="278">
        <f t="shared" si="487"/>
        <v>0</v>
      </c>
      <c r="AJ392" s="242">
        <f>AC392/4*3</f>
        <v>0</v>
      </c>
      <c r="AK392" s="272"/>
      <c r="AL392" s="272" t="s">
        <v>256</v>
      </c>
      <c r="AM392" s="243">
        <v>10</v>
      </c>
      <c r="AN392" s="272"/>
      <c r="AO392" s="72"/>
      <c r="AP392" s="119" t="s">
        <v>58</v>
      </c>
      <c r="AQ392" s="136">
        <v>5</v>
      </c>
      <c r="AR392" s="161">
        <v>0</v>
      </c>
      <c r="AS392" s="162">
        <v>0</v>
      </c>
      <c r="AT392" s="163">
        <v>5</v>
      </c>
      <c r="AU392" s="272"/>
      <c r="AV392" s="272"/>
      <c r="AW392" s="272"/>
      <c r="AX392" s="117" t="s">
        <v>134</v>
      </c>
    </row>
    <row r="393" spans="1:50" s="77" customFormat="1" ht="54" x14ac:dyDescent="0.25">
      <c r="A393" s="310"/>
      <c r="B393" s="115" t="s">
        <v>224</v>
      </c>
      <c r="C393" s="115" t="s">
        <v>164</v>
      </c>
      <c r="D393" s="117" t="s">
        <v>106</v>
      </c>
      <c r="E393" s="117" t="s">
        <v>48</v>
      </c>
      <c r="F393" s="272"/>
      <c r="G393" s="119" t="s">
        <v>262</v>
      </c>
      <c r="H393" s="272"/>
      <c r="I393" s="239"/>
      <c r="J393" s="231"/>
      <c r="K393" s="225"/>
      <c r="L393" s="227"/>
      <c r="M393" s="233"/>
      <c r="N393" s="278">
        <f t="shared" ref="N393:N456" si="488">SUM(I393:M393)</f>
        <v>0</v>
      </c>
      <c r="O393" s="242"/>
      <c r="P393" s="71"/>
      <c r="Q393" s="272"/>
      <c r="R393" s="272"/>
      <c r="S393" s="276"/>
      <c r="T393" s="251"/>
      <c r="U393" s="272"/>
      <c r="V393" s="239"/>
      <c r="W393" s="231"/>
      <c r="X393" s="225"/>
      <c r="Y393" s="227"/>
      <c r="Z393" s="233"/>
      <c r="AA393" s="278">
        <f t="shared" si="486"/>
        <v>0</v>
      </c>
      <c r="AB393" s="242"/>
      <c r="AC393" s="272"/>
      <c r="AD393" s="239"/>
      <c r="AE393" s="231"/>
      <c r="AF393" s="225"/>
      <c r="AG393" s="227"/>
      <c r="AH393" s="233"/>
      <c r="AI393" s="278">
        <f t="shared" si="487"/>
        <v>0</v>
      </c>
      <c r="AJ393" s="242"/>
      <c r="AK393" s="272"/>
      <c r="AL393" s="272"/>
      <c r="AM393" s="243"/>
      <c r="AN393" s="272"/>
      <c r="AO393" s="72"/>
      <c r="AP393" s="119" t="s">
        <v>127</v>
      </c>
      <c r="AQ393" s="136">
        <v>1</v>
      </c>
      <c r="AR393" s="161">
        <v>0</v>
      </c>
      <c r="AS393" s="162">
        <v>0</v>
      </c>
      <c r="AT393" s="163">
        <v>1</v>
      </c>
      <c r="AU393" s="272"/>
      <c r="AV393" s="272"/>
      <c r="AW393" s="272"/>
      <c r="AX393" s="117" t="s">
        <v>134</v>
      </c>
    </row>
    <row r="394" spans="1:50" s="77" customFormat="1" ht="36" x14ac:dyDescent="0.25">
      <c r="A394" s="310"/>
      <c r="B394" s="115" t="s">
        <v>224</v>
      </c>
      <c r="C394" s="115" t="s">
        <v>164</v>
      </c>
      <c r="D394" s="117" t="s">
        <v>106</v>
      </c>
      <c r="E394" s="117" t="s">
        <v>48</v>
      </c>
      <c r="F394" s="142" t="s">
        <v>61</v>
      </c>
      <c r="G394" s="155"/>
      <c r="H394" s="153">
        <f t="shared" ref="H394:O394" si="489">SUM(H384:H393)</f>
        <v>130</v>
      </c>
      <c r="I394" s="153">
        <f t="shared" si="489"/>
        <v>10</v>
      </c>
      <c r="J394" s="153">
        <f t="shared" si="489"/>
        <v>15</v>
      </c>
      <c r="K394" s="153">
        <f t="shared" si="489"/>
        <v>13</v>
      </c>
      <c r="L394" s="153">
        <f t="shared" si="489"/>
        <v>4</v>
      </c>
      <c r="M394" s="153">
        <f t="shared" si="489"/>
        <v>9</v>
      </c>
      <c r="N394" s="153">
        <f t="shared" si="488"/>
        <v>51</v>
      </c>
      <c r="O394" s="153">
        <f t="shared" si="489"/>
        <v>59</v>
      </c>
      <c r="P394" s="153"/>
      <c r="Q394" s="156"/>
      <c r="R394" s="129"/>
      <c r="S394" s="157"/>
      <c r="T394" s="158"/>
      <c r="U394" s="153">
        <f t="shared" ref="U394:AJ394" si="490">SUM(U384:U393)</f>
        <v>240</v>
      </c>
      <c r="V394" s="153">
        <f t="shared" si="490"/>
        <v>10</v>
      </c>
      <c r="W394" s="153">
        <f t="shared" si="490"/>
        <v>5</v>
      </c>
      <c r="X394" s="153">
        <f t="shared" si="490"/>
        <v>7</v>
      </c>
      <c r="Y394" s="153">
        <f t="shared" si="490"/>
        <v>4</v>
      </c>
      <c r="Z394" s="153">
        <f t="shared" si="490"/>
        <v>6</v>
      </c>
      <c r="AA394" s="153">
        <f t="shared" si="486"/>
        <v>32</v>
      </c>
      <c r="AB394" s="153">
        <f t="shared" si="490"/>
        <v>210</v>
      </c>
      <c r="AC394" s="153">
        <f t="shared" si="490"/>
        <v>35</v>
      </c>
      <c r="AD394" s="153">
        <f t="shared" si="490"/>
        <v>0</v>
      </c>
      <c r="AE394" s="153">
        <f t="shared" si="490"/>
        <v>0</v>
      </c>
      <c r="AF394" s="153">
        <f t="shared" si="490"/>
        <v>0</v>
      </c>
      <c r="AG394" s="153">
        <f t="shared" ref="AG394" si="491">SUM(AG384:AG393)</f>
        <v>0</v>
      </c>
      <c r="AH394" s="153">
        <f t="shared" si="490"/>
        <v>0</v>
      </c>
      <c r="AI394" s="153">
        <f t="shared" si="487"/>
        <v>0</v>
      </c>
      <c r="AJ394" s="153">
        <f t="shared" si="490"/>
        <v>35</v>
      </c>
      <c r="AK394" s="156"/>
      <c r="AL394" s="156"/>
      <c r="AM394" s="156">
        <f>SUM(AM384:AM393)</f>
        <v>35</v>
      </c>
      <c r="AN394" s="156"/>
      <c r="AO394" s="156"/>
      <c r="AP394" s="155"/>
      <c r="AQ394" s="153">
        <f>SUM(AQ384:AQ393)</f>
        <v>48</v>
      </c>
      <c r="AR394" s="153">
        <f>SUM(AR384:AR393)</f>
        <v>0</v>
      </c>
      <c r="AS394" s="153">
        <f>SUM(AS384:AS393)</f>
        <v>0</v>
      </c>
      <c r="AT394" s="153">
        <f>SUM(AT384:AT393)</f>
        <v>48</v>
      </c>
      <c r="AU394" s="129"/>
      <c r="AV394" s="156"/>
      <c r="AW394" s="155"/>
      <c r="AX394" s="155" t="s">
        <v>134</v>
      </c>
    </row>
    <row r="395" spans="1:50" s="77" customFormat="1" ht="72" x14ac:dyDescent="0.25">
      <c r="A395" s="310"/>
      <c r="B395" s="115" t="s">
        <v>224</v>
      </c>
      <c r="C395" s="115" t="s">
        <v>162</v>
      </c>
      <c r="D395" s="117" t="s">
        <v>89</v>
      </c>
      <c r="E395" s="117" t="s">
        <v>75</v>
      </c>
      <c r="F395" s="267"/>
      <c r="G395" s="119" t="s">
        <v>237</v>
      </c>
      <c r="H395" s="136">
        <v>5</v>
      </c>
      <c r="I395" s="238">
        <v>0</v>
      </c>
      <c r="J395" s="230">
        <v>0</v>
      </c>
      <c r="K395" s="224">
        <v>0</v>
      </c>
      <c r="L395" s="226">
        <v>0</v>
      </c>
      <c r="M395" s="232">
        <v>0</v>
      </c>
      <c r="N395" s="133">
        <f t="shared" si="488"/>
        <v>0</v>
      </c>
      <c r="O395" s="71">
        <v>5</v>
      </c>
      <c r="P395" s="71"/>
      <c r="Q395" s="136"/>
      <c r="R395" s="119" t="s">
        <v>51</v>
      </c>
      <c r="S395" s="120" t="s">
        <v>163</v>
      </c>
      <c r="T395" s="119" t="s">
        <v>77</v>
      </c>
      <c r="U395" s="136">
        <v>5</v>
      </c>
      <c r="V395" s="238">
        <v>0</v>
      </c>
      <c r="W395" s="230">
        <v>0</v>
      </c>
      <c r="X395" s="224">
        <v>0</v>
      </c>
      <c r="Y395" s="226">
        <v>0</v>
      </c>
      <c r="Z395" s="232">
        <v>0</v>
      </c>
      <c r="AA395" s="133">
        <f t="shared" si="486"/>
        <v>0</v>
      </c>
      <c r="AB395" s="71">
        <v>5</v>
      </c>
      <c r="AC395" s="136">
        <v>0</v>
      </c>
      <c r="AD395" s="238">
        <v>0</v>
      </c>
      <c r="AE395" s="230">
        <v>0</v>
      </c>
      <c r="AF395" s="224">
        <v>0</v>
      </c>
      <c r="AG395" s="226">
        <v>0</v>
      </c>
      <c r="AH395" s="232">
        <v>0</v>
      </c>
      <c r="AI395" s="133">
        <f t="shared" si="487"/>
        <v>0</v>
      </c>
      <c r="AJ395" s="71">
        <v>0</v>
      </c>
      <c r="AK395" s="136"/>
      <c r="AL395" s="136"/>
      <c r="AM395" s="72"/>
      <c r="AN395" s="136"/>
      <c r="AO395" s="72"/>
      <c r="AP395" s="119"/>
      <c r="AQ395" s="136">
        <v>0</v>
      </c>
      <c r="AR395" s="161">
        <v>0</v>
      </c>
      <c r="AS395" s="162">
        <v>0</v>
      </c>
      <c r="AT395" s="163">
        <v>0</v>
      </c>
      <c r="AU395" s="119"/>
      <c r="AV395" s="136"/>
      <c r="AW395" s="119"/>
      <c r="AX395" s="117" t="s">
        <v>87</v>
      </c>
    </row>
    <row r="396" spans="1:50" s="77" customFormat="1" ht="72" x14ac:dyDescent="0.25">
      <c r="A396" s="310"/>
      <c r="B396" s="115" t="s">
        <v>224</v>
      </c>
      <c r="C396" s="115" t="s">
        <v>162</v>
      </c>
      <c r="D396" s="117" t="s">
        <v>89</v>
      </c>
      <c r="E396" s="117" t="s">
        <v>75</v>
      </c>
      <c r="F396" s="268"/>
      <c r="G396" s="119" t="s">
        <v>227</v>
      </c>
      <c r="H396" s="136">
        <v>15</v>
      </c>
      <c r="I396" s="239"/>
      <c r="J396" s="231"/>
      <c r="K396" s="225"/>
      <c r="L396" s="227"/>
      <c r="M396" s="233"/>
      <c r="N396" s="133">
        <f t="shared" si="488"/>
        <v>0</v>
      </c>
      <c r="O396" s="71">
        <v>15</v>
      </c>
      <c r="P396" s="71"/>
      <c r="Q396" s="136"/>
      <c r="R396" s="119" t="s">
        <v>51</v>
      </c>
      <c r="S396" s="120" t="s">
        <v>163</v>
      </c>
      <c r="T396" s="119" t="s">
        <v>77</v>
      </c>
      <c r="U396" s="136">
        <v>15</v>
      </c>
      <c r="V396" s="239"/>
      <c r="W396" s="231"/>
      <c r="X396" s="225"/>
      <c r="Y396" s="227"/>
      <c r="Z396" s="233"/>
      <c r="AA396" s="133">
        <f t="shared" si="486"/>
        <v>0</v>
      </c>
      <c r="AB396" s="71">
        <v>15</v>
      </c>
      <c r="AC396" s="136">
        <v>5</v>
      </c>
      <c r="AD396" s="239"/>
      <c r="AE396" s="231"/>
      <c r="AF396" s="225"/>
      <c r="AG396" s="227"/>
      <c r="AH396" s="233"/>
      <c r="AI396" s="133">
        <f t="shared" si="487"/>
        <v>0</v>
      </c>
      <c r="AJ396" s="71">
        <v>5</v>
      </c>
      <c r="AK396" s="136"/>
      <c r="AL396" s="136"/>
      <c r="AM396" s="72"/>
      <c r="AN396" s="136"/>
      <c r="AO396" s="72"/>
      <c r="AP396" s="119" t="s">
        <v>343</v>
      </c>
      <c r="AQ396" s="136">
        <v>5</v>
      </c>
      <c r="AR396" s="161">
        <v>0</v>
      </c>
      <c r="AS396" s="162">
        <v>0</v>
      </c>
      <c r="AT396" s="163">
        <v>5</v>
      </c>
      <c r="AU396" s="119"/>
      <c r="AV396" s="136"/>
      <c r="AW396" s="119" t="s">
        <v>248</v>
      </c>
      <c r="AX396" s="117" t="s">
        <v>87</v>
      </c>
    </row>
    <row r="397" spans="1:50" s="77" customFormat="1" ht="72" x14ac:dyDescent="0.25">
      <c r="A397" s="310"/>
      <c r="B397" s="115" t="s">
        <v>224</v>
      </c>
      <c r="C397" s="115" t="s">
        <v>162</v>
      </c>
      <c r="D397" s="117" t="s">
        <v>89</v>
      </c>
      <c r="E397" s="117" t="s">
        <v>75</v>
      </c>
      <c r="F397" s="268"/>
      <c r="G397" s="119" t="s">
        <v>228</v>
      </c>
      <c r="H397" s="136">
        <v>15</v>
      </c>
      <c r="I397" s="197">
        <v>0</v>
      </c>
      <c r="J397" s="90">
        <v>15</v>
      </c>
      <c r="K397" s="91">
        <v>0</v>
      </c>
      <c r="L397" s="92">
        <v>0</v>
      </c>
      <c r="M397" s="81">
        <v>0</v>
      </c>
      <c r="N397" s="133">
        <f t="shared" si="488"/>
        <v>15</v>
      </c>
      <c r="O397" s="71">
        <v>15</v>
      </c>
      <c r="P397" s="71"/>
      <c r="Q397" s="136"/>
      <c r="R397" s="119" t="s">
        <v>51</v>
      </c>
      <c r="S397" s="120" t="s">
        <v>163</v>
      </c>
      <c r="T397" s="119" t="s">
        <v>77</v>
      </c>
      <c r="U397" s="136">
        <v>15</v>
      </c>
      <c r="V397" s="197">
        <v>0</v>
      </c>
      <c r="W397" s="90">
        <v>15</v>
      </c>
      <c r="X397" s="91">
        <v>0</v>
      </c>
      <c r="Y397" s="92">
        <v>0</v>
      </c>
      <c r="Z397" s="81">
        <v>0</v>
      </c>
      <c r="AA397" s="133">
        <f t="shared" si="486"/>
        <v>15</v>
      </c>
      <c r="AB397" s="71">
        <v>15</v>
      </c>
      <c r="AC397" s="136">
        <v>0</v>
      </c>
      <c r="AD397" s="238">
        <v>0</v>
      </c>
      <c r="AE397" s="230">
        <v>0</v>
      </c>
      <c r="AF397" s="224">
        <v>0</v>
      </c>
      <c r="AG397" s="226">
        <v>0</v>
      </c>
      <c r="AH397" s="232">
        <v>0</v>
      </c>
      <c r="AI397" s="133">
        <f t="shared" si="487"/>
        <v>0</v>
      </c>
      <c r="AJ397" s="71">
        <v>0</v>
      </c>
      <c r="AK397" s="136"/>
      <c r="AL397" s="136"/>
      <c r="AM397" s="72"/>
      <c r="AN397" s="136"/>
      <c r="AO397" s="72"/>
      <c r="AP397" s="119"/>
      <c r="AQ397" s="136">
        <v>0</v>
      </c>
      <c r="AR397" s="161">
        <v>0</v>
      </c>
      <c r="AS397" s="162">
        <v>0</v>
      </c>
      <c r="AT397" s="163">
        <v>0</v>
      </c>
      <c r="AU397" s="119"/>
      <c r="AV397" s="136"/>
      <c r="AW397" s="119"/>
      <c r="AX397" s="117" t="s">
        <v>87</v>
      </c>
    </row>
    <row r="398" spans="1:50" s="77" customFormat="1" ht="72" x14ac:dyDescent="0.25">
      <c r="A398" s="310"/>
      <c r="B398" s="115" t="s">
        <v>224</v>
      </c>
      <c r="C398" s="115" t="s">
        <v>162</v>
      </c>
      <c r="D398" s="117" t="s">
        <v>89</v>
      </c>
      <c r="E398" s="117" t="s">
        <v>75</v>
      </c>
      <c r="F398" s="268"/>
      <c r="G398" s="119" t="s">
        <v>260</v>
      </c>
      <c r="H398" s="136">
        <v>5</v>
      </c>
      <c r="I398" s="197">
        <v>0</v>
      </c>
      <c r="J398" s="90">
        <v>0</v>
      </c>
      <c r="K398" s="91">
        <v>0</v>
      </c>
      <c r="L398" s="92">
        <v>0</v>
      </c>
      <c r="M398" s="81">
        <v>0</v>
      </c>
      <c r="N398" s="133">
        <f t="shared" si="488"/>
        <v>0</v>
      </c>
      <c r="O398" s="71">
        <v>5</v>
      </c>
      <c r="P398" s="71"/>
      <c r="Q398" s="136"/>
      <c r="R398" s="119" t="s">
        <v>51</v>
      </c>
      <c r="S398" s="120" t="s">
        <v>163</v>
      </c>
      <c r="T398" s="119" t="s">
        <v>77</v>
      </c>
      <c r="U398" s="136">
        <v>5</v>
      </c>
      <c r="V398" s="197">
        <v>0</v>
      </c>
      <c r="W398" s="90">
        <v>0</v>
      </c>
      <c r="X398" s="91">
        <v>0</v>
      </c>
      <c r="Y398" s="92">
        <v>0</v>
      </c>
      <c r="Z398" s="81">
        <v>0</v>
      </c>
      <c r="AA398" s="133">
        <f t="shared" si="486"/>
        <v>0</v>
      </c>
      <c r="AB398" s="71">
        <v>5</v>
      </c>
      <c r="AC398" s="136">
        <v>0</v>
      </c>
      <c r="AD398" s="239"/>
      <c r="AE398" s="231"/>
      <c r="AF398" s="225"/>
      <c r="AG398" s="227"/>
      <c r="AH398" s="233"/>
      <c r="AI398" s="133">
        <f t="shared" si="487"/>
        <v>0</v>
      </c>
      <c r="AJ398" s="71">
        <v>0</v>
      </c>
      <c r="AK398" s="136"/>
      <c r="AL398" s="136"/>
      <c r="AM398" s="72"/>
      <c r="AN398" s="136"/>
      <c r="AO398" s="72"/>
      <c r="AP398" s="119"/>
      <c r="AQ398" s="136">
        <v>0</v>
      </c>
      <c r="AR398" s="161">
        <v>0</v>
      </c>
      <c r="AS398" s="162">
        <v>0</v>
      </c>
      <c r="AT398" s="163">
        <v>0</v>
      </c>
      <c r="AU398" s="119"/>
      <c r="AV398" s="136"/>
      <c r="AW398" s="119"/>
      <c r="AX398" s="117" t="s">
        <v>87</v>
      </c>
    </row>
    <row r="399" spans="1:50" s="77" customFormat="1" ht="72" x14ac:dyDescent="0.25">
      <c r="A399" s="310"/>
      <c r="B399" s="115" t="s">
        <v>224</v>
      </c>
      <c r="C399" s="115" t="s">
        <v>162</v>
      </c>
      <c r="D399" s="117" t="s">
        <v>89</v>
      </c>
      <c r="E399" s="117" t="s">
        <v>75</v>
      </c>
      <c r="F399" s="269"/>
      <c r="G399" s="119" t="s">
        <v>262</v>
      </c>
      <c r="H399" s="136">
        <v>5</v>
      </c>
      <c r="I399" s="199">
        <v>0</v>
      </c>
      <c r="J399" s="103">
        <v>0</v>
      </c>
      <c r="K399" s="104">
        <v>0</v>
      </c>
      <c r="L399" s="105">
        <v>0</v>
      </c>
      <c r="M399" s="106">
        <v>0</v>
      </c>
      <c r="N399" s="133">
        <f t="shared" si="488"/>
        <v>0</v>
      </c>
      <c r="O399" s="71">
        <v>5</v>
      </c>
      <c r="P399" s="71"/>
      <c r="Q399" s="136"/>
      <c r="R399" s="119" t="s">
        <v>51</v>
      </c>
      <c r="S399" s="120" t="s">
        <v>163</v>
      </c>
      <c r="T399" s="119" t="s">
        <v>77</v>
      </c>
      <c r="U399" s="136">
        <v>5</v>
      </c>
      <c r="V399" s="199">
        <v>0</v>
      </c>
      <c r="W399" s="103">
        <v>0</v>
      </c>
      <c r="X399" s="104">
        <v>0</v>
      </c>
      <c r="Y399" s="105">
        <v>0</v>
      </c>
      <c r="Z399" s="106">
        <v>0</v>
      </c>
      <c r="AA399" s="133">
        <f t="shared" si="486"/>
        <v>0</v>
      </c>
      <c r="AB399" s="71">
        <v>5</v>
      </c>
      <c r="AC399" s="136">
        <v>0</v>
      </c>
      <c r="AD399" s="199">
        <v>0</v>
      </c>
      <c r="AE399" s="103">
        <v>0</v>
      </c>
      <c r="AF399" s="104">
        <v>0</v>
      </c>
      <c r="AG399" s="105">
        <v>0</v>
      </c>
      <c r="AH399" s="106">
        <v>0</v>
      </c>
      <c r="AI399" s="133">
        <f t="shared" si="487"/>
        <v>0</v>
      </c>
      <c r="AJ399" s="71">
        <v>0</v>
      </c>
      <c r="AK399" s="136"/>
      <c r="AL399" s="136"/>
      <c r="AM399" s="72"/>
      <c r="AN399" s="136"/>
      <c r="AO399" s="72"/>
      <c r="AP399" s="119"/>
      <c r="AQ399" s="136">
        <v>0</v>
      </c>
      <c r="AR399" s="161">
        <v>0</v>
      </c>
      <c r="AS399" s="162">
        <v>0</v>
      </c>
      <c r="AT399" s="163">
        <v>0</v>
      </c>
      <c r="AU399" s="119"/>
      <c r="AV399" s="136"/>
      <c r="AW399" s="119"/>
      <c r="AX399" s="117" t="s">
        <v>87</v>
      </c>
    </row>
    <row r="400" spans="1:50" s="77" customFormat="1" ht="54" x14ac:dyDescent="0.25">
      <c r="A400" s="310"/>
      <c r="B400" s="115" t="s">
        <v>224</v>
      </c>
      <c r="C400" s="115" t="s">
        <v>162</v>
      </c>
      <c r="D400" s="117" t="s">
        <v>89</v>
      </c>
      <c r="E400" s="117" t="s">
        <v>75</v>
      </c>
      <c r="F400" s="142" t="s">
        <v>61</v>
      </c>
      <c r="G400" s="155"/>
      <c r="H400" s="153">
        <f>SUBTOTAL(9,H395:H399)</f>
        <v>45</v>
      </c>
      <c r="I400" s="153">
        <f t="shared" ref="I400" si="492">SUBTOTAL(9,I395:I399)</f>
        <v>0</v>
      </c>
      <c r="J400" s="153">
        <f t="shared" ref="J400:O400" si="493">SUBTOTAL(9,J395:J399)</f>
        <v>15</v>
      </c>
      <c r="K400" s="153">
        <f t="shared" si="493"/>
        <v>0</v>
      </c>
      <c r="L400" s="153">
        <f t="shared" si="493"/>
        <v>0</v>
      </c>
      <c r="M400" s="153">
        <f t="shared" si="493"/>
        <v>0</v>
      </c>
      <c r="N400" s="153">
        <f t="shared" si="488"/>
        <v>15</v>
      </c>
      <c r="O400" s="153">
        <f t="shared" si="493"/>
        <v>45</v>
      </c>
      <c r="P400" s="153"/>
      <c r="Q400" s="156"/>
      <c r="R400" s="129"/>
      <c r="S400" s="157"/>
      <c r="T400" s="158"/>
      <c r="U400" s="153">
        <f>SUBTOTAL(9,U395:U399)</f>
        <v>45</v>
      </c>
      <c r="V400" s="153">
        <f t="shared" ref="V400" si="494">SUBTOTAL(9,V395:V399)</f>
        <v>0</v>
      </c>
      <c r="W400" s="153">
        <f t="shared" ref="W400:AJ400" si="495">SUBTOTAL(9,W395:W399)</f>
        <v>15</v>
      </c>
      <c r="X400" s="153">
        <f t="shared" si="495"/>
        <v>0</v>
      </c>
      <c r="Y400" s="153">
        <f t="shared" si="495"/>
        <v>0</v>
      </c>
      <c r="Z400" s="153">
        <f t="shared" si="495"/>
        <v>0</v>
      </c>
      <c r="AA400" s="153">
        <f t="shared" si="486"/>
        <v>15</v>
      </c>
      <c r="AB400" s="153">
        <f t="shared" si="495"/>
        <v>45</v>
      </c>
      <c r="AC400" s="153">
        <f t="shared" si="495"/>
        <v>5</v>
      </c>
      <c r="AD400" s="153">
        <f t="shared" si="495"/>
        <v>0</v>
      </c>
      <c r="AE400" s="153">
        <f t="shared" si="495"/>
        <v>0</v>
      </c>
      <c r="AF400" s="153">
        <f t="shared" si="495"/>
        <v>0</v>
      </c>
      <c r="AG400" s="153">
        <f t="shared" ref="AG400" si="496">SUBTOTAL(9,AG395:AG399)</f>
        <v>0</v>
      </c>
      <c r="AH400" s="153">
        <f t="shared" si="495"/>
        <v>0</v>
      </c>
      <c r="AI400" s="153">
        <f t="shared" si="487"/>
        <v>0</v>
      </c>
      <c r="AJ400" s="153">
        <f t="shared" si="495"/>
        <v>5</v>
      </c>
      <c r="AK400" s="156"/>
      <c r="AL400" s="156"/>
      <c r="AM400" s="156"/>
      <c r="AN400" s="156"/>
      <c r="AO400" s="156"/>
      <c r="AP400" s="155"/>
      <c r="AQ400" s="153">
        <f>SUBTOTAL(9,AQ395:AQ399)</f>
        <v>5</v>
      </c>
      <c r="AR400" s="153">
        <f t="shared" ref="AR400:AT400" si="497">SUBTOTAL(9,AR395:AR399)</f>
        <v>0</v>
      </c>
      <c r="AS400" s="153">
        <f t="shared" si="497"/>
        <v>0</v>
      </c>
      <c r="AT400" s="153">
        <f t="shared" si="497"/>
        <v>5</v>
      </c>
      <c r="AU400" s="129"/>
      <c r="AV400" s="156"/>
      <c r="AW400" s="155"/>
      <c r="AX400" s="155" t="s">
        <v>87</v>
      </c>
    </row>
    <row r="401" spans="1:50" s="77" customFormat="1" ht="72" x14ac:dyDescent="0.25">
      <c r="A401" s="310"/>
      <c r="B401" s="115" t="s">
        <v>224</v>
      </c>
      <c r="C401" s="115" t="s">
        <v>344</v>
      </c>
      <c r="D401" s="117" t="s">
        <v>106</v>
      </c>
      <c r="E401" s="117" t="s">
        <v>75</v>
      </c>
      <c r="F401" s="267"/>
      <c r="G401" s="119" t="s">
        <v>237</v>
      </c>
      <c r="H401" s="136">
        <v>5</v>
      </c>
      <c r="I401" s="199">
        <v>0</v>
      </c>
      <c r="J401" s="103">
        <v>0</v>
      </c>
      <c r="K401" s="104">
        <v>0</v>
      </c>
      <c r="L401" s="105">
        <v>0</v>
      </c>
      <c r="M401" s="106">
        <v>0</v>
      </c>
      <c r="N401" s="133">
        <f t="shared" si="488"/>
        <v>0</v>
      </c>
      <c r="O401" s="71">
        <v>5</v>
      </c>
      <c r="P401" s="71"/>
      <c r="Q401" s="136"/>
      <c r="R401" s="119" t="s">
        <v>51</v>
      </c>
      <c r="S401" s="120" t="s">
        <v>345</v>
      </c>
      <c r="T401" s="119" t="s">
        <v>77</v>
      </c>
      <c r="U401" s="136">
        <v>5</v>
      </c>
      <c r="V401" s="199">
        <v>0</v>
      </c>
      <c r="W401" s="103">
        <v>0</v>
      </c>
      <c r="X401" s="104">
        <v>0</v>
      </c>
      <c r="Y401" s="105">
        <v>0</v>
      </c>
      <c r="Z401" s="106">
        <v>0</v>
      </c>
      <c r="AA401" s="133">
        <f t="shared" si="486"/>
        <v>0</v>
      </c>
      <c r="AB401" s="71">
        <v>5</v>
      </c>
      <c r="AC401" s="136">
        <v>0</v>
      </c>
      <c r="AD401" s="199">
        <v>0</v>
      </c>
      <c r="AE401" s="103">
        <v>0</v>
      </c>
      <c r="AF401" s="104">
        <v>0</v>
      </c>
      <c r="AG401" s="105">
        <v>0</v>
      </c>
      <c r="AH401" s="106">
        <v>0</v>
      </c>
      <c r="AI401" s="133">
        <f t="shared" si="487"/>
        <v>0</v>
      </c>
      <c r="AJ401" s="71">
        <v>0</v>
      </c>
      <c r="AK401" s="136"/>
      <c r="AL401" s="136"/>
      <c r="AM401" s="72"/>
      <c r="AN401" s="136"/>
      <c r="AO401" s="72"/>
      <c r="AP401" s="119"/>
      <c r="AQ401" s="136">
        <v>0</v>
      </c>
      <c r="AR401" s="161">
        <v>0</v>
      </c>
      <c r="AS401" s="162">
        <v>0</v>
      </c>
      <c r="AT401" s="163">
        <v>0</v>
      </c>
      <c r="AU401" s="119"/>
      <c r="AV401" s="136"/>
      <c r="AW401" s="119"/>
      <c r="AX401" s="117" t="s">
        <v>126</v>
      </c>
    </row>
    <row r="402" spans="1:50" s="77" customFormat="1" ht="72" x14ac:dyDescent="0.25">
      <c r="A402" s="310"/>
      <c r="B402" s="115" t="s">
        <v>224</v>
      </c>
      <c r="C402" s="115" t="s">
        <v>344</v>
      </c>
      <c r="D402" s="117" t="s">
        <v>106</v>
      </c>
      <c r="E402" s="117" t="s">
        <v>75</v>
      </c>
      <c r="F402" s="268"/>
      <c r="G402" s="119" t="s">
        <v>228</v>
      </c>
      <c r="H402" s="136">
        <v>5</v>
      </c>
      <c r="I402" s="199">
        <v>0</v>
      </c>
      <c r="J402" s="103">
        <v>0</v>
      </c>
      <c r="K402" s="104">
        <v>0</v>
      </c>
      <c r="L402" s="105">
        <v>0</v>
      </c>
      <c r="M402" s="106">
        <v>0</v>
      </c>
      <c r="N402" s="133">
        <f t="shared" si="488"/>
        <v>0</v>
      </c>
      <c r="O402" s="71">
        <v>5</v>
      </c>
      <c r="P402" s="71"/>
      <c r="Q402" s="136"/>
      <c r="R402" s="119" t="s">
        <v>51</v>
      </c>
      <c r="S402" s="120" t="s">
        <v>345</v>
      </c>
      <c r="T402" s="119" t="s">
        <v>77</v>
      </c>
      <c r="U402" s="136">
        <v>5</v>
      </c>
      <c r="V402" s="199">
        <v>0</v>
      </c>
      <c r="W402" s="103">
        <v>0</v>
      </c>
      <c r="X402" s="104">
        <v>0</v>
      </c>
      <c r="Y402" s="105">
        <v>0</v>
      </c>
      <c r="Z402" s="106">
        <v>0</v>
      </c>
      <c r="AA402" s="133">
        <f t="shared" si="486"/>
        <v>0</v>
      </c>
      <c r="AB402" s="71">
        <v>5</v>
      </c>
      <c r="AC402" s="136">
        <v>0</v>
      </c>
      <c r="AD402" s="199">
        <v>0</v>
      </c>
      <c r="AE402" s="103">
        <v>0</v>
      </c>
      <c r="AF402" s="104">
        <v>0</v>
      </c>
      <c r="AG402" s="105">
        <v>0</v>
      </c>
      <c r="AH402" s="106">
        <v>0</v>
      </c>
      <c r="AI402" s="133">
        <f t="shared" si="487"/>
        <v>0</v>
      </c>
      <c r="AJ402" s="71">
        <v>0</v>
      </c>
      <c r="AK402" s="136"/>
      <c r="AL402" s="136"/>
      <c r="AM402" s="72"/>
      <c r="AN402" s="136"/>
      <c r="AO402" s="72"/>
      <c r="AP402" s="119"/>
      <c r="AQ402" s="136">
        <v>0</v>
      </c>
      <c r="AR402" s="161">
        <v>0</v>
      </c>
      <c r="AS402" s="162">
        <v>0</v>
      </c>
      <c r="AT402" s="163">
        <v>0</v>
      </c>
      <c r="AU402" s="119"/>
      <c r="AV402" s="136"/>
      <c r="AW402" s="119"/>
      <c r="AX402" s="117" t="s">
        <v>126</v>
      </c>
    </row>
    <row r="403" spans="1:50" s="77" customFormat="1" ht="72" x14ac:dyDescent="0.25">
      <c r="A403" s="310"/>
      <c r="B403" s="115" t="s">
        <v>224</v>
      </c>
      <c r="C403" s="115" t="s">
        <v>344</v>
      </c>
      <c r="D403" s="117" t="s">
        <v>106</v>
      </c>
      <c r="E403" s="117" t="s">
        <v>75</v>
      </c>
      <c r="F403" s="268"/>
      <c r="G403" s="119" t="s">
        <v>260</v>
      </c>
      <c r="H403" s="136">
        <v>5</v>
      </c>
      <c r="I403" s="199">
        <v>0</v>
      </c>
      <c r="J403" s="103">
        <v>0</v>
      </c>
      <c r="K403" s="104">
        <v>0</v>
      </c>
      <c r="L403" s="105">
        <v>0</v>
      </c>
      <c r="M403" s="106">
        <v>0</v>
      </c>
      <c r="N403" s="133">
        <f t="shared" si="488"/>
        <v>0</v>
      </c>
      <c r="O403" s="71">
        <v>5</v>
      </c>
      <c r="P403" s="71"/>
      <c r="Q403" s="136"/>
      <c r="R403" s="119" t="s">
        <v>51</v>
      </c>
      <c r="S403" s="120" t="s">
        <v>345</v>
      </c>
      <c r="T403" s="119" t="s">
        <v>77</v>
      </c>
      <c r="U403" s="136">
        <v>5</v>
      </c>
      <c r="V403" s="199">
        <v>0</v>
      </c>
      <c r="W403" s="103">
        <v>0</v>
      </c>
      <c r="X403" s="104">
        <v>0</v>
      </c>
      <c r="Y403" s="105">
        <v>0</v>
      </c>
      <c r="Z403" s="106">
        <v>0</v>
      </c>
      <c r="AA403" s="133">
        <f t="shared" si="486"/>
        <v>0</v>
      </c>
      <c r="AB403" s="71">
        <v>5</v>
      </c>
      <c r="AC403" s="136">
        <v>0</v>
      </c>
      <c r="AD403" s="199">
        <v>0</v>
      </c>
      <c r="AE403" s="103">
        <v>0</v>
      </c>
      <c r="AF403" s="104">
        <v>0</v>
      </c>
      <c r="AG403" s="105">
        <v>0</v>
      </c>
      <c r="AH403" s="106">
        <v>0</v>
      </c>
      <c r="AI403" s="133">
        <f t="shared" si="487"/>
        <v>0</v>
      </c>
      <c r="AJ403" s="71">
        <v>0</v>
      </c>
      <c r="AK403" s="136"/>
      <c r="AL403" s="136"/>
      <c r="AM403" s="72"/>
      <c r="AN403" s="136"/>
      <c r="AO403" s="72"/>
      <c r="AP403" s="119"/>
      <c r="AQ403" s="136">
        <v>0</v>
      </c>
      <c r="AR403" s="161">
        <v>0</v>
      </c>
      <c r="AS403" s="162">
        <v>0</v>
      </c>
      <c r="AT403" s="163">
        <v>0</v>
      </c>
      <c r="AU403" s="119"/>
      <c r="AV403" s="136"/>
      <c r="AW403" s="119"/>
      <c r="AX403" s="117" t="s">
        <v>126</v>
      </c>
    </row>
    <row r="404" spans="1:50" s="77" customFormat="1" ht="72" x14ac:dyDescent="0.25">
      <c r="A404" s="310"/>
      <c r="B404" s="115" t="s">
        <v>224</v>
      </c>
      <c r="C404" s="115" t="s">
        <v>344</v>
      </c>
      <c r="D404" s="117" t="s">
        <v>106</v>
      </c>
      <c r="E404" s="117" t="s">
        <v>75</v>
      </c>
      <c r="F404" s="269"/>
      <c r="G404" s="119" t="s">
        <v>290</v>
      </c>
      <c r="H404" s="136">
        <v>5</v>
      </c>
      <c r="I404" s="199">
        <v>0</v>
      </c>
      <c r="J404" s="103">
        <v>0</v>
      </c>
      <c r="K404" s="104">
        <v>0</v>
      </c>
      <c r="L404" s="105">
        <v>0</v>
      </c>
      <c r="M404" s="106">
        <v>0</v>
      </c>
      <c r="N404" s="133">
        <f t="shared" si="488"/>
        <v>0</v>
      </c>
      <c r="O404" s="71">
        <v>5</v>
      </c>
      <c r="P404" s="71"/>
      <c r="Q404" s="136"/>
      <c r="R404" s="119" t="s">
        <v>51</v>
      </c>
      <c r="S404" s="120" t="s">
        <v>345</v>
      </c>
      <c r="T404" s="119" t="s">
        <v>77</v>
      </c>
      <c r="U404" s="136">
        <v>5</v>
      </c>
      <c r="V404" s="199">
        <v>0</v>
      </c>
      <c r="W404" s="103">
        <v>0</v>
      </c>
      <c r="X404" s="104">
        <v>0</v>
      </c>
      <c r="Y404" s="105">
        <v>0</v>
      </c>
      <c r="Z404" s="106">
        <v>0</v>
      </c>
      <c r="AA404" s="133">
        <f t="shared" si="486"/>
        <v>0</v>
      </c>
      <c r="AB404" s="71">
        <v>5</v>
      </c>
      <c r="AC404" s="136">
        <v>0</v>
      </c>
      <c r="AD404" s="199">
        <v>0</v>
      </c>
      <c r="AE404" s="103">
        <v>0</v>
      </c>
      <c r="AF404" s="104">
        <v>0</v>
      </c>
      <c r="AG404" s="105">
        <v>0</v>
      </c>
      <c r="AH404" s="106">
        <v>0</v>
      </c>
      <c r="AI404" s="133">
        <f t="shared" si="487"/>
        <v>0</v>
      </c>
      <c r="AJ404" s="71">
        <v>0</v>
      </c>
      <c r="AK404" s="136"/>
      <c r="AL404" s="136"/>
      <c r="AM404" s="72"/>
      <c r="AN404" s="136"/>
      <c r="AO404" s="72"/>
      <c r="AP404" s="119"/>
      <c r="AQ404" s="136">
        <v>0</v>
      </c>
      <c r="AR404" s="161">
        <v>0</v>
      </c>
      <c r="AS404" s="162">
        <v>0</v>
      </c>
      <c r="AT404" s="163">
        <v>0</v>
      </c>
      <c r="AU404" s="119"/>
      <c r="AV404" s="136"/>
      <c r="AW404" s="119"/>
      <c r="AX404" s="117" t="s">
        <v>126</v>
      </c>
    </row>
    <row r="405" spans="1:50" s="77" customFormat="1" ht="36" customHeight="1" x14ac:dyDescent="0.25">
      <c r="A405" s="310"/>
      <c r="B405" s="115" t="s">
        <v>224</v>
      </c>
      <c r="C405" s="115" t="s">
        <v>344</v>
      </c>
      <c r="D405" s="117" t="s">
        <v>106</v>
      </c>
      <c r="E405" s="117" t="s">
        <v>75</v>
      </c>
      <c r="F405" s="142" t="s">
        <v>61</v>
      </c>
      <c r="G405" s="155"/>
      <c r="H405" s="153">
        <f>SUBTOTAL(9,H401:H404)</f>
        <v>20</v>
      </c>
      <c r="I405" s="153">
        <f t="shared" ref="I405" si="498">SUBTOTAL(9,I401:I404)</f>
        <v>0</v>
      </c>
      <c r="J405" s="153">
        <f t="shared" ref="J405:O405" si="499">SUBTOTAL(9,J401:J404)</f>
        <v>0</v>
      </c>
      <c r="K405" s="153">
        <f t="shared" si="499"/>
        <v>0</v>
      </c>
      <c r="L405" s="153">
        <f t="shared" si="499"/>
        <v>0</v>
      </c>
      <c r="M405" s="153">
        <f t="shared" si="499"/>
        <v>0</v>
      </c>
      <c r="N405" s="153">
        <f t="shared" si="488"/>
        <v>0</v>
      </c>
      <c r="O405" s="153">
        <f t="shared" si="499"/>
        <v>20</v>
      </c>
      <c r="P405" s="153"/>
      <c r="Q405" s="156"/>
      <c r="R405" s="129"/>
      <c r="S405" s="157"/>
      <c r="T405" s="158"/>
      <c r="U405" s="153">
        <f>SUBTOTAL(9,U401:U404)</f>
        <v>20</v>
      </c>
      <c r="V405" s="153">
        <f t="shared" ref="V405" si="500">SUBTOTAL(9,V401:V404)</f>
        <v>0</v>
      </c>
      <c r="W405" s="153">
        <f t="shared" ref="W405:AJ405" si="501">SUBTOTAL(9,W401:W404)</f>
        <v>0</v>
      </c>
      <c r="X405" s="153">
        <f t="shared" si="501"/>
        <v>0</v>
      </c>
      <c r="Y405" s="153">
        <f t="shared" si="501"/>
        <v>0</v>
      </c>
      <c r="Z405" s="153">
        <f t="shared" si="501"/>
        <v>0</v>
      </c>
      <c r="AA405" s="153">
        <f t="shared" si="486"/>
        <v>0</v>
      </c>
      <c r="AB405" s="153">
        <f t="shared" si="501"/>
        <v>20</v>
      </c>
      <c r="AC405" s="153">
        <f t="shared" si="501"/>
        <v>0</v>
      </c>
      <c r="AD405" s="153">
        <f t="shared" si="501"/>
        <v>0</v>
      </c>
      <c r="AE405" s="153">
        <f t="shared" si="501"/>
        <v>0</v>
      </c>
      <c r="AF405" s="153">
        <f t="shared" si="501"/>
        <v>0</v>
      </c>
      <c r="AG405" s="153">
        <f t="shared" ref="AG405" si="502">SUBTOTAL(9,AG401:AG404)</f>
        <v>0</v>
      </c>
      <c r="AH405" s="153">
        <f t="shared" si="501"/>
        <v>0</v>
      </c>
      <c r="AI405" s="153">
        <f t="shared" si="487"/>
        <v>0</v>
      </c>
      <c r="AJ405" s="153">
        <f t="shared" si="501"/>
        <v>0</v>
      </c>
      <c r="AK405" s="156"/>
      <c r="AL405" s="156"/>
      <c r="AM405" s="156"/>
      <c r="AN405" s="156"/>
      <c r="AO405" s="156"/>
      <c r="AP405" s="155"/>
      <c r="AQ405" s="153">
        <f>SUBTOTAL(9,AQ401:AQ404)</f>
        <v>0</v>
      </c>
      <c r="AR405" s="153">
        <f t="shared" ref="AR405:AT405" si="503">SUBTOTAL(9,AR401:AR404)</f>
        <v>0</v>
      </c>
      <c r="AS405" s="153">
        <f t="shared" si="503"/>
        <v>0</v>
      </c>
      <c r="AT405" s="153">
        <f t="shared" si="503"/>
        <v>0</v>
      </c>
      <c r="AU405" s="129"/>
      <c r="AV405" s="156"/>
      <c r="AW405" s="155"/>
      <c r="AX405" s="155" t="s">
        <v>126</v>
      </c>
    </row>
    <row r="406" spans="1:50" s="77" customFormat="1" ht="168.75" x14ac:dyDescent="0.25">
      <c r="A406" s="310"/>
      <c r="B406" s="115" t="s">
        <v>224</v>
      </c>
      <c r="C406" s="115" t="s">
        <v>74</v>
      </c>
      <c r="D406" s="117" t="s">
        <v>47</v>
      </c>
      <c r="E406" s="117" t="s">
        <v>75</v>
      </c>
      <c r="F406" s="267"/>
      <c r="G406" s="119" t="s">
        <v>231</v>
      </c>
      <c r="H406" s="136">
        <v>80</v>
      </c>
      <c r="I406" s="199">
        <v>0</v>
      </c>
      <c r="J406" s="103">
        <v>0</v>
      </c>
      <c r="K406" s="104">
        <v>0</v>
      </c>
      <c r="L406" s="105">
        <v>0</v>
      </c>
      <c r="M406" s="106">
        <v>0</v>
      </c>
      <c r="N406" s="133">
        <f t="shared" si="488"/>
        <v>0</v>
      </c>
      <c r="O406" s="71">
        <v>80</v>
      </c>
      <c r="P406" s="71"/>
      <c r="Q406" s="136"/>
      <c r="R406" s="119" t="s">
        <v>51</v>
      </c>
      <c r="S406" s="120" t="s">
        <v>346</v>
      </c>
      <c r="T406" s="119" t="s">
        <v>77</v>
      </c>
      <c r="U406" s="136">
        <v>100</v>
      </c>
      <c r="V406" s="199">
        <v>0</v>
      </c>
      <c r="W406" s="103">
        <v>0</v>
      </c>
      <c r="X406" s="104">
        <v>0</v>
      </c>
      <c r="Y406" s="105">
        <v>0</v>
      </c>
      <c r="Z406" s="106">
        <v>0</v>
      </c>
      <c r="AA406" s="133">
        <f t="shared" si="486"/>
        <v>0</v>
      </c>
      <c r="AB406" s="71">
        <v>100</v>
      </c>
      <c r="AC406" s="136">
        <v>15</v>
      </c>
      <c r="AD406" s="199">
        <v>0</v>
      </c>
      <c r="AE406" s="103">
        <v>0</v>
      </c>
      <c r="AF406" s="104">
        <v>0</v>
      </c>
      <c r="AG406" s="105">
        <v>0</v>
      </c>
      <c r="AH406" s="106">
        <v>0</v>
      </c>
      <c r="AI406" s="133">
        <f t="shared" si="487"/>
        <v>0</v>
      </c>
      <c r="AJ406" s="71">
        <v>15</v>
      </c>
      <c r="AK406" s="136"/>
      <c r="AL406" s="136"/>
      <c r="AM406" s="72"/>
      <c r="AN406" s="136"/>
      <c r="AO406" s="72"/>
      <c r="AP406" s="119" t="s">
        <v>247</v>
      </c>
      <c r="AQ406" s="136">
        <v>15</v>
      </c>
      <c r="AR406" s="161">
        <v>0</v>
      </c>
      <c r="AS406" s="162">
        <v>0</v>
      </c>
      <c r="AT406" s="163">
        <v>15</v>
      </c>
      <c r="AU406" s="119"/>
      <c r="AV406" s="136"/>
      <c r="AW406" s="119" t="s">
        <v>347</v>
      </c>
      <c r="AX406" s="117" t="s">
        <v>68</v>
      </c>
    </row>
    <row r="407" spans="1:50" s="77" customFormat="1" ht="168.75" x14ac:dyDescent="0.25">
      <c r="A407" s="310"/>
      <c r="B407" s="115" t="s">
        <v>224</v>
      </c>
      <c r="C407" s="115" t="s">
        <v>74</v>
      </c>
      <c r="D407" s="117" t="s">
        <v>47</v>
      </c>
      <c r="E407" s="117" t="s">
        <v>75</v>
      </c>
      <c r="F407" s="268"/>
      <c r="G407" s="119" t="s">
        <v>227</v>
      </c>
      <c r="H407" s="136">
        <v>10</v>
      </c>
      <c r="I407" s="199">
        <v>0</v>
      </c>
      <c r="J407" s="103">
        <v>0</v>
      </c>
      <c r="K407" s="104">
        <v>0</v>
      </c>
      <c r="L407" s="105">
        <v>0</v>
      </c>
      <c r="M407" s="106">
        <v>0</v>
      </c>
      <c r="N407" s="133">
        <f t="shared" si="488"/>
        <v>0</v>
      </c>
      <c r="O407" s="71">
        <v>10</v>
      </c>
      <c r="P407" s="71"/>
      <c r="Q407" s="136"/>
      <c r="R407" s="119" t="s">
        <v>51</v>
      </c>
      <c r="S407" s="120" t="s">
        <v>346</v>
      </c>
      <c r="T407" s="119" t="s">
        <v>77</v>
      </c>
      <c r="U407" s="136">
        <v>20</v>
      </c>
      <c r="V407" s="199">
        <v>0</v>
      </c>
      <c r="W407" s="103">
        <v>0</v>
      </c>
      <c r="X407" s="104">
        <v>0</v>
      </c>
      <c r="Y407" s="105">
        <v>0</v>
      </c>
      <c r="Z407" s="106">
        <v>0</v>
      </c>
      <c r="AA407" s="133">
        <f t="shared" si="486"/>
        <v>0</v>
      </c>
      <c r="AB407" s="71">
        <v>20</v>
      </c>
      <c r="AC407" s="136">
        <v>5</v>
      </c>
      <c r="AD407" s="199">
        <v>0</v>
      </c>
      <c r="AE407" s="103">
        <v>0</v>
      </c>
      <c r="AF407" s="104">
        <v>0</v>
      </c>
      <c r="AG407" s="105">
        <v>0</v>
      </c>
      <c r="AH407" s="106">
        <v>0</v>
      </c>
      <c r="AI407" s="133">
        <f t="shared" si="487"/>
        <v>0</v>
      </c>
      <c r="AJ407" s="71">
        <v>5</v>
      </c>
      <c r="AK407" s="136"/>
      <c r="AL407" s="136"/>
      <c r="AM407" s="72"/>
      <c r="AN407" s="136"/>
      <c r="AO407" s="72"/>
      <c r="AP407" s="119" t="s">
        <v>247</v>
      </c>
      <c r="AQ407" s="136">
        <v>5</v>
      </c>
      <c r="AR407" s="161">
        <v>0</v>
      </c>
      <c r="AS407" s="162">
        <v>0</v>
      </c>
      <c r="AT407" s="163">
        <v>5</v>
      </c>
      <c r="AU407" s="119"/>
      <c r="AV407" s="136"/>
      <c r="AW407" s="119" t="s">
        <v>347</v>
      </c>
      <c r="AX407" s="117" t="s">
        <v>68</v>
      </c>
    </row>
    <row r="408" spans="1:50" s="77" customFormat="1" ht="168.75" x14ac:dyDescent="0.25">
      <c r="A408" s="310"/>
      <c r="B408" s="115" t="s">
        <v>224</v>
      </c>
      <c r="C408" s="115" t="s">
        <v>74</v>
      </c>
      <c r="D408" s="117" t="s">
        <v>47</v>
      </c>
      <c r="E408" s="117" t="s">
        <v>75</v>
      </c>
      <c r="F408" s="268"/>
      <c r="G408" s="119" t="s">
        <v>229</v>
      </c>
      <c r="H408" s="136">
        <v>5</v>
      </c>
      <c r="I408" s="199">
        <v>0</v>
      </c>
      <c r="J408" s="103">
        <v>0</v>
      </c>
      <c r="K408" s="104">
        <v>0</v>
      </c>
      <c r="L408" s="105">
        <v>0</v>
      </c>
      <c r="M408" s="106">
        <v>0</v>
      </c>
      <c r="N408" s="133">
        <f t="shared" si="488"/>
        <v>0</v>
      </c>
      <c r="O408" s="71">
        <v>5</v>
      </c>
      <c r="P408" s="71"/>
      <c r="Q408" s="136"/>
      <c r="R408" s="119" t="s">
        <v>51</v>
      </c>
      <c r="S408" s="120" t="s">
        <v>346</v>
      </c>
      <c r="T408" s="119" t="s">
        <v>77</v>
      </c>
      <c r="U408" s="136">
        <v>5</v>
      </c>
      <c r="V408" s="199">
        <v>0</v>
      </c>
      <c r="W408" s="103">
        <v>0</v>
      </c>
      <c r="X408" s="104">
        <v>0</v>
      </c>
      <c r="Y408" s="105">
        <v>0</v>
      </c>
      <c r="Z408" s="106">
        <v>0</v>
      </c>
      <c r="AA408" s="133">
        <f t="shared" si="486"/>
        <v>0</v>
      </c>
      <c r="AB408" s="71">
        <v>5</v>
      </c>
      <c r="AC408" s="136">
        <v>0</v>
      </c>
      <c r="AD408" s="199">
        <v>0</v>
      </c>
      <c r="AE408" s="103">
        <v>0</v>
      </c>
      <c r="AF408" s="104">
        <v>0</v>
      </c>
      <c r="AG408" s="105">
        <v>0</v>
      </c>
      <c r="AH408" s="106">
        <v>0</v>
      </c>
      <c r="AI408" s="133">
        <f t="shared" si="487"/>
        <v>0</v>
      </c>
      <c r="AJ408" s="71">
        <v>0</v>
      </c>
      <c r="AK408" s="136"/>
      <c r="AL408" s="136"/>
      <c r="AM408" s="72"/>
      <c r="AN408" s="136"/>
      <c r="AO408" s="72"/>
      <c r="AP408" s="119"/>
      <c r="AQ408" s="136">
        <v>0</v>
      </c>
      <c r="AR408" s="161">
        <v>0</v>
      </c>
      <c r="AS408" s="162">
        <v>0</v>
      </c>
      <c r="AT408" s="163">
        <v>0</v>
      </c>
      <c r="AU408" s="119"/>
      <c r="AV408" s="136"/>
      <c r="AW408" s="119"/>
      <c r="AX408" s="117" t="s">
        <v>68</v>
      </c>
    </row>
    <row r="409" spans="1:50" s="77" customFormat="1" ht="168.75" x14ac:dyDescent="0.25">
      <c r="A409" s="310"/>
      <c r="B409" s="115" t="s">
        <v>224</v>
      </c>
      <c r="C409" s="115" t="s">
        <v>74</v>
      </c>
      <c r="D409" s="117" t="s">
        <v>47</v>
      </c>
      <c r="E409" s="117" t="s">
        <v>75</v>
      </c>
      <c r="F409" s="268"/>
      <c r="G409" s="119" t="s">
        <v>234</v>
      </c>
      <c r="H409" s="136">
        <v>55</v>
      </c>
      <c r="I409" s="199">
        <v>0</v>
      </c>
      <c r="J409" s="103">
        <v>0</v>
      </c>
      <c r="K409" s="104">
        <v>0</v>
      </c>
      <c r="L409" s="105">
        <v>0</v>
      </c>
      <c r="M409" s="106">
        <v>0</v>
      </c>
      <c r="N409" s="133">
        <f t="shared" si="488"/>
        <v>0</v>
      </c>
      <c r="O409" s="71">
        <v>55</v>
      </c>
      <c r="P409" s="71"/>
      <c r="Q409" s="136"/>
      <c r="R409" s="119" t="s">
        <v>51</v>
      </c>
      <c r="S409" s="120" t="s">
        <v>346</v>
      </c>
      <c r="T409" s="119" t="s">
        <v>77</v>
      </c>
      <c r="U409" s="136">
        <v>100</v>
      </c>
      <c r="V409" s="199">
        <v>0</v>
      </c>
      <c r="W409" s="103">
        <v>0</v>
      </c>
      <c r="X409" s="104">
        <v>0</v>
      </c>
      <c r="Y409" s="105">
        <v>0</v>
      </c>
      <c r="Z409" s="106">
        <v>0</v>
      </c>
      <c r="AA409" s="133">
        <f t="shared" si="486"/>
        <v>0</v>
      </c>
      <c r="AB409" s="71">
        <v>100</v>
      </c>
      <c r="AC409" s="136">
        <v>15</v>
      </c>
      <c r="AD409" s="199">
        <v>0</v>
      </c>
      <c r="AE409" s="103">
        <v>0</v>
      </c>
      <c r="AF409" s="104">
        <v>0</v>
      </c>
      <c r="AG409" s="105">
        <v>0</v>
      </c>
      <c r="AH409" s="106">
        <v>0</v>
      </c>
      <c r="AI409" s="133">
        <f t="shared" si="487"/>
        <v>0</v>
      </c>
      <c r="AJ409" s="71">
        <v>15</v>
      </c>
      <c r="AK409" s="136"/>
      <c r="AL409" s="136"/>
      <c r="AM409" s="72"/>
      <c r="AN409" s="136"/>
      <c r="AO409" s="72"/>
      <c r="AP409" s="119" t="s">
        <v>247</v>
      </c>
      <c r="AQ409" s="136">
        <v>15</v>
      </c>
      <c r="AR409" s="161">
        <v>0</v>
      </c>
      <c r="AS409" s="162">
        <v>0</v>
      </c>
      <c r="AT409" s="163">
        <v>15</v>
      </c>
      <c r="AU409" s="119"/>
      <c r="AV409" s="136"/>
      <c r="AW409" s="119" t="s">
        <v>347</v>
      </c>
      <c r="AX409" s="117" t="s">
        <v>68</v>
      </c>
    </row>
    <row r="410" spans="1:50" s="77" customFormat="1" ht="168.75" x14ac:dyDescent="0.25">
      <c r="A410" s="310"/>
      <c r="B410" s="115" t="s">
        <v>224</v>
      </c>
      <c r="C410" s="115" t="s">
        <v>74</v>
      </c>
      <c r="D410" s="117" t="s">
        <v>47</v>
      </c>
      <c r="E410" s="117" t="s">
        <v>75</v>
      </c>
      <c r="F410" s="269"/>
      <c r="G410" s="119" t="s">
        <v>172</v>
      </c>
      <c r="H410" s="136">
        <v>60</v>
      </c>
      <c r="I410" s="199">
        <v>0</v>
      </c>
      <c r="J410" s="103">
        <v>0</v>
      </c>
      <c r="K410" s="104">
        <v>0</v>
      </c>
      <c r="L410" s="105">
        <v>0</v>
      </c>
      <c r="M410" s="106">
        <v>0</v>
      </c>
      <c r="N410" s="133">
        <f t="shared" si="488"/>
        <v>0</v>
      </c>
      <c r="O410" s="71">
        <v>60</v>
      </c>
      <c r="P410" s="71"/>
      <c r="Q410" s="136"/>
      <c r="R410" s="119" t="s">
        <v>51</v>
      </c>
      <c r="S410" s="120" t="s">
        <v>346</v>
      </c>
      <c r="T410" s="119" t="s">
        <v>77</v>
      </c>
      <c r="U410" s="136">
        <v>70</v>
      </c>
      <c r="V410" s="199">
        <v>0</v>
      </c>
      <c r="W410" s="103">
        <v>0</v>
      </c>
      <c r="X410" s="104">
        <v>0</v>
      </c>
      <c r="Y410" s="105">
        <v>0</v>
      </c>
      <c r="Z410" s="106">
        <v>0</v>
      </c>
      <c r="AA410" s="133">
        <f t="shared" si="486"/>
        <v>0</v>
      </c>
      <c r="AB410" s="71">
        <v>70</v>
      </c>
      <c r="AC410" s="136">
        <v>15</v>
      </c>
      <c r="AD410" s="199">
        <v>0</v>
      </c>
      <c r="AE410" s="103">
        <v>0</v>
      </c>
      <c r="AF410" s="104">
        <v>0</v>
      </c>
      <c r="AG410" s="105">
        <v>0</v>
      </c>
      <c r="AH410" s="106">
        <v>0</v>
      </c>
      <c r="AI410" s="133">
        <f t="shared" si="487"/>
        <v>0</v>
      </c>
      <c r="AJ410" s="71">
        <v>15</v>
      </c>
      <c r="AK410" s="136"/>
      <c r="AL410" s="136"/>
      <c r="AM410" s="72"/>
      <c r="AN410" s="136"/>
      <c r="AO410" s="72"/>
      <c r="AP410" s="119" t="s">
        <v>247</v>
      </c>
      <c r="AQ410" s="136">
        <v>15</v>
      </c>
      <c r="AR410" s="161">
        <v>0</v>
      </c>
      <c r="AS410" s="162">
        <v>0</v>
      </c>
      <c r="AT410" s="163">
        <v>15</v>
      </c>
      <c r="AU410" s="119"/>
      <c r="AV410" s="136"/>
      <c r="AW410" s="119" t="s">
        <v>347</v>
      </c>
      <c r="AX410" s="117" t="s">
        <v>68</v>
      </c>
    </row>
    <row r="411" spans="1:50" s="77" customFormat="1" ht="72" x14ac:dyDescent="0.25">
      <c r="A411" s="310"/>
      <c r="B411" s="115" t="s">
        <v>224</v>
      </c>
      <c r="C411" s="115" t="s">
        <v>74</v>
      </c>
      <c r="D411" s="117" t="s">
        <v>47</v>
      </c>
      <c r="E411" s="117" t="s">
        <v>75</v>
      </c>
      <c r="F411" s="142" t="s">
        <v>61</v>
      </c>
      <c r="G411" s="155"/>
      <c r="H411" s="153">
        <f>SUBTOTAL(9,H406:H410)</f>
        <v>210</v>
      </c>
      <c r="I411" s="153">
        <f t="shared" ref="I411" si="504">SUBTOTAL(9,I406:I410)</f>
        <v>0</v>
      </c>
      <c r="J411" s="153">
        <f t="shared" ref="J411:O411" si="505">SUBTOTAL(9,J406:J410)</f>
        <v>0</v>
      </c>
      <c r="K411" s="153">
        <f t="shared" si="505"/>
        <v>0</v>
      </c>
      <c r="L411" s="153">
        <f t="shared" si="505"/>
        <v>0</v>
      </c>
      <c r="M411" s="153">
        <f t="shared" si="505"/>
        <v>0</v>
      </c>
      <c r="N411" s="153">
        <f t="shared" si="488"/>
        <v>0</v>
      </c>
      <c r="O411" s="153">
        <f t="shared" si="505"/>
        <v>210</v>
      </c>
      <c r="P411" s="153"/>
      <c r="Q411" s="156"/>
      <c r="R411" s="129"/>
      <c r="S411" s="157"/>
      <c r="T411" s="158"/>
      <c r="U411" s="153">
        <f>SUBTOTAL(9,U406:U410)</f>
        <v>295</v>
      </c>
      <c r="V411" s="153">
        <f t="shared" ref="V411" si="506">SUBTOTAL(9,V406:V410)</f>
        <v>0</v>
      </c>
      <c r="W411" s="153">
        <f t="shared" ref="W411:AJ411" si="507">SUBTOTAL(9,W406:W410)</f>
        <v>0</v>
      </c>
      <c r="X411" s="153">
        <f t="shared" si="507"/>
        <v>0</v>
      </c>
      <c r="Y411" s="153">
        <f t="shared" si="507"/>
        <v>0</v>
      </c>
      <c r="Z411" s="153">
        <f t="shared" si="507"/>
        <v>0</v>
      </c>
      <c r="AA411" s="153">
        <f t="shared" si="486"/>
        <v>0</v>
      </c>
      <c r="AB411" s="153">
        <f t="shared" si="507"/>
        <v>295</v>
      </c>
      <c r="AC411" s="153">
        <f t="shared" si="507"/>
        <v>50</v>
      </c>
      <c r="AD411" s="153">
        <f t="shared" si="507"/>
        <v>0</v>
      </c>
      <c r="AE411" s="153">
        <f t="shared" si="507"/>
        <v>0</v>
      </c>
      <c r="AF411" s="153">
        <f t="shared" si="507"/>
        <v>0</v>
      </c>
      <c r="AG411" s="153">
        <f t="shared" ref="AG411" si="508">SUBTOTAL(9,AG406:AG410)</f>
        <v>0</v>
      </c>
      <c r="AH411" s="153">
        <f t="shared" si="507"/>
        <v>0</v>
      </c>
      <c r="AI411" s="153">
        <f t="shared" si="487"/>
        <v>0</v>
      </c>
      <c r="AJ411" s="153">
        <f t="shared" si="507"/>
        <v>50</v>
      </c>
      <c r="AK411" s="156"/>
      <c r="AL411" s="156"/>
      <c r="AM411" s="156"/>
      <c r="AN411" s="156"/>
      <c r="AO411" s="156"/>
      <c r="AP411" s="155"/>
      <c r="AQ411" s="153">
        <f>SUBTOTAL(9,AQ406:AQ410)</f>
        <v>50</v>
      </c>
      <c r="AR411" s="153">
        <f t="shared" ref="AR411:AT411" si="509">SUBTOTAL(9,AR406:AR410)</f>
        <v>0</v>
      </c>
      <c r="AS411" s="153">
        <f t="shared" si="509"/>
        <v>0</v>
      </c>
      <c r="AT411" s="153">
        <f t="shared" si="509"/>
        <v>50</v>
      </c>
      <c r="AU411" s="129"/>
      <c r="AV411" s="156"/>
      <c r="AW411" s="155"/>
      <c r="AX411" s="155" t="s">
        <v>68</v>
      </c>
    </row>
    <row r="412" spans="1:50" s="77" customFormat="1" ht="75" x14ac:dyDescent="0.25">
      <c r="A412" s="310"/>
      <c r="B412" s="115" t="s">
        <v>224</v>
      </c>
      <c r="C412" s="115" t="s">
        <v>166</v>
      </c>
      <c r="D412" s="117" t="s">
        <v>106</v>
      </c>
      <c r="E412" s="117" t="s">
        <v>75</v>
      </c>
      <c r="F412" s="272"/>
      <c r="G412" s="119" t="s">
        <v>227</v>
      </c>
      <c r="H412" s="136">
        <v>10</v>
      </c>
      <c r="I412" s="197">
        <v>0</v>
      </c>
      <c r="J412" s="90">
        <v>0</v>
      </c>
      <c r="K412" s="91">
        <v>0</v>
      </c>
      <c r="L412" s="92">
        <v>0</v>
      </c>
      <c r="M412" s="81">
        <v>0</v>
      </c>
      <c r="N412" s="133">
        <f t="shared" si="488"/>
        <v>0</v>
      </c>
      <c r="O412" s="71">
        <v>10</v>
      </c>
      <c r="P412" s="71"/>
      <c r="Q412" s="136"/>
      <c r="R412" s="119" t="s">
        <v>51</v>
      </c>
      <c r="S412" s="120" t="s">
        <v>348</v>
      </c>
      <c r="T412" s="251" t="s">
        <v>77</v>
      </c>
      <c r="U412" s="136">
        <v>10</v>
      </c>
      <c r="V412" s="197">
        <v>0</v>
      </c>
      <c r="W412" s="90">
        <v>0</v>
      </c>
      <c r="X412" s="91">
        <v>0</v>
      </c>
      <c r="Y412" s="92">
        <v>0</v>
      </c>
      <c r="Z412" s="81">
        <v>0</v>
      </c>
      <c r="AA412" s="133">
        <f t="shared" si="486"/>
        <v>0</v>
      </c>
      <c r="AB412" s="71">
        <v>10</v>
      </c>
      <c r="AC412" s="136">
        <v>0</v>
      </c>
      <c r="AD412" s="197">
        <v>0</v>
      </c>
      <c r="AE412" s="90">
        <v>0</v>
      </c>
      <c r="AF412" s="91">
        <v>0</v>
      </c>
      <c r="AG412" s="92">
        <v>0</v>
      </c>
      <c r="AH412" s="81">
        <v>0</v>
      </c>
      <c r="AI412" s="133">
        <f t="shared" si="487"/>
        <v>0</v>
      </c>
      <c r="AJ412" s="71">
        <f>AC412/4*3</f>
        <v>0</v>
      </c>
      <c r="AK412" s="136"/>
      <c r="AL412" s="136"/>
      <c r="AM412" s="72"/>
      <c r="AN412" s="136"/>
      <c r="AO412" s="72"/>
      <c r="AP412" s="119"/>
      <c r="AQ412" s="136"/>
      <c r="AR412" s="161">
        <v>0</v>
      </c>
      <c r="AS412" s="162">
        <v>0</v>
      </c>
      <c r="AT412" s="163">
        <v>0</v>
      </c>
      <c r="AU412" s="119"/>
      <c r="AV412" s="136"/>
      <c r="AW412" s="119"/>
      <c r="AX412" s="117" t="s">
        <v>147</v>
      </c>
    </row>
    <row r="413" spans="1:50" s="77" customFormat="1" ht="75" x14ac:dyDescent="0.25">
      <c r="A413" s="310"/>
      <c r="B413" s="115" t="s">
        <v>224</v>
      </c>
      <c r="C413" s="115" t="s">
        <v>166</v>
      </c>
      <c r="D413" s="117" t="s">
        <v>106</v>
      </c>
      <c r="E413" s="117" t="s">
        <v>75</v>
      </c>
      <c r="F413" s="272"/>
      <c r="G413" s="119" t="s">
        <v>228</v>
      </c>
      <c r="H413" s="136">
        <v>10</v>
      </c>
      <c r="I413" s="197">
        <v>0</v>
      </c>
      <c r="J413" s="90">
        <v>0</v>
      </c>
      <c r="K413" s="91">
        <v>0</v>
      </c>
      <c r="L413" s="92">
        <v>0</v>
      </c>
      <c r="M413" s="81">
        <v>0</v>
      </c>
      <c r="N413" s="133">
        <f t="shared" si="488"/>
        <v>0</v>
      </c>
      <c r="O413" s="71">
        <v>10</v>
      </c>
      <c r="P413" s="71"/>
      <c r="Q413" s="136"/>
      <c r="R413" s="119" t="s">
        <v>51</v>
      </c>
      <c r="S413" s="120" t="s">
        <v>348</v>
      </c>
      <c r="T413" s="251"/>
      <c r="U413" s="136">
        <v>10</v>
      </c>
      <c r="V413" s="197">
        <v>0</v>
      </c>
      <c r="W413" s="90">
        <v>0</v>
      </c>
      <c r="X413" s="91">
        <v>0</v>
      </c>
      <c r="Y413" s="92">
        <v>0</v>
      </c>
      <c r="Z413" s="81">
        <v>0</v>
      </c>
      <c r="AA413" s="133">
        <f t="shared" si="486"/>
        <v>0</v>
      </c>
      <c r="AB413" s="71">
        <v>10</v>
      </c>
      <c r="AC413" s="136">
        <v>0</v>
      </c>
      <c r="AD413" s="197">
        <v>0</v>
      </c>
      <c r="AE413" s="90">
        <v>0</v>
      </c>
      <c r="AF413" s="91">
        <v>0</v>
      </c>
      <c r="AG413" s="92">
        <v>0</v>
      </c>
      <c r="AH413" s="81">
        <v>0</v>
      </c>
      <c r="AI413" s="133">
        <f t="shared" si="487"/>
        <v>0</v>
      </c>
      <c r="AJ413" s="71">
        <f>AC413/4*3</f>
        <v>0</v>
      </c>
      <c r="AK413" s="136"/>
      <c r="AL413" s="136"/>
      <c r="AM413" s="72"/>
      <c r="AN413" s="136"/>
      <c r="AO413" s="72"/>
      <c r="AP413" s="119"/>
      <c r="AQ413" s="136"/>
      <c r="AR413" s="161">
        <v>0</v>
      </c>
      <c r="AS413" s="162">
        <v>0</v>
      </c>
      <c r="AT413" s="163">
        <v>0</v>
      </c>
      <c r="AU413" s="119"/>
      <c r="AV413" s="136"/>
      <c r="AW413" s="119"/>
      <c r="AX413" s="117" t="s">
        <v>147</v>
      </c>
    </row>
    <row r="414" spans="1:50" s="77" customFormat="1" ht="75" x14ac:dyDescent="0.25">
      <c r="A414" s="310"/>
      <c r="B414" s="115" t="s">
        <v>224</v>
      </c>
      <c r="C414" s="115" t="s">
        <v>166</v>
      </c>
      <c r="D414" s="117" t="s">
        <v>106</v>
      </c>
      <c r="E414" s="117" t="s">
        <v>75</v>
      </c>
      <c r="F414" s="272"/>
      <c r="G414" s="119" t="s">
        <v>229</v>
      </c>
      <c r="H414" s="136">
        <v>20</v>
      </c>
      <c r="I414" s="197">
        <v>0</v>
      </c>
      <c r="J414" s="90">
        <v>0</v>
      </c>
      <c r="K414" s="91">
        <v>10</v>
      </c>
      <c r="L414" s="92">
        <v>5</v>
      </c>
      <c r="M414" s="81">
        <v>5</v>
      </c>
      <c r="N414" s="133">
        <f t="shared" si="488"/>
        <v>20</v>
      </c>
      <c r="O414" s="71">
        <v>0</v>
      </c>
      <c r="P414" s="71"/>
      <c r="Q414" s="136"/>
      <c r="R414" s="119" t="s">
        <v>51</v>
      </c>
      <c r="S414" s="120" t="s">
        <v>348</v>
      </c>
      <c r="T414" s="251"/>
      <c r="U414" s="136">
        <v>20</v>
      </c>
      <c r="V414" s="197">
        <v>0</v>
      </c>
      <c r="W414" s="90">
        <v>0</v>
      </c>
      <c r="X414" s="91">
        <v>10</v>
      </c>
      <c r="Y414" s="92">
        <v>5</v>
      </c>
      <c r="Z414" s="81">
        <v>5</v>
      </c>
      <c r="AA414" s="133">
        <f t="shared" si="486"/>
        <v>20</v>
      </c>
      <c r="AB414" s="71">
        <v>0</v>
      </c>
      <c r="AC414" s="136">
        <v>5</v>
      </c>
      <c r="AD414" s="197">
        <v>0</v>
      </c>
      <c r="AE414" s="90">
        <v>0</v>
      </c>
      <c r="AF414" s="91">
        <v>3</v>
      </c>
      <c r="AG414" s="92">
        <v>0</v>
      </c>
      <c r="AH414" s="81">
        <v>1</v>
      </c>
      <c r="AI414" s="133">
        <f t="shared" si="487"/>
        <v>4</v>
      </c>
      <c r="AJ414" s="71">
        <v>0</v>
      </c>
      <c r="AK414" s="136"/>
      <c r="AL414" s="136"/>
      <c r="AM414" s="72"/>
      <c r="AN414" s="136"/>
      <c r="AO414" s="72"/>
      <c r="AP414" s="119" t="s">
        <v>58</v>
      </c>
      <c r="AQ414" s="136">
        <v>5</v>
      </c>
      <c r="AR414" s="161">
        <v>0</v>
      </c>
      <c r="AS414" s="162">
        <v>0</v>
      </c>
      <c r="AT414" s="163">
        <v>5</v>
      </c>
      <c r="AU414" s="119"/>
      <c r="AV414" s="136"/>
      <c r="AW414" s="119"/>
      <c r="AX414" s="117" t="s">
        <v>147</v>
      </c>
    </row>
    <row r="415" spans="1:50" s="77" customFormat="1" ht="36" x14ac:dyDescent="0.25">
      <c r="A415" s="310"/>
      <c r="B415" s="115" t="s">
        <v>224</v>
      </c>
      <c r="C415" s="115" t="s">
        <v>166</v>
      </c>
      <c r="D415" s="117" t="s">
        <v>106</v>
      </c>
      <c r="E415" s="117" t="s">
        <v>75</v>
      </c>
      <c r="F415" s="142" t="s">
        <v>61</v>
      </c>
      <c r="G415" s="155"/>
      <c r="H415" s="153">
        <f t="shared" ref="H415:O415" si="510">SUM(H412:H414)</f>
        <v>40</v>
      </c>
      <c r="I415" s="153">
        <f t="shared" si="510"/>
        <v>0</v>
      </c>
      <c r="J415" s="153">
        <f t="shared" si="510"/>
        <v>0</v>
      </c>
      <c r="K415" s="153">
        <f t="shared" si="510"/>
        <v>10</v>
      </c>
      <c r="L415" s="153">
        <f t="shared" si="510"/>
        <v>5</v>
      </c>
      <c r="M415" s="153">
        <f t="shared" si="510"/>
        <v>5</v>
      </c>
      <c r="N415" s="153">
        <f t="shared" si="488"/>
        <v>20</v>
      </c>
      <c r="O415" s="153">
        <f t="shared" si="510"/>
        <v>20</v>
      </c>
      <c r="P415" s="153"/>
      <c r="Q415" s="156"/>
      <c r="R415" s="129"/>
      <c r="S415" s="157"/>
      <c r="T415" s="158"/>
      <c r="U415" s="153">
        <f t="shared" ref="U415:AJ415" si="511">SUM(U412:U414)</f>
        <v>40</v>
      </c>
      <c r="V415" s="153">
        <f t="shared" si="511"/>
        <v>0</v>
      </c>
      <c r="W415" s="153">
        <f t="shared" si="511"/>
        <v>0</v>
      </c>
      <c r="X415" s="153">
        <f t="shared" si="511"/>
        <v>10</v>
      </c>
      <c r="Y415" s="153">
        <f t="shared" ref="Y415" si="512">SUM(Y412:Y414)</f>
        <v>5</v>
      </c>
      <c r="Z415" s="153">
        <f t="shared" si="511"/>
        <v>5</v>
      </c>
      <c r="AA415" s="153">
        <f t="shared" si="486"/>
        <v>20</v>
      </c>
      <c r="AB415" s="153">
        <f t="shared" si="511"/>
        <v>20</v>
      </c>
      <c r="AC415" s="153">
        <f t="shared" si="511"/>
        <v>5</v>
      </c>
      <c r="AD415" s="153">
        <f t="shared" si="511"/>
        <v>0</v>
      </c>
      <c r="AE415" s="153">
        <f t="shared" si="511"/>
        <v>0</v>
      </c>
      <c r="AF415" s="153">
        <f t="shared" si="511"/>
        <v>3</v>
      </c>
      <c r="AG415" s="153">
        <f t="shared" ref="AG415" si="513">SUM(AG412:AG414)</f>
        <v>0</v>
      </c>
      <c r="AH415" s="153">
        <f t="shared" si="511"/>
        <v>1</v>
      </c>
      <c r="AI415" s="153">
        <f t="shared" si="487"/>
        <v>4</v>
      </c>
      <c r="AJ415" s="153">
        <f t="shared" si="511"/>
        <v>0</v>
      </c>
      <c r="AK415" s="156"/>
      <c r="AL415" s="156"/>
      <c r="AM415" s="156"/>
      <c r="AN415" s="156"/>
      <c r="AO415" s="156"/>
      <c r="AP415" s="155"/>
      <c r="AQ415" s="153">
        <f>SUM(AQ412:AQ414)</f>
        <v>5</v>
      </c>
      <c r="AR415" s="153">
        <f>SUM(AR412:AR414)</f>
        <v>0</v>
      </c>
      <c r="AS415" s="153">
        <f>SUM(AS412:AS414)</f>
        <v>0</v>
      </c>
      <c r="AT415" s="153">
        <f>SUM(AT412:AT414)</f>
        <v>5</v>
      </c>
      <c r="AU415" s="129"/>
      <c r="AV415" s="156"/>
      <c r="AW415" s="155"/>
      <c r="AX415" s="155" t="s">
        <v>147</v>
      </c>
    </row>
    <row r="416" spans="1:50" s="77" customFormat="1" ht="72" x14ac:dyDescent="0.25">
      <c r="A416" s="310"/>
      <c r="B416" s="115" t="s">
        <v>224</v>
      </c>
      <c r="C416" s="115" t="s">
        <v>349</v>
      </c>
      <c r="D416" s="117" t="s">
        <v>106</v>
      </c>
      <c r="E416" s="117" t="s">
        <v>75</v>
      </c>
      <c r="F416" s="138"/>
      <c r="G416" s="119" t="s">
        <v>228</v>
      </c>
      <c r="H416" s="136">
        <v>2</v>
      </c>
      <c r="I416" s="197">
        <v>0</v>
      </c>
      <c r="J416" s="90">
        <v>0</v>
      </c>
      <c r="K416" s="91">
        <v>0</v>
      </c>
      <c r="L416" s="92">
        <v>0</v>
      </c>
      <c r="M416" s="81">
        <v>0</v>
      </c>
      <c r="N416" s="133">
        <f t="shared" si="488"/>
        <v>0</v>
      </c>
      <c r="O416" s="71">
        <v>2</v>
      </c>
      <c r="P416" s="71"/>
      <c r="Q416" s="136"/>
      <c r="R416" s="119" t="s">
        <v>51</v>
      </c>
      <c r="S416" s="120" t="s">
        <v>350</v>
      </c>
      <c r="T416" s="119" t="s">
        <v>77</v>
      </c>
      <c r="U416" s="136">
        <v>2</v>
      </c>
      <c r="V416" s="197">
        <v>0</v>
      </c>
      <c r="W416" s="90">
        <v>0</v>
      </c>
      <c r="X416" s="91">
        <v>0</v>
      </c>
      <c r="Y416" s="92">
        <v>0</v>
      </c>
      <c r="Z416" s="81">
        <v>0</v>
      </c>
      <c r="AA416" s="133">
        <f t="shared" si="486"/>
        <v>0</v>
      </c>
      <c r="AB416" s="71">
        <v>2</v>
      </c>
      <c r="AC416" s="136">
        <v>0</v>
      </c>
      <c r="AD416" s="197">
        <v>0</v>
      </c>
      <c r="AE416" s="90">
        <v>0</v>
      </c>
      <c r="AF416" s="91">
        <v>0</v>
      </c>
      <c r="AG416" s="92">
        <v>0</v>
      </c>
      <c r="AH416" s="81">
        <v>0</v>
      </c>
      <c r="AI416" s="133">
        <f t="shared" si="487"/>
        <v>0</v>
      </c>
      <c r="AJ416" s="71">
        <v>0</v>
      </c>
      <c r="AK416" s="136"/>
      <c r="AL416" s="136"/>
      <c r="AM416" s="72"/>
      <c r="AN416" s="136"/>
      <c r="AO416" s="72"/>
      <c r="AP416" s="119" t="s">
        <v>58</v>
      </c>
      <c r="AQ416" s="136">
        <v>0</v>
      </c>
      <c r="AR416" s="161">
        <v>0</v>
      </c>
      <c r="AS416" s="162">
        <v>0</v>
      </c>
      <c r="AT416" s="163">
        <v>0</v>
      </c>
      <c r="AU416" s="119"/>
      <c r="AV416" s="136"/>
      <c r="AW416" s="119"/>
      <c r="AX416" s="117" t="s">
        <v>147</v>
      </c>
    </row>
    <row r="417" spans="1:50" s="77" customFormat="1" ht="36" x14ac:dyDescent="0.25">
      <c r="A417" s="310"/>
      <c r="B417" s="115" t="s">
        <v>224</v>
      </c>
      <c r="C417" s="115" t="s">
        <v>349</v>
      </c>
      <c r="D417" s="117" t="s">
        <v>106</v>
      </c>
      <c r="E417" s="117" t="s">
        <v>75</v>
      </c>
      <c r="F417" s="142" t="s">
        <v>61</v>
      </c>
      <c r="G417" s="155"/>
      <c r="H417" s="153">
        <f>SUBTOTAL(9,H416)</f>
        <v>2</v>
      </c>
      <c r="I417" s="153">
        <f t="shared" ref="I417" si="514">SUBTOTAL(9,I416)</f>
        <v>0</v>
      </c>
      <c r="J417" s="153">
        <f t="shared" ref="J417:O417" si="515">SUBTOTAL(9,J416)</f>
        <v>0</v>
      </c>
      <c r="K417" s="153">
        <f t="shared" si="515"/>
        <v>0</v>
      </c>
      <c r="L417" s="153">
        <f t="shared" si="515"/>
        <v>0</v>
      </c>
      <c r="M417" s="153">
        <f t="shared" si="515"/>
        <v>0</v>
      </c>
      <c r="N417" s="153">
        <f t="shared" si="488"/>
        <v>0</v>
      </c>
      <c r="O417" s="153">
        <f t="shared" si="515"/>
        <v>2</v>
      </c>
      <c r="P417" s="153"/>
      <c r="Q417" s="156"/>
      <c r="R417" s="129"/>
      <c r="S417" s="157"/>
      <c r="T417" s="158"/>
      <c r="U417" s="153">
        <f>SUBTOTAL(9,U416)</f>
        <v>2</v>
      </c>
      <c r="V417" s="153">
        <f t="shared" ref="V417" si="516">SUBTOTAL(9,V416)</f>
        <v>0</v>
      </c>
      <c r="W417" s="153">
        <f t="shared" ref="W417:AJ417" si="517">SUBTOTAL(9,W416)</f>
        <v>0</v>
      </c>
      <c r="X417" s="153">
        <f t="shared" si="517"/>
        <v>0</v>
      </c>
      <c r="Y417" s="153">
        <f t="shared" si="517"/>
        <v>0</v>
      </c>
      <c r="Z417" s="153">
        <f t="shared" si="517"/>
        <v>0</v>
      </c>
      <c r="AA417" s="153">
        <f t="shared" si="486"/>
        <v>0</v>
      </c>
      <c r="AB417" s="153">
        <f t="shared" si="517"/>
        <v>2</v>
      </c>
      <c r="AC417" s="153">
        <f t="shared" si="517"/>
        <v>0</v>
      </c>
      <c r="AD417" s="153">
        <f t="shared" si="517"/>
        <v>0</v>
      </c>
      <c r="AE417" s="153">
        <f t="shared" si="517"/>
        <v>0</v>
      </c>
      <c r="AF417" s="153">
        <f t="shared" si="517"/>
        <v>0</v>
      </c>
      <c r="AG417" s="153">
        <f t="shared" ref="AG417" si="518">SUBTOTAL(9,AG416)</f>
        <v>0</v>
      </c>
      <c r="AH417" s="153">
        <f t="shared" si="517"/>
        <v>0</v>
      </c>
      <c r="AI417" s="153">
        <f t="shared" si="487"/>
        <v>0</v>
      </c>
      <c r="AJ417" s="153">
        <f t="shared" si="517"/>
        <v>0</v>
      </c>
      <c r="AK417" s="156"/>
      <c r="AL417" s="156"/>
      <c r="AM417" s="156"/>
      <c r="AN417" s="156"/>
      <c r="AO417" s="156"/>
      <c r="AP417" s="155"/>
      <c r="AQ417" s="153"/>
      <c r="AR417" s="153"/>
      <c r="AS417" s="153"/>
      <c r="AT417" s="153"/>
      <c r="AU417" s="129"/>
      <c r="AV417" s="156"/>
      <c r="AW417" s="155"/>
      <c r="AX417" s="155" t="s">
        <v>147</v>
      </c>
    </row>
    <row r="418" spans="1:50" s="77" customFormat="1" ht="56.25" x14ac:dyDescent="0.25">
      <c r="A418" s="310"/>
      <c r="B418" s="115" t="s">
        <v>224</v>
      </c>
      <c r="C418" s="115" t="s">
        <v>168</v>
      </c>
      <c r="D418" s="117" t="s">
        <v>106</v>
      </c>
      <c r="E418" s="117" t="s">
        <v>48</v>
      </c>
      <c r="F418" s="272" t="s">
        <v>49</v>
      </c>
      <c r="G418" s="119" t="s">
        <v>231</v>
      </c>
      <c r="H418" s="136">
        <v>35</v>
      </c>
      <c r="I418" s="197">
        <v>0</v>
      </c>
      <c r="J418" s="90">
        <v>20</v>
      </c>
      <c r="K418" s="91">
        <v>25</v>
      </c>
      <c r="L418" s="92">
        <v>5</v>
      </c>
      <c r="M418" s="81">
        <v>0</v>
      </c>
      <c r="N418" s="133">
        <f t="shared" si="488"/>
        <v>50</v>
      </c>
      <c r="O418" s="71">
        <v>30</v>
      </c>
      <c r="P418" s="71"/>
      <c r="Q418" s="136"/>
      <c r="R418" s="119" t="s">
        <v>51</v>
      </c>
      <c r="S418" s="120" t="s">
        <v>351</v>
      </c>
      <c r="T418" s="251" t="s">
        <v>73</v>
      </c>
      <c r="U418" s="136">
        <v>80</v>
      </c>
      <c r="V418" s="197">
        <v>0</v>
      </c>
      <c r="W418" s="90">
        <v>20</v>
      </c>
      <c r="X418" s="91">
        <v>25</v>
      </c>
      <c r="Y418" s="92">
        <v>5</v>
      </c>
      <c r="Z418" s="81">
        <v>0</v>
      </c>
      <c r="AA418" s="133">
        <f t="shared" si="486"/>
        <v>50</v>
      </c>
      <c r="AB418" s="71">
        <v>40</v>
      </c>
      <c r="AC418" s="136">
        <v>10</v>
      </c>
      <c r="AD418" s="197">
        <v>0</v>
      </c>
      <c r="AE418" s="90">
        <v>0</v>
      </c>
      <c r="AF418" s="91">
        <v>0</v>
      </c>
      <c r="AG418" s="92">
        <v>0</v>
      </c>
      <c r="AH418" s="81">
        <v>0</v>
      </c>
      <c r="AI418" s="133">
        <f t="shared" si="487"/>
        <v>0</v>
      </c>
      <c r="AJ418" s="71">
        <v>10</v>
      </c>
      <c r="AK418" s="136"/>
      <c r="AL418" s="136" t="s">
        <v>335</v>
      </c>
      <c r="AM418" s="72">
        <v>4</v>
      </c>
      <c r="AN418" s="136"/>
      <c r="AO418" s="72"/>
      <c r="AP418" s="119" t="s">
        <v>58</v>
      </c>
      <c r="AQ418" s="136">
        <v>10</v>
      </c>
      <c r="AR418" s="161">
        <v>0</v>
      </c>
      <c r="AS418" s="162">
        <v>10</v>
      </c>
      <c r="AT418" s="163">
        <v>0</v>
      </c>
      <c r="AU418" s="119"/>
      <c r="AV418" s="136"/>
      <c r="AW418" s="119"/>
      <c r="AX418" s="117" t="s">
        <v>59</v>
      </c>
    </row>
    <row r="419" spans="1:50" s="77" customFormat="1" ht="93.75" x14ac:dyDescent="0.25">
      <c r="A419" s="310"/>
      <c r="B419" s="115" t="s">
        <v>224</v>
      </c>
      <c r="C419" s="115" t="s">
        <v>168</v>
      </c>
      <c r="D419" s="117" t="s">
        <v>106</v>
      </c>
      <c r="E419" s="117" t="s">
        <v>48</v>
      </c>
      <c r="F419" s="272"/>
      <c r="G419" s="119" t="s">
        <v>178</v>
      </c>
      <c r="H419" s="136">
        <v>5</v>
      </c>
      <c r="I419" s="197">
        <v>0</v>
      </c>
      <c r="J419" s="90">
        <v>0</v>
      </c>
      <c r="K419" s="91">
        <v>0</v>
      </c>
      <c r="L419" s="92">
        <v>0</v>
      </c>
      <c r="M419" s="81">
        <v>0</v>
      </c>
      <c r="N419" s="133">
        <f t="shared" si="488"/>
        <v>0</v>
      </c>
      <c r="O419" s="71">
        <v>25</v>
      </c>
      <c r="P419" s="71"/>
      <c r="Q419" s="136"/>
      <c r="R419" s="119" t="s">
        <v>51</v>
      </c>
      <c r="S419" s="120" t="s">
        <v>352</v>
      </c>
      <c r="T419" s="251"/>
      <c r="U419" s="136">
        <v>50</v>
      </c>
      <c r="V419" s="197">
        <v>0</v>
      </c>
      <c r="W419" s="90">
        <v>0</v>
      </c>
      <c r="X419" s="91">
        <v>0</v>
      </c>
      <c r="Y419" s="92">
        <v>0</v>
      </c>
      <c r="Z419" s="81">
        <v>0</v>
      </c>
      <c r="AA419" s="133">
        <f t="shared" si="486"/>
        <v>0</v>
      </c>
      <c r="AB419" s="71">
        <v>50</v>
      </c>
      <c r="AC419" s="136">
        <v>10</v>
      </c>
      <c r="AD419" s="197">
        <v>0</v>
      </c>
      <c r="AE419" s="90">
        <v>0</v>
      </c>
      <c r="AF419" s="91">
        <v>0</v>
      </c>
      <c r="AG419" s="92">
        <v>0</v>
      </c>
      <c r="AH419" s="81">
        <v>0</v>
      </c>
      <c r="AI419" s="133">
        <f t="shared" si="487"/>
        <v>0</v>
      </c>
      <c r="AJ419" s="71">
        <v>10</v>
      </c>
      <c r="AK419" s="136"/>
      <c r="AL419" s="136"/>
      <c r="AM419" s="72"/>
      <c r="AN419" s="136"/>
      <c r="AO419" s="72"/>
      <c r="AP419" s="119"/>
      <c r="AQ419" s="136">
        <v>0</v>
      </c>
      <c r="AR419" s="161">
        <v>0</v>
      </c>
      <c r="AS419" s="162">
        <v>0</v>
      </c>
      <c r="AT419" s="163">
        <v>0</v>
      </c>
      <c r="AU419" s="119"/>
      <c r="AV419" s="136"/>
      <c r="AW419" s="119"/>
      <c r="AX419" s="117" t="s">
        <v>59</v>
      </c>
    </row>
    <row r="420" spans="1:50" s="77" customFormat="1" ht="37.5" x14ac:dyDescent="0.25">
      <c r="A420" s="310"/>
      <c r="B420" s="115" t="s">
        <v>224</v>
      </c>
      <c r="C420" s="115" t="s">
        <v>168</v>
      </c>
      <c r="D420" s="117" t="s">
        <v>106</v>
      </c>
      <c r="E420" s="117" t="s">
        <v>48</v>
      </c>
      <c r="F420" s="272"/>
      <c r="G420" s="119" t="s">
        <v>227</v>
      </c>
      <c r="H420" s="136">
        <v>20</v>
      </c>
      <c r="I420" s="197">
        <v>0</v>
      </c>
      <c r="J420" s="90">
        <v>0</v>
      </c>
      <c r="K420" s="91">
        <v>15</v>
      </c>
      <c r="L420" s="92">
        <v>0</v>
      </c>
      <c r="M420" s="81">
        <v>0</v>
      </c>
      <c r="N420" s="133">
        <f t="shared" si="488"/>
        <v>15</v>
      </c>
      <c r="O420" s="71">
        <v>10</v>
      </c>
      <c r="P420" s="71"/>
      <c r="Q420" s="136"/>
      <c r="R420" s="119" t="s">
        <v>51</v>
      </c>
      <c r="S420" s="120" t="s">
        <v>353</v>
      </c>
      <c r="T420" s="251"/>
      <c r="U420" s="136">
        <v>80</v>
      </c>
      <c r="V420" s="197">
        <v>2</v>
      </c>
      <c r="W420" s="90">
        <v>0</v>
      </c>
      <c r="X420" s="91">
        <v>6</v>
      </c>
      <c r="Y420" s="92">
        <v>0</v>
      </c>
      <c r="Z420" s="81">
        <v>0</v>
      </c>
      <c r="AA420" s="133">
        <f t="shared" si="486"/>
        <v>8</v>
      </c>
      <c r="AB420" s="71">
        <v>70</v>
      </c>
      <c r="AC420" s="136">
        <v>5</v>
      </c>
      <c r="AD420" s="197">
        <v>0</v>
      </c>
      <c r="AE420" s="90">
        <v>0</v>
      </c>
      <c r="AF420" s="91">
        <v>0</v>
      </c>
      <c r="AG420" s="92">
        <v>0</v>
      </c>
      <c r="AH420" s="81">
        <v>0</v>
      </c>
      <c r="AI420" s="133">
        <f t="shared" si="487"/>
        <v>0</v>
      </c>
      <c r="AJ420" s="71">
        <v>5</v>
      </c>
      <c r="AK420" s="136"/>
      <c r="AL420" s="136"/>
      <c r="AM420" s="72"/>
      <c r="AN420" s="136"/>
      <c r="AO420" s="72"/>
      <c r="AP420" s="119" t="s">
        <v>58</v>
      </c>
      <c r="AQ420" s="136">
        <v>5</v>
      </c>
      <c r="AR420" s="161">
        <v>0</v>
      </c>
      <c r="AS420" s="162">
        <v>5</v>
      </c>
      <c r="AT420" s="163">
        <v>0</v>
      </c>
      <c r="AU420" s="119"/>
      <c r="AV420" s="136"/>
      <c r="AW420" s="119"/>
      <c r="AX420" s="117" t="s">
        <v>59</v>
      </c>
    </row>
    <row r="421" spans="1:50" s="77" customFormat="1" ht="37.5" x14ac:dyDescent="0.25">
      <c r="A421" s="310"/>
      <c r="B421" s="115" t="s">
        <v>224</v>
      </c>
      <c r="C421" s="115" t="s">
        <v>168</v>
      </c>
      <c r="D421" s="117" t="s">
        <v>106</v>
      </c>
      <c r="E421" s="117" t="s">
        <v>48</v>
      </c>
      <c r="F421" s="272"/>
      <c r="G421" s="119" t="s">
        <v>228</v>
      </c>
      <c r="H421" s="136">
        <v>55</v>
      </c>
      <c r="I421" s="197">
        <v>0</v>
      </c>
      <c r="J421" s="90">
        <v>0</v>
      </c>
      <c r="K421" s="91">
        <v>0</v>
      </c>
      <c r="L421" s="92">
        <v>0</v>
      </c>
      <c r="M421" s="81">
        <v>0</v>
      </c>
      <c r="N421" s="133">
        <f t="shared" si="488"/>
        <v>0</v>
      </c>
      <c r="O421" s="71">
        <v>5</v>
      </c>
      <c r="P421" s="71"/>
      <c r="Q421" s="136"/>
      <c r="R421" s="119" t="s">
        <v>51</v>
      </c>
      <c r="S421" s="120" t="s">
        <v>354</v>
      </c>
      <c r="T421" s="251"/>
      <c r="U421" s="136">
        <v>55</v>
      </c>
      <c r="V421" s="197">
        <v>0</v>
      </c>
      <c r="W421" s="90">
        <v>0</v>
      </c>
      <c r="X421" s="91">
        <v>0</v>
      </c>
      <c r="Y421" s="92">
        <v>0</v>
      </c>
      <c r="Z421" s="81">
        <v>0</v>
      </c>
      <c r="AA421" s="133">
        <f t="shared" si="486"/>
        <v>0</v>
      </c>
      <c r="AB421" s="71">
        <v>55</v>
      </c>
      <c r="AC421" s="136">
        <v>0</v>
      </c>
      <c r="AD421" s="197">
        <v>0</v>
      </c>
      <c r="AE421" s="90">
        <v>0</v>
      </c>
      <c r="AF421" s="91">
        <v>0</v>
      </c>
      <c r="AG421" s="92">
        <v>0</v>
      </c>
      <c r="AH421" s="81">
        <v>0</v>
      </c>
      <c r="AI421" s="133">
        <f t="shared" si="487"/>
        <v>0</v>
      </c>
      <c r="AJ421" s="71">
        <v>0</v>
      </c>
      <c r="AK421" s="136"/>
      <c r="AL421" s="136"/>
      <c r="AM421" s="72"/>
      <c r="AN421" s="136"/>
      <c r="AO421" s="72"/>
      <c r="AP421" s="119"/>
      <c r="AQ421" s="136">
        <v>0</v>
      </c>
      <c r="AR421" s="161">
        <v>0</v>
      </c>
      <c r="AS421" s="162">
        <v>0</v>
      </c>
      <c r="AT421" s="163">
        <v>0</v>
      </c>
      <c r="AU421" s="119"/>
      <c r="AV421" s="136"/>
      <c r="AW421" s="119"/>
      <c r="AX421" s="117" t="s">
        <v>59</v>
      </c>
    </row>
    <row r="422" spans="1:50" s="77" customFormat="1" ht="56.25" x14ac:dyDescent="0.25">
      <c r="A422" s="310"/>
      <c r="B422" s="115" t="s">
        <v>224</v>
      </c>
      <c r="C422" s="115" t="s">
        <v>168</v>
      </c>
      <c r="D422" s="117" t="s">
        <v>106</v>
      </c>
      <c r="E422" s="117" t="s">
        <v>48</v>
      </c>
      <c r="F422" s="272"/>
      <c r="G422" s="119" t="s">
        <v>234</v>
      </c>
      <c r="H422" s="136">
        <v>55</v>
      </c>
      <c r="I422" s="197">
        <v>0</v>
      </c>
      <c r="J422" s="90">
        <v>0</v>
      </c>
      <c r="K422" s="91">
        <v>13</v>
      </c>
      <c r="L422" s="92">
        <v>0</v>
      </c>
      <c r="M422" s="81">
        <v>0</v>
      </c>
      <c r="N422" s="133">
        <f t="shared" si="488"/>
        <v>13</v>
      </c>
      <c r="O422" s="71">
        <v>40</v>
      </c>
      <c r="P422" s="71"/>
      <c r="Q422" s="136"/>
      <c r="R422" s="119" t="s">
        <v>51</v>
      </c>
      <c r="S422" s="120" t="s">
        <v>151</v>
      </c>
      <c r="T422" s="251"/>
      <c r="U422" s="136">
        <v>55</v>
      </c>
      <c r="V422" s="197">
        <v>0</v>
      </c>
      <c r="W422" s="90">
        <v>0</v>
      </c>
      <c r="X422" s="91">
        <v>13</v>
      </c>
      <c r="Y422" s="92">
        <v>0</v>
      </c>
      <c r="Z422" s="81">
        <v>0</v>
      </c>
      <c r="AA422" s="133">
        <f t="shared" si="486"/>
        <v>13</v>
      </c>
      <c r="AB422" s="71">
        <v>35</v>
      </c>
      <c r="AC422" s="136">
        <v>5</v>
      </c>
      <c r="AD422" s="197">
        <v>0</v>
      </c>
      <c r="AE422" s="90">
        <v>0</v>
      </c>
      <c r="AF422" s="91">
        <v>0</v>
      </c>
      <c r="AG422" s="92">
        <v>0</v>
      </c>
      <c r="AH422" s="81">
        <v>0</v>
      </c>
      <c r="AI422" s="133">
        <f t="shared" si="487"/>
        <v>0</v>
      </c>
      <c r="AJ422" s="71">
        <v>4</v>
      </c>
      <c r="AK422" s="136"/>
      <c r="AL422" s="136" t="s">
        <v>335</v>
      </c>
      <c r="AM422" s="72">
        <v>1</v>
      </c>
      <c r="AN422" s="136"/>
      <c r="AO422" s="72"/>
      <c r="AP422" s="119" t="s">
        <v>58</v>
      </c>
      <c r="AQ422" s="136">
        <v>5</v>
      </c>
      <c r="AR422" s="161">
        <v>0</v>
      </c>
      <c r="AS422" s="162">
        <v>5</v>
      </c>
      <c r="AT422" s="163">
        <v>0</v>
      </c>
      <c r="AU422" s="119"/>
      <c r="AV422" s="136"/>
      <c r="AW422" s="119"/>
      <c r="AX422" s="117" t="s">
        <v>59</v>
      </c>
    </row>
    <row r="423" spans="1:50" s="77" customFormat="1" ht="36" x14ac:dyDescent="0.25">
      <c r="A423" s="310"/>
      <c r="B423" s="115" t="s">
        <v>224</v>
      </c>
      <c r="C423" s="115" t="s">
        <v>168</v>
      </c>
      <c r="D423" s="117" t="s">
        <v>106</v>
      </c>
      <c r="E423" s="117" t="s">
        <v>48</v>
      </c>
      <c r="F423" s="142" t="s">
        <v>61</v>
      </c>
      <c r="G423" s="155"/>
      <c r="H423" s="153">
        <f>SUBTOTAL(9,H418:H422)</f>
        <v>170</v>
      </c>
      <c r="I423" s="153">
        <f t="shared" ref="I423" si="519">SUBTOTAL(9,I418:I422)</f>
        <v>0</v>
      </c>
      <c r="J423" s="153">
        <f t="shared" ref="J423:O423" si="520">SUBTOTAL(9,J418:J422)</f>
        <v>20</v>
      </c>
      <c r="K423" s="153">
        <f t="shared" si="520"/>
        <v>53</v>
      </c>
      <c r="L423" s="153">
        <f t="shared" si="520"/>
        <v>5</v>
      </c>
      <c r="M423" s="153">
        <f t="shared" si="520"/>
        <v>0</v>
      </c>
      <c r="N423" s="153">
        <f t="shared" si="488"/>
        <v>78</v>
      </c>
      <c r="O423" s="153">
        <f t="shared" si="520"/>
        <v>110</v>
      </c>
      <c r="P423" s="153"/>
      <c r="Q423" s="156"/>
      <c r="R423" s="129"/>
      <c r="S423" s="157"/>
      <c r="T423" s="158"/>
      <c r="U423" s="153">
        <f t="shared" ref="U423:AJ423" si="521">SUM(U418:U422)</f>
        <v>320</v>
      </c>
      <c r="V423" s="153">
        <f t="shared" si="521"/>
        <v>2</v>
      </c>
      <c r="W423" s="153">
        <f t="shared" si="521"/>
        <v>20</v>
      </c>
      <c r="X423" s="153">
        <f t="shared" si="521"/>
        <v>44</v>
      </c>
      <c r="Y423" s="153">
        <f t="shared" ref="Y423" si="522">SUBTOTAL(9,Y418:Y422)</f>
        <v>5</v>
      </c>
      <c r="Z423" s="153">
        <f t="shared" si="521"/>
        <v>0</v>
      </c>
      <c r="AA423" s="153">
        <f t="shared" si="486"/>
        <v>71</v>
      </c>
      <c r="AB423" s="153">
        <f t="shared" si="521"/>
        <v>250</v>
      </c>
      <c r="AC423" s="153">
        <f t="shared" si="521"/>
        <v>30</v>
      </c>
      <c r="AD423" s="153">
        <f t="shared" si="521"/>
        <v>0</v>
      </c>
      <c r="AE423" s="153">
        <f t="shared" si="521"/>
        <v>0</v>
      </c>
      <c r="AF423" s="153">
        <f t="shared" si="521"/>
        <v>0</v>
      </c>
      <c r="AG423" s="153">
        <f t="shared" ref="AG423" si="523">SUM(AG418:AG422)</f>
        <v>0</v>
      </c>
      <c r="AH423" s="153">
        <f t="shared" si="521"/>
        <v>0</v>
      </c>
      <c r="AI423" s="153">
        <f t="shared" si="487"/>
        <v>0</v>
      </c>
      <c r="AJ423" s="153">
        <f t="shared" si="521"/>
        <v>29</v>
      </c>
      <c r="AK423" s="156"/>
      <c r="AL423" s="156"/>
      <c r="AM423" s="156">
        <f>SUM(AM418:AM422)</f>
        <v>5</v>
      </c>
      <c r="AN423" s="156"/>
      <c r="AO423" s="156"/>
      <c r="AP423" s="155"/>
      <c r="AQ423" s="153">
        <f>SUM(AQ418:AQ422)</f>
        <v>20</v>
      </c>
      <c r="AR423" s="153">
        <f>SUBTOTAL(9,AR418:AR422)</f>
        <v>0</v>
      </c>
      <c r="AS423" s="153">
        <f>SUM(AS418:AS422)</f>
        <v>20</v>
      </c>
      <c r="AT423" s="153">
        <f>SUM(AT418:AT422)</f>
        <v>0</v>
      </c>
      <c r="AU423" s="129"/>
      <c r="AV423" s="156"/>
      <c r="AW423" s="155"/>
      <c r="AX423" s="155" t="s">
        <v>59</v>
      </c>
    </row>
    <row r="424" spans="1:50" s="77" customFormat="1" ht="36" x14ac:dyDescent="0.25">
      <c r="A424" s="310"/>
      <c r="B424" s="115" t="s">
        <v>224</v>
      </c>
      <c r="C424" s="115" t="s">
        <v>355</v>
      </c>
      <c r="D424" s="117" t="s">
        <v>356</v>
      </c>
      <c r="E424" s="117" t="s">
        <v>75</v>
      </c>
      <c r="F424" s="138"/>
      <c r="G424" s="119" t="s">
        <v>172</v>
      </c>
      <c r="H424" s="136">
        <v>5</v>
      </c>
      <c r="I424" s="197">
        <v>0</v>
      </c>
      <c r="J424" s="90">
        <v>0</v>
      </c>
      <c r="K424" s="91">
        <v>0</v>
      </c>
      <c r="L424" s="92">
        <v>0</v>
      </c>
      <c r="M424" s="81">
        <v>0</v>
      </c>
      <c r="N424" s="133">
        <f t="shared" si="488"/>
        <v>0</v>
      </c>
      <c r="O424" s="71">
        <v>5</v>
      </c>
      <c r="P424" s="71"/>
      <c r="Q424" s="136"/>
      <c r="R424" s="119" t="s">
        <v>173</v>
      </c>
      <c r="S424" s="120" t="s">
        <v>357</v>
      </c>
      <c r="T424" s="119" t="s">
        <v>358</v>
      </c>
      <c r="U424" s="136">
        <v>5</v>
      </c>
      <c r="V424" s="197">
        <v>0</v>
      </c>
      <c r="W424" s="90">
        <v>0</v>
      </c>
      <c r="X424" s="91">
        <v>0</v>
      </c>
      <c r="Y424" s="92">
        <v>0</v>
      </c>
      <c r="Z424" s="81">
        <v>0</v>
      </c>
      <c r="AA424" s="133">
        <f t="shared" si="486"/>
        <v>0</v>
      </c>
      <c r="AB424" s="71">
        <v>0</v>
      </c>
      <c r="AC424" s="136">
        <v>0</v>
      </c>
      <c r="AD424" s="197">
        <v>0</v>
      </c>
      <c r="AE424" s="90">
        <v>0</v>
      </c>
      <c r="AF424" s="91">
        <v>0</v>
      </c>
      <c r="AG424" s="92">
        <v>0</v>
      </c>
      <c r="AH424" s="81">
        <v>0</v>
      </c>
      <c r="AI424" s="133">
        <f t="shared" si="487"/>
        <v>0</v>
      </c>
      <c r="AJ424" s="71">
        <v>0</v>
      </c>
      <c r="AK424" s="136"/>
      <c r="AL424" s="136"/>
      <c r="AM424" s="72"/>
      <c r="AN424" s="136"/>
      <c r="AO424" s="72"/>
      <c r="AP424" s="119"/>
      <c r="AQ424" s="136">
        <v>0</v>
      </c>
      <c r="AR424" s="161">
        <v>0</v>
      </c>
      <c r="AS424" s="162">
        <v>0</v>
      </c>
      <c r="AT424" s="163">
        <v>0</v>
      </c>
      <c r="AU424" s="119"/>
      <c r="AV424" s="136"/>
      <c r="AW424" s="119"/>
      <c r="AX424" s="117" t="s">
        <v>214</v>
      </c>
    </row>
    <row r="425" spans="1:50" s="77" customFormat="1" ht="36" x14ac:dyDescent="0.25">
      <c r="A425" s="310"/>
      <c r="B425" s="115" t="s">
        <v>224</v>
      </c>
      <c r="C425" s="115" t="s">
        <v>355</v>
      </c>
      <c r="D425" s="117" t="s">
        <v>356</v>
      </c>
      <c r="E425" s="117" t="s">
        <v>75</v>
      </c>
      <c r="F425" s="142" t="s">
        <v>61</v>
      </c>
      <c r="G425" s="155"/>
      <c r="H425" s="153">
        <f>SUBTOTAL(9,H424)</f>
        <v>5</v>
      </c>
      <c r="I425" s="153">
        <f t="shared" ref="I425" si="524">SUBTOTAL(9,I424)</f>
        <v>0</v>
      </c>
      <c r="J425" s="153">
        <f t="shared" ref="J425:O425" si="525">SUBTOTAL(9,J424)</f>
        <v>0</v>
      </c>
      <c r="K425" s="153">
        <f t="shared" si="525"/>
        <v>0</v>
      </c>
      <c r="L425" s="153">
        <f t="shared" si="525"/>
        <v>0</v>
      </c>
      <c r="M425" s="153">
        <f t="shared" si="525"/>
        <v>0</v>
      </c>
      <c r="N425" s="153">
        <f t="shared" si="488"/>
        <v>0</v>
      </c>
      <c r="O425" s="153">
        <f t="shared" si="525"/>
        <v>5</v>
      </c>
      <c r="P425" s="153"/>
      <c r="Q425" s="156"/>
      <c r="R425" s="129"/>
      <c r="S425" s="157"/>
      <c r="T425" s="158"/>
      <c r="U425" s="153">
        <f>SUBTOTAL(9,U424)</f>
        <v>5</v>
      </c>
      <c r="V425" s="153">
        <f t="shared" ref="V425" si="526">SUBTOTAL(9,V424)</f>
        <v>0</v>
      </c>
      <c r="W425" s="153">
        <f t="shared" ref="W425:AJ425" si="527">SUBTOTAL(9,W424)</f>
        <v>0</v>
      </c>
      <c r="X425" s="153">
        <f t="shared" si="527"/>
        <v>0</v>
      </c>
      <c r="Y425" s="153">
        <f t="shared" si="527"/>
        <v>0</v>
      </c>
      <c r="Z425" s="153">
        <f t="shared" si="527"/>
        <v>0</v>
      </c>
      <c r="AA425" s="153">
        <f t="shared" si="486"/>
        <v>0</v>
      </c>
      <c r="AB425" s="153">
        <f t="shared" si="527"/>
        <v>0</v>
      </c>
      <c r="AC425" s="153">
        <f t="shared" si="527"/>
        <v>0</v>
      </c>
      <c r="AD425" s="153">
        <f t="shared" si="527"/>
        <v>0</v>
      </c>
      <c r="AE425" s="153">
        <f t="shared" si="527"/>
        <v>0</v>
      </c>
      <c r="AF425" s="153">
        <f t="shared" si="527"/>
        <v>0</v>
      </c>
      <c r="AG425" s="153">
        <f t="shared" ref="AG425" si="528">SUBTOTAL(9,AG424)</f>
        <v>0</v>
      </c>
      <c r="AH425" s="153">
        <f t="shared" si="527"/>
        <v>0</v>
      </c>
      <c r="AI425" s="153">
        <f t="shared" si="487"/>
        <v>0</v>
      </c>
      <c r="AJ425" s="153">
        <f t="shared" si="527"/>
        <v>0</v>
      </c>
      <c r="AK425" s="156"/>
      <c r="AL425" s="156"/>
      <c r="AM425" s="156"/>
      <c r="AN425" s="156"/>
      <c r="AO425" s="156"/>
      <c r="AP425" s="155"/>
      <c r="AQ425" s="153">
        <f>SUBTOTAL(9,AQ424)</f>
        <v>0</v>
      </c>
      <c r="AR425" s="153">
        <f t="shared" ref="AR425:AT425" si="529">SUBTOTAL(9,AR424)</f>
        <v>0</v>
      </c>
      <c r="AS425" s="153">
        <f t="shared" si="529"/>
        <v>0</v>
      </c>
      <c r="AT425" s="153">
        <f t="shared" si="529"/>
        <v>0</v>
      </c>
      <c r="AU425" s="129"/>
      <c r="AV425" s="156"/>
      <c r="AW425" s="155"/>
      <c r="AX425" s="155" t="s">
        <v>214</v>
      </c>
    </row>
    <row r="426" spans="1:50" s="77" customFormat="1" ht="36" x14ac:dyDescent="0.25">
      <c r="A426" s="310"/>
      <c r="B426" s="115" t="s">
        <v>224</v>
      </c>
      <c r="C426" s="314" t="s">
        <v>177</v>
      </c>
      <c r="D426" s="117" t="s">
        <v>106</v>
      </c>
      <c r="E426" s="117" t="s">
        <v>75</v>
      </c>
      <c r="F426" s="272"/>
      <c r="G426" s="119" t="s">
        <v>231</v>
      </c>
      <c r="H426" s="272">
        <v>30</v>
      </c>
      <c r="I426" s="238">
        <v>0</v>
      </c>
      <c r="J426" s="230">
        <v>0</v>
      </c>
      <c r="K426" s="224">
        <v>0</v>
      </c>
      <c r="L426" s="226">
        <v>0</v>
      </c>
      <c r="M426" s="232">
        <v>0</v>
      </c>
      <c r="N426" s="278">
        <f t="shared" si="488"/>
        <v>0</v>
      </c>
      <c r="O426" s="242">
        <v>30</v>
      </c>
      <c r="P426" s="71"/>
      <c r="Q426" s="272"/>
      <c r="R426" s="272" t="s">
        <v>179</v>
      </c>
      <c r="S426" s="276" t="s">
        <v>359</v>
      </c>
      <c r="T426" s="251" t="s">
        <v>242</v>
      </c>
      <c r="U426" s="272">
        <v>30</v>
      </c>
      <c r="V426" s="238">
        <v>0</v>
      </c>
      <c r="W426" s="230">
        <v>0</v>
      </c>
      <c r="X426" s="224">
        <v>0</v>
      </c>
      <c r="Y426" s="226">
        <v>0</v>
      </c>
      <c r="Z426" s="232">
        <v>0</v>
      </c>
      <c r="AA426" s="278">
        <f t="shared" si="486"/>
        <v>0</v>
      </c>
      <c r="AB426" s="242">
        <v>30</v>
      </c>
      <c r="AC426" s="272">
        <v>10</v>
      </c>
      <c r="AD426" s="238">
        <v>0</v>
      </c>
      <c r="AE426" s="230">
        <v>0</v>
      </c>
      <c r="AF426" s="224">
        <v>0</v>
      </c>
      <c r="AG426" s="226">
        <v>0</v>
      </c>
      <c r="AH426" s="232">
        <v>0</v>
      </c>
      <c r="AI426" s="278">
        <f t="shared" si="487"/>
        <v>0</v>
      </c>
      <c r="AJ426" s="242">
        <v>10</v>
      </c>
      <c r="AK426" s="272"/>
      <c r="AL426" s="272"/>
      <c r="AM426" s="243"/>
      <c r="AN426" s="272"/>
      <c r="AO426" s="72"/>
      <c r="AP426" s="119" t="s">
        <v>58</v>
      </c>
      <c r="AQ426" s="136">
        <v>10</v>
      </c>
      <c r="AR426" s="161">
        <v>0</v>
      </c>
      <c r="AS426" s="162">
        <v>0</v>
      </c>
      <c r="AT426" s="163">
        <v>10</v>
      </c>
      <c r="AU426" s="272"/>
      <c r="AV426" s="272"/>
      <c r="AW426" s="272"/>
      <c r="AX426" s="138" t="s">
        <v>147</v>
      </c>
    </row>
    <row r="427" spans="1:50" s="77" customFormat="1" ht="36" x14ac:dyDescent="0.25">
      <c r="A427" s="310"/>
      <c r="B427" s="115" t="s">
        <v>224</v>
      </c>
      <c r="C427" s="314" t="s">
        <v>177</v>
      </c>
      <c r="D427" s="167" t="s">
        <v>106</v>
      </c>
      <c r="E427" s="167" t="s">
        <v>75</v>
      </c>
      <c r="F427" s="272"/>
      <c r="G427" s="119" t="s">
        <v>231</v>
      </c>
      <c r="H427" s="272"/>
      <c r="I427" s="239"/>
      <c r="J427" s="231"/>
      <c r="K427" s="225"/>
      <c r="L427" s="227"/>
      <c r="M427" s="233"/>
      <c r="N427" s="278">
        <f t="shared" si="488"/>
        <v>0</v>
      </c>
      <c r="O427" s="242"/>
      <c r="P427" s="71"/>
      <c r="Q427" s="272"/>
      <c r="R427" s="272"/>
      <c r="S427" s="276"/>
      <c r="T427" s="251"/>
      <c r="U427" s="272"/>
      <c r="V427" s="239"/>
      <c r="W427" s="231"/>
      <c r="X427" s="225"/>
      <c r="Y427" s="227"/>
      <c r="Z427" s="233"/>
      <c r="AA427" s="278">
        <f t="shared" si="486"/>
        <v>0</v>
      </c>
      <c r="AB427" s="242"/>
      <c r="AC427" s="272"/>
      <c r="AD427" s="239"/>
      <c r="AE427" s="231"/>
      <c r="AF427" s="225"/>
      <c r="AG427" s="227"/>
      <c r="AH427" s="233"/>
      <c r="AI427" s="278">
        <f t="shared" si="487"/>
        <v>0</v>
      </c>
      <c r="AJ427" s="242"/>
      <c r="AK427" s="272"/>
      <c r="AL427" s="272"/>
      <c r="AM427" s="243"/>
      <c r="AN427" s="272"/>
      <c r="AO427" s="72"/>
      <c r="AP427" s="119" t="s">
        <v>127</v>
      </c>
      <c r="AQ427" s="136">
        <v>1</v>
      </c>
      <c r="AR427" s="161">
        <v>0</v>
      </c>
      <c r="AS427" s="162">
        <v>0</v>
      </c>
      <c r="AT427" s="163">
        <v>1</v>
      </c>
      <c r="AU427" s="272"/>
      <c r="AV427" s="272"/>
      <c r="AW427" s="272"/>
      <c r="AX427" s="138" t="s">
        <v>147</v>
      </c>
    </row>
    <row r="428" spans="1:50" s="77" customFormat="1" ht="36" x14ac:dyDescent="0.25">
      <c r="A428" s="310"/>
      <c r="B428" s="115" t="s">
        <v>224</v>
      </c>
      <c r="C428" s="314" t="s">
        <v>177</v>
      </c>
      <c r="D428" s="167" t="s">
        <v>106</v>
      </c>
      <c r="E428" s="167" t="s">
        <v>75</v>
      </c>
      <c r="F428" s="272"/>
      <c r="G428" s="119" t="s">
        <v>178</v>
      </c>
      <c r="H428" s="272">
        <v>50</v>
      </c>
      <c r="I428" s="238">
        <v>0</v>
      </c>
      <c r="J428" s="230">
        <v>0</v>
      </c>
      <c r="K428" s="224">
        <v>0</v>
      </c>
      <c r="L428" s="226">
        <v>0</v>
      </c>
      <c r="M428" s="232">
        <v>0</v>
      </c>
      <c r="N428" s="278">
        <f t="shared" si="488"/>
        <v>0</v>
      </c>
      <c r="O428" s="242">
        <v>50</v>
      </c>
      <c r="P428" s="71"/>
      <c r="Q428" s="272"/>
      <c r="R428" s="272" t="s">
        <v>179</v>
      </c>
      <c r="S428" s="276" t="s">
        <v>360</v>
      </c>
      <c r="T428" s="251" t="s">
        <v>77</v>
      </c>
      <c r="U428" s="272">
        <v>50</v>
      </c>
      <c r="V428" s="238">
        <v>0</v>
      </c>
      <c r="W428" s="230">
        <v>0</v>
      </c>
      <c r="X428" s="224">
        <v>0</v>
      </c>
      <c r="Y428" s="226">
        <v>0</v>
      </c>
      <c r="Z428" s="232">
        <v>0</v>
      </c>
      <c r="AA428" s="278">
        <f t="shared" si="486"/>
        <v>0</v>
      </c>
      <c r="AB428" s="242">
        <v>50</v>
      </c>
      <c r="AC428" s="272">
        <v>15</v>
      </c>
      <c r="AD428" s="238">
        <v>0</v>
      </c>
      <c r="AE428" s="230">
        <v>0</v>
      </c>
      <c r="AF428" s="224">
        <v>0</v>
      </c>
      <c r="AG428" s="226">
        <v>0</v>
      </c>
      <c r="AH428" s="232">
        <v>0</v>
      </c>
      <c r="AI428" s="278">
        <f t="shared" si="487"/>
        <v>0</v>
      </c>
      <c r="AJ428" s="242">
        <v>15</v>
      </c>
      <c r="AK428" s="272"/>
      <c r="AL428" s="272" t="s">
        <v>183</v>
      </c>
      <c r="AM428" s="243">
        <v>50</v>
      </c>
      <c r="AN428" s="272"/>
      <c r="AO428" s="72"/>
      <c r="AP428" s="119" t="s">
        <v>58</v>
      </c>
      <c r="AQ428" s="136">
        <v>15</v>
      </c>
      <c r="AR428" s="161">
        <v>0</v>
      </c>
      <c r="AS428" s="162">
        <v>0</v>
      </c>
      <c r="AT428" s="163">
        <v>15</v>
      </c>
      <c r="AU428" s="272"/>
      <c r="AV428" s="272"/>
      <c r="AW428" s="272"/>
      <c r="AX428" s="138" t="s">
        <v>147</v>
      </c>
    </row>
    <row r="429" spans="1:50" s="77" customFormat="1" ht="36" x14ac:dyDescent="0.25">
      <c r="A429" s="310"/>
      <c r="B429" s="115" t="s">
        <v>224</v>
      </c>
      <c r="C429" s="314" t="s">
        <v>177</v>
      </c>
      <c r="D429" s="167" t="s">
        <v>106</v>
      </c>
      <c r="E429" s="167" t="s">
        <v>75</v>
      </c>
      <c r="F429" s="272"/>
      <c r="G429" s="119" t="s">
        <v>178</v>
      </c>
      <c r="H429" s="272"/>
      <c r="I429" s="239"/>
      <c r="J429" s="231"/>
      <c r="K429" s="225"/>
      <c r="L429" s="227"/>
      <c r="M429" s="233"/>
      <c r="N429" s="278">
        <f t="shared" si="488"/>
        <v>0</v>
      </c>
      <c r="O429" s="242"/>
      <c r="P429" s="71"/>
      <c r="Q429" s="272"/>
      <c r="R429" s="272"/>
      <c r="S429" s="276"/>
      <c r="T429" s="251"/>
      <c r="U429" s="272"/>
      <c r="V429" s="239"/>
      <c r="W429" s="231"/>
      <c r="X429" s="225"/>
      <c r="Y429" s="227"/>
      <c r="Z429" s="233"/>
      <c r="AA429" s="278">
        <f t="shared" si="486"/>
        <v>0</v>
      </c>
      <c r="AB429" s="242"/>
      <c r="AC429" s="272"/>
      <c r="AD429" s="239"/>
      <c r="AE429" s="231"/>
      <c r="AF429" s="225"/>
      <c r="AG429" s="227"/>
      <c r="AH429" s="233"/>
      <c r="AI429" s="278">
        <f t="shared" si="487"/>
        <v>0</v>
      </c>
      <c r="AJ429" s="242"/>
      <c r="AK429" s="272"/>
      <c r="AL429" s="272"/>
      <c r="AM429" s="243"/>
      <c r="AN429" s="272"/>
      <c r="AO429" s="72"/>
      <c r="AP429" s="119" t="s">
        <v>127</v>
      </c>
      <c r="AQ429" s="136">
        <v>1</v>
      </c>
      <c r="AR429" s="161">
        <v>0</v>
      </c>
      <c r="AS429" s="162">
        <v>0</v>
      </c>
      <c r="AT429" s="163">
        <v>1</v>
      </c>
      <c r="AU429" s="272"/>
      <c r="AV429" s="272"/>
      <c r="AW429" s="272"/>
      <c r="AX429" s="138" t="s">
        <v>147</v>
      </c>
    </row>
    <row r="430" spans="1:50" s="77" customFormat="1" ht="36" x14ac:dyDescent="0.25">
      <c r="A430" s="310"/>
      <c r="B430" s="115" t="s">
        <v>224</v>
      </c>
      <c r="C430" s="314" t="s">
        <v>177</v>
      </c>
      <c r="D430" s="167" t="s">
        <v>106</v>
      </c>
      <c r="E430" s="167" t="s">
        <v>75</v>
      </c>
      <c r="F430" s="272"/>
      <c r="G430" s="119" t="s">
        <v>227</v>
      </c>
      <c r="H430" s="272">
        <v>50</v>
      </c>
      <c r="I430" s="238">
        <v>0</v>
      </c>
      <c r="J430" s="230">
        <v>0</v>
      </c>
      <c r="K430" s="224">
        <v>0</v>
      </c>
      <c r="L430" s="226">
        <v>0</v>
      </c>
      <c r="M430" s="232">
        <v>0</v>
      </c>
      <c r="N430" s="278">
        <f t="shared" si="488"/>
        <v>0</v>
      </c>
      <c r="O430" s="242">
        <v>50</v>
      </c>
      <c r="P430" s="71"/>
      <c r="Q430" s="272"/>
      <c r="R430" s="272" t="s">
        <v>179</v>
      </c>
      <c r="S430" s="276" t="s">
        <v>361</v>
      </c>
      <c r="T430" s="251"/>
      <c r="U430" s="272">
        <v>50</v>
      </c>
      <c r="V430" s="238">
        <v>0</v>
      </c>
      <c r="W430" s="230">
        <v>0</v>
      </c>
      <c r="X430" s="224">
        <v>0</v>
      </c>
      <c r="Y430" s="226">
        <v>0</v>
      </c>
      <c r="Z430" s="232">
        <v>0</v>
      </c>
      <c r="AA430" s="278">
        <f t="shared" si="486"/>
        <v>0</v>
      </c>
      <c r="AB430" s="242">
        <v>50</v>
      </c>
      <c r="AC430" s="272">
        <v>15</v>
      </c>
      <c r="AD430" s="238">
        <v>0</v>
      </c>
      <c r="AE430" s="230">
        <v>0</v>
      </c>
      <c r="AF430" s="224">
        <v>0</v>
      </c>
      <c r="AG430" s="226">
        <v>0</v>
      </c>
      <c r="AH430" s="232">
        <v>0</v>
      </c>
      <c r="AI430" s="278">
        <f t="shared" si="487"/>
        <v>0</v>
      </c>
      <c r="AJ430" s="242">
        <v>15</v>
      </c>
      <c r="AK430" s="272"/>
      <c r="AL430" s="272" t="s">
        <v>183</v>
      </c>
      <c r="AM430" s="243">
        <v>50</v>
      </c>
      <c r="AN430" s="272"/>
      <c r="AO430" s="72"/>
      <c r="AP430" s="119" t="s">
        <v>58</v>
      </c>
      <c r="AQ430" s="136">
        <v>15</v>
      </c>
      <c r="AR430" s="161">
        <v>0</v>
      </c>
      <c r="AS430" s="162">
        <v>0</v>
      </c>
      <c r="AT430" s="163">
        <v>15</v>
      </c>
      <c r="AU430" s="272"/>
      <c r="AV430" s="272"/>
      <c r="AW430" s="272"/>
      <c r="AX430" s="138" t="s">
        <v>147</v>
      </c>
    </row>
    <row r="431" spans="1:50" s="77" customFormat="1" ht="36" x14ac:dyDescent="0.25">
      <c r="A431" s="310"/>
      <c r="B431" s="115" t="s">
        <v>224</v>
      </c>
      <c r="C431" s="314" t="s">
        <v>177</v>
      </c>
      <c r="D431" s="167" t="s">
        <v>106</v>
      </c>
      <c r="E431" s="167" t="s">
        <v>75</v>
      </c>
      <c r="F431" s="272"/>
      <c r="G431" s="119" t="s">
        <v>227</v>
      </c>
      <c r="H431" s="272"/>
      <c r="I431" s="239"/>
      <c r="J431" s="231"/>
      <c r="K431" s="225"/>
      <c r="L431" s="227"/>
      <c r="M431" s="233"/>
      <c r="N431" s="278">
        <f t="shared" si="488"/>
        <v>0</v>
      </c>
      <c r="O431" s="242"/>
      <c r="P431" s="71"/>
      <c r="Q431" s="272"/>
      <c r="R431" s="272"/>
      <c r="S431" s="276"/>
      <c r="T431" s="251"/>
      <c r="U431" s="272"/>
      <c r="V431" s="239"/>
      <c r="W431" s="231"/>
      <c r="X431" s="225"/>
      <c r="Y431" s="227"/>
      <c r="Z431" s="233"/>
      <c r="AA431" s="278">
        <f t="shared" si="486"/>
        <v>0</v>
      </c>
      <c r="AB431" s="242"/>
      <c r="AC431" s="272"/>
      <c r="AD431" s="239"/>
      <c r="AE431" s="231"/>
      <c r="AF431" s="225"/>
      <c r="AG431" s="227"/>
      <c r="AH431" s="233"/>
      <c r="AI431" s="278">
        <f t="shared" si="487"/>
        <v>0</v>
      </c>
      <c r="AJ431" s="242"/>
      <c r="AK431" s="272"/>
      <c r="AL431" s="272"/>
      <c r="AM431" s="243"/>
      <c r="AN431" s="272"/>
      <c r="AO431" s="72"/>
      <c r="AP431" s="119" t="s">
        <v>127</v>
      </c>
      <c r="AQ431" s="136">
        <v>1</v>
      </c>
      <c r="AR431" s="161">
        <v>0</v>
      </c>
      <c r="AS431" s="162">
        <v>0</v>
      </c>
      <c r="AT431" s="163">
        <v>1</v>
      </c>
      <c r="AU431" s="272"/>
      <c r="AV431" s="272"/>
      <c r="AW431" s="272"/>
      <c r="AX431" s="138" t="s">
        <v>147</v>
      </c>
    </row>
    <row r="432" spans="1:50" s="77" customFormat="1" ht="36" x14ac:dyDescent="0.25">
      <c r="A432" s="310"/>
      <c r="B432" s="115" t="s">
        <v>224</v>
      </c>
      <c r="C432" s="314" t="s">
        <v>177</v>
      </c>
      <c r="D432" s="167" t="s">
        <v>106</v>
      </c>
      <c r="E432" s="167" t="s">
        <v>75</v>
      </c>
      <c r="F432" s="142" t="s">
        <v>61</v>
      </c>
      <c r="G432" s="155"/>
      <c r="H432" s="153">
        <f t="shared" ref="H432:O432" si="530">SUM(H426:H431)</f>
        <v>130</v>
      </c>
      <c r="I432" s="153">
        <f t="shared" si="530"/>
        <v>0</v>
      </c>
      <c r="J432" s="153">
        <f t="shared" si="530"/>
        <v>0</v>
      </c>
      <c r="K432" s="153">
        <f t="shared" si="530"/>
        <v>0</v>
      </c>
      <c r="L432" s="153">
        <f t="shared" si="530"/>
        <v>0</v>
      </c>
      <c r="M432" s="153">
        <f t="shared" si="530"/>
        <v>0</v>
      </c>
      <c r="N432" s="153">
        <f t="shared" si="488"/>
        <v>0</v>
      </c>
      <c r="O432" s="153">
        <f t="shared" si="530"/>
        <v>130</v>
      </c>
      <c r="P432" s="153"/>
      <c r="Q432" s="156"/>
      <c r="R432" s="129"/>
      <c r="S432" s="157"/>
      <c r="T432" s="155"/>
      <c r="U432" s="153">
        <f t="shared" ref="U432:AJ432" si="531">SUM(U426:U431)</f>
        <v>130</v>
      </c>
      <c r="V432" s="153">
        <f t="shared" si="531"/>
        <v>0</v>
      </c>
      <c r="W432" s="153">
        <f t="shared" si="531"/>
        <v>0</v>
      </c>
      <c r="X432" s="153">
        <f t="shared" si="531"/>
        <v>0</v>
      </c>
      <c r="Y432" s="153">
        <f t="shared" si="531"/>
        <v>0</v>
      </c>
      <c r="Z432" s="153">
        <f t="shared" si="531"/>
        <v>0</v>
      </c>
      <c r="AA432" s="153">
        <f t="shared" si="486"/>
        <v>0</v>
      </c>
      <c r="AB432" s="153">
        <f t="shared" si="531"/>
        <v>130</v>
      </c>
      <c r="AC432" s="153">
        <f t="shared" si="531"/>
        <v>40</v>
      </c>
      <c r="AD432" s="153">
        <f t="shared" si="531"/>
        <v>0</v>
      </c>
      <c r="AE432" s="153">
        <f t="shared" si="531"/>
        <v>0</v>
      </c>
      <c r="AF432" s="153">
        <f t="shared" si="531"/>
        <v>0</v>
      </c>
      <c r="AG432" s="153">
        <f t="shared" ref="AG432" si="532">SUM(AG426:AG431)</f>
        <v>0</v>
      </c>
      <c r="AH432" s="153">
        <f t="shared" si="531"/>
        <v>0</v>
      </c>
      <c r="AI432" s="153">
        <f t="shared" si="487"/>
        <v>0</v>
      </c>
      <c r="AJ432" s="153">
        <f t="shared" si="531"/>
        <v>40</v>
      </c>
      <c r="AK432" s="156"/>
      <c r="AL432" s="156"/>
      <c r="AM432" s="156">
        <f>SUM(AM426:AM431)</f>
        <v>100</v>
      </c>
      <c r="AN432" s="156"/>
      <c r="AO432" s="156"/>
      <c r="AP432" s="155"/>
      <c r="AQ432" s="153">
        <f>SUM(AQ426:AQ431)</f>
        <v>43</v>
      </c>
      <c r="AR432" s="153">
        <f>SUM(AR426:AR431)</f>
        <v>0</v>
      </c>
      <c r="AS432" s="153">
        <f>SUM(AS426:AS431)</f>
        <v>0</v>
      </c>
      <c r="AT432" s="153">
        <f>SUM(AT426:AT431)</f>
        <v>43</v>
      </c>
      <c r="AU432" s="129"/>
      <c r="AV432" s="156"/>
      <c r="AW432" s="156"/>
      <c r="AX432" s="156" t="s">
        <v>147</v>
      </c>
    </row>
    <row r="433" spans="1:50" s="77" customFormat="1" ht="36" x14ac:dyDescent="0.25">
      <c r="A433" s="166"/>
      <c r="B433" s="115" t="s">
        <v>224</v>
      </c>
      <c r="C433" s="115" t="s">
        <v>180</v>
      </c>
      <c r="D433" s="117" t="s">
        <v>106</v>
      </c>
      <c r="E433" s="117" t="s">
        <v>48</v>
      </c>
      <c r="F433" s="272" t="s">
        <v>49</v>
      </c>
      <c r="G433" s="119" t="s">
        <v>178</v>
      </c>
      <c r="H433" s="272">
        <v>30</v>
      </c>
      <c r="I433" s="238">
        <v>0</v>
      </c>
      <c r="J433" s="230">
        <v>0</v>
      </c>
      <c r="K433" s="224">
        <v>0</v>
      </c>
      <c r="L433" s="226">
        <v>0</v>
      </c>
      <c r="M433" s="232">
        <v>0</v>
      </c>
      <c r="N433" s="278">
        <f t="shared" si="488"/>
        <v>0</v>
      </c>
      <c r="O433" s="242">
        <v>30</v>
      </c>
      <c r="P433" s="71"/>
      <c r="Q433" s="272"/>
      <c r="R433" s="272" t="s">
        <v>179</v>
      </c>
      <c r="S433" s="276" t="s">
        <v>362</v>
      </c>
      <c r="T433" s="251" t="s">
        <v>77</v>
      </c>
      <c r="U433" s="272">
        <v>210</v>
      </c>
      <c r="V433" s="238">
        <v>0</v>
      </c>
      <c r="W433" s="230">
        <v>0</v>
      </c>
      <c r="X433" s="224">
        <v>0</v>
      </c>
      <c r="Y433" s="226">
        <v>0</v>
      </c>
      <c r="Z433" s="232">
        <v>0</v>
      </c>
      <c r="AA433" s="278">
        <f t="shared" si="486"/>
        <v>0</v>
      </c>
      <c r="AB433" s="242">
        <v>210</v>
      </c>
      <c r="AC433" s="272">
        <v>35</v>
      </c>
      <c r="AD433" s="238">
        <v>0</v>
      </c>
      <c r="AE433" s="230">
        <v>0</v>
      </c>
      <c r="AF433" s="224">
        <v>0</v>
      </c>
      <c r="AG433" s="226">
        <v>0</v>
      </c>
      <c r="AH433" s="232">
        <v>0</v>
      </c>
      <c r="AI433" s="278">
        <f t="shared" si="487"/>
        <v>0</v>
      </c>
      <c r="AJ433" s="242">
        <v>35</v>
      </c>
      <c r="AK433" s="272"/>
      <c r="AL433" s="272" t="s">
        <v>183</v>
      </c>
      <c r="AM433" s="243">
        <v>25</v>
      </c>
      <c r="AN433" s="272">
        <v>25</v>
      </c>
      <c r="AO433" s="72"/>
      <c r="AP433" s="119" t="s">
        <v>58</v>
      </c>
      <c r="AQ433" s="136">
        <v>35</v>
      </c>
      <c r="AR433" s="161">
        <v>0</v>
      </c>
      <c r="AS433" s="162">
        <v>0</v>
      </c>
      <c r="AT433" s="163">
        <v>35</v>
      </c>
      <c r="AU433" s="272"/>
      <c r="AV433" s="272"/>
      <c r="AW433" s="272"/>
      <c r="AX433" s="138" t="s">
        <v>147</v>
      </c>
    </row>
    <row r="434" spans="1:50" s="77" customFormat="1" ht="36" x14ac:dyDescent="0.25">
      <c r="A434" s="166"/>
      <c r="B434" s="115" t="s">
        <v>224</v>
      </c>
      <c r="C434" s="115" t="s">
        <v>180</v>
      </c>
      <c r="D434" s="117" t="s">
        <v>106</v>
      </c>
      <c r="E434" s="117" t="s">
        <v>48</v>
      </c>
      <c r="F434" s="272"/>
      <c r="G434" s="119" t="s">
        <v>178</v>
      </c>
      <c r="H434" s="272"/>
      <c r="I434" s="239"/>
      <c r="J434" s="231"/>
      <c r="K434" s="225"/>
      <c r="L434" s="227"/>
      <c r="M434" s="233"/>
      <c r="N434" s="278">
        <f t="shared" si="488"/>
        <v>0</v>
      </c>
      <c r="O434" s="242"/>
      <c r="P434" s="71"/>
      <c r="Q434" s="272"/>
      <c r="R434" s="272"/>
      <c r="S434" s="276"/>
      <c r="T434" s="251"/>
      <c r="U434" s="272"/>
      <c r="V434" s="239"/>
      <c r="W434" s="231"/>
      <c r="X434" s="225"/>
      <c r="Y434" s="227"/>
      <c r="Z434" s="233"/>
      <c r="AA434" s="278">
        <f t="shared" si="486"/>
        <v>0</v>
      </c>
      <c r="AB434" s="242"/>
      <c r="AC434" s="272"/>
      <c r="AD434" s="239"/>
      <c r="AE434" s="231"/>
      <c r="AF434" s="225"/>
      <c r="AG434" s="227"/>
      <c r="AH434" s="233"/>
      <c r="AI434" s="278">
        <f t="shared" si="487"/>
        <v>0</v>
      </c>
      <c r="AJ434" s="242"/>
      <c r="AK434" s="272"/>
      <c r="AL434" s="272"/>
      <c r="AM434" s="243"/>
      <c r="AN434" s="272"/>
      <c r="AO434" s="72"/>
      <c r="AP434" s="119" t="s">
        <v>127</v>
      </c>
      <c r="AQ434" s="136">
        <v>1</v>
      </c>
      <c r="AR434" s="161">
        <v>0</v>
      </c>
      <c r="AS434" s="162">
        <v>0</v>
      </c>
      <c r="AT434" s="163">
        <v>1</v>
      </c>
      <c r="AU434" s="272"/>
      <c r="AV434" s="272"/>
      <c r="AW434" s="272"/>
      <c r="AX434" s="138" t="s">
        <v>147</v>
      </c>
    </row>
    <row r="435" spans="1:50" s="77" customFormat="1" ht="36" customHeight="1" x14ac:dyDescent="0.25">
      <c r="A435" s="166"/>
      <c r="B435" s="115" t="s">
        <v>224</v>
      </c>
      <c r="C435" s="115" t="s">
        <v>180</v>
      </c>
      <c r="D435" s="117" t="s">
        <v>106</v>
      </c>
      <c r="E435" s="117" t="s">
        <v>48</v>
      </c>
      <c r="F435" s="272"/>
      <c r="G435" s="119" t="s">
        <v>227</v>
      </c>
      <c r="H435" s="272">
        <v>20</v>
      </c>
      <c r="I435" s="238">
        <v>0</v>
      </c>
      <c r="J435" s="230">
        <v>0</v>
      </c>
      <c r="K435" s="224">
        <v>0</v>
      </c>
      <c r="L435" s="226">
        <v>0</v>
      </c>
      <c r="M435" s="232">
        <v>0</v>
      </c>
      <c r="N435" s="278">
        <f t="shared" si="488"/>
        <v>0</v>
      </c>
      <c r="O435" s="242">
        <v>20</v>
      </c>
      <c r="P435" s="71"/>
      <c r="Q435" s="272"/>
      <c r="R435" s="272" t="s">
        <v>179</v>
      </c>
      <c r="S435" s="276" t="s">
        <v>362</v>
      </c>
      <c r="T435" s="251"/>
      <c r="U435" s="272">
        <v>160</v>
      </c>
      <c r="V435" s="238">
        <v>0</v>
      </c>
      <c r="W435" s="230">
        <v>0</v>
      </c>
      <c r="X435" s="224">
        <v>0</v>
      </c>
      <c r="Y435" s="226">
        <v>0</v>
      </c>
      <c r="Z435" s="232">
        <v>0</v>
      </c>
      <c r="AA435" s="278">
        <f t="shared" si="486"/>
        <v>0</v>
      </c>
      <c r="AB435" s="242">
        <v>160</v>
      </c>
      <c r="AC435" s="272">
        <v>35</v>
      </c>
      <c r="AD435" s="238">
        <v>0</v>
      </c>
      <c r="AE435" s="230">
        <v>0</v>
      </c>
      <c r="AF435" s="224">
        <v>0</v>
      </c>
      <c r="AG435" s="226">
        <v>0</v>
      </c>
      <c r="AH435" s="232">
        <v>0</v>
      </c>
      <c r="AI435" s="278">
        <f t="shared" si="487"/>
        <v>0</v>
      </c>
      <c r="AJ435" s="242">
        <v>35</v>
      </c>
      <c r="AK435" s="272"/>
      <c r="AL435" s="272" t="s">
        <v>183</v>
      </c>
      <c r="AM435" s="243">
        <v>10</v>
      </c>
      <c r="AN435" s="272">
        <v>10</v>
      </c>
      <c r="AO435" s="72"/>
      <c r="AP435" s="119" t="s">
        <v>58</v>
      </c>
      <c r="AQ435" s="136">
        <v>35</v>
      </c>
      <c r="AR435" s="161">
        <v>0</v>
      </c>
      <c r="AS435" s="162">
        <v>0</v>
      </c>
      <c r="AT435" s="163">
        <v>35</v>
      </c>
      <c r="AU435" s="272"/>
      <c r="AV435" s="272"/>
      <c r="AW435" s="272"/>
      <c r="AX435" s="138" t="s">
        <v>147</v>
      </c>
    </row>
    <row r="436" spans="1:50" s="77" customFormat="1" ht="36" x14ac:dyDescent="0.25">
      <c r="A436" s="166"/>
      <c r="B436" s="115" t="s">
        <v>224</v>
      </c>
      <c r="C436" s="115" t="s">
        <v>180</v>
      </c>
      <c r="D436" s="117" t="s">
        <v>106</v>
      </c>
      <c r="E436" s="117" t="s">
        <v>48</v>
      </c>
      <c r="F436" s="272"/>
      <c r="G436" s="119" t="s">
        <v>227</v>
      </c>
      <c r="H436" s="272"/>
      <c r="I436" s="239"/>
      <c r="J436" s="231"/>
      <c r="K436" s="225"/>
      <c r="L436" s="227"/>
      <c r="M436" s="233"/>
      <c r="N436" s="278">
        <f t="shared" si="488"/>
        <v>0</v>
      </c>
      <c r="O436" s="242"/>
      <c r="P436" s="71"/>
      <c r="Q436" s="272"/>
      <c r="R436" s="272"/>
      <c r="S436" s="276"/>
      <c r="T436" s="251"/>
      <c r="U436" s="272"/>
      <c r="V436" s="239"/>
      <c r="W436" s="231"/>
      <c r="X436" s="225"/>
      <c r="Y436" s="227"/>
      <c r="Z436" s="233"/>
      <c r="AA436" s="278">
        <f t="shared" si="486"/>
        <v>0</v>
      </c>
      <c r="AB436" s="242"/>
      <c r="AC436" s="272"/>
      <c r="AD436" s="239"/>
      <c r="AE436" s="231"/>
      <c r="AF436" s="225"/>
      <c r="AG436" s="227"/>
      <c r="AH436" s="233"/>
      <c r="AI436" s="278">
        <f t="shared" si="487"/>
        <v>0</v>
      </c>
      <c r="AJ436" s="242"/>
      <c r="AK436" s="272"/>
      <c r="AL436" s="272"/>
      <c r="AM436" s="243"/>
      <c r="AN436" s="272"/>
      <c r="AO436" s="72"/>
      <c r="AP436" s="119" t="s">
        <v>127</v>
      </c>
      <c r="AQ436" s="136">
        <v>1</v>
      </c>
      <c r="AR436" s="161">
        <v>0</v>
      </c>
      <c r="AS436" s="162">
        <v>0</v>
      </c>
      <c r="AT436" s="163">
        <v>1</v>
      </c>
      <c r="AU436" s="272"/>
      <c r="AV436" s="272"/>
      <c r="AW436" s="272"/>
      <c r="AX436" s="138" t="s">
        <v>147</v>
      </c>
    </row>
    <row r="437" spans="1:50" s="77" customFormat="1" ht="36" x14ac:dyDescent="0.25">
      <c r="A437" s="166"/>
      <c r="B437" s="115" t="s">
        <v>224</v>
      </c>
      <c r="C437" s="115" t="s">
        <v>180</v>
      </c>
      <c r="D437" s="117" t="s">
        <v>106</v>
      </c>
      <c r="E437" s="117" t="s">
        <v>48</v>
      </c>
      <c r="F437" s="142" t="s">
        <v>61</v>
      </c>
      <c r="G437" s="155"/>
      <c r="H437" s="153">
        <f t="shared" ref="H437:O437" si="533">SUM(H433:H436)</f>
        <v>50</v>
      </c>
      <c r="I437" s="153">
        <f t="shared" si="533"/>
        <v>0</v>
      </c>
      <c r="J437" s="153">
        <f t="shared" si="533"/>
        <v>0</v>
      </c>
      <c r="K437" s="153">
        <f t="shared" si="533"/>
        <v>0</v>
      </c>
      <c r="L437" s="153">
        <f t="shared" si="533"/>
        <v>0</v>
      </c>
      <c r="M437" s="153">
        <f t="shared" si="533"/>
        <v>0</v>
      </c>
      <c r="N437" s="153">
        <f t="shared" si="488"/>
        <v>0</v>
      </c>
      <c r="O437" s="153">
        <f t="shared" si="533"/>
        <v>50</v>
      </c>
      <c r="P437" s="153"/>
      <c r="Q437" s="156"/>
      <c r="R437" s="129"/>
      <c r="S437" s="157"/>
      <c r="T437" s="158"/>
      <c r="U437" s="153">
        <f t="shared" ref="U437:AJ437" si="534">SUM(U433:U436)</f>
        <v>370</v>
      </c>
      <c r="V437" s="153">
        <f t="shared" si="534"/>
        <v>0</v>
      </c>
      <c r="W437" s="153">
        <f t="shared" si="534"/>
        <v>0</v>
      </c>
      <c r="X437" s="153">
        <f t="shared" si="534"/>
        <v>0</v>
      </c>
      <c r="Y437" s="153">
        <f t="shared" si="534"/>
        <v>0</v>
      </c>
      <c r="Z437" s="153">
        <f t="shared" si="534"/>
        <v>0</v>
      </c>
      <c r="AA437" s="153">
        <f t="shared" si="486"/>
        <v>0</v>
      </c>
      <c r="AB437" s="153">
        <f t="shared" si="534"/>
        <v>370</v>
      </c>
      <c r="AC437" s="153">
        <f t="shared" si="534"/>
        <v>70</v>
      </c>
      <c r="AD437" s="153">
        <f t="shared" si="534"/>
        <v>0</v>
      </c>
      <c r="AE437" s="153">
        <f t="shared" si="534"/>
        <v>0</v>
      </c>
      <c r="AF437" s="153">
        <f t="shared" si="534"/>
        <v>0</v>
      </c>
      <c r="AG437" s="153">
        <f t="shared" ref="AG437" si="535">SUM(AG433:AG436)</f>
        <v>0</v>
      </c>
      <c r="AH437" s="153">
        <f t="shared" si="534"/>
        <v>0</v>
      </c>
      <c r="AI437" s="153">
        <f t="shared" si="487"/>
        <v>0</v>
      </c>
      <c r="AJ437" s="153">
        <f t="shared" si="534"/>
        <v>70</v>
      </c>
      <c r="AK437" s="156"/>
      <c r="AL437" s="156"/>
      <c r="AM437" s="156">
        <f>SUM(AM433:AM436)</f>
        <v>35</v>
      </c>
      <c r="AN437" s="156"/>
      <c r="AO437" s="156"/>
      <c r="AP437" s="155"/>
      <c r="AQ437" s="153">
        <f>SUM(AQ433:AQ436)</f>
        <v>72</v>
      </c>
      <c r="AR437" s="153">
        <f>SUM(AR433:AR436)</f>
        <v>0</v>
      </c>
      <c r="AS437" s="153">
        <f>SUM(AS433:AS436)</f>
        <v>0</v>
      </c>
      <c r="AT437" s="153">
        <f>SUM(AT433:AT436)</f>
        <v>72</v>
      </c>
      <c r="AU437" s="129"/>
      <c r="AV437" s="156"/>
      <c r="AW437" s="155"/>
      <c r="AX437" s="155" t="s">
        <v>147</v>
      </c>
    </row>
    <row r="438" spans="1:50" s="77" customFormat="1" ht="36" customHeight="1" x14ac:dyDescent="0.25">
      <c r="A438" s="166"/>
      <c r="B438" s="115" t="s">
        <v>224</v>
      </c>
      <c r="C438" s="115" t="s">
        <v>363</v>
      </c>
      <c r="D438" s="117" t="s">
        <v>106</v>
      </c>
      <c r="E438" s="117" t="s">
        <v>48</v>
      </c>
      <c r="F438" s="273" t="s">
        <v>49</v>
      </c>
      <c r="G438" s="119" t="s">
        <v>231</v>
      </c>
      <c r="H438" s="272">
        <v>40</v>
      </c>
      <c r="I438" s="238">
        <v>0</v>
      </c>
      <c r="J438" s="230">
        <v>0</v>
      </c>
      <c r="K438" s="224">
        <v>0</v>
      </c>
      <c r="L438" s="226">
        <v>0</v>
      </c>
      <c r="M438" s="232">
        <v>0</v>
      </c>
      <c r="N438" s="278">
        <f t="shared" si="488"/>
        <v>0</v>
      </c>
      <c r="O438" s="242">
        <v>40</v>
      </c>
      <c r="P438" s="71"/>
      <c r="Q438" s="272"/>
      <c r="R438" s="272" t="s">
        <v>179</v>
      </c>
      <c r="S438" s="276" t="s">
        <v>359</v>
      </c>
      <c r="T438" s="249" t="s">
        <v>242</v>
      </c>
      <c r="U438" s="272">
        <v>80</v>
      </c>
      <c r="V438" s="238">
        <v>0</v>
      </c>
      <c r="W438" s="230">
        <v>0</v>
      </c>
      <c r="X438" s="224">
        <v>0</v>
      </c>
      <c r="Y438" s="226">
        <v>0</v>
      </c>
      <c r="Z438" s="232">
        <v>0</v>
      </c>
      <c r="AA438" s="278">
        <f t="shared" si="486"/>
        <v>0</v>
      </c>
      <c r="AB438" s="242">
        <v>80</v>
      </c>
      <c r="AC438" s="272">
        <v>40</v>
      </c>
      <c r="AD438" s="238">
        <v>0</v>
      </c>
      <c r="AE438" s="230">
        <v>0</v>
      </c>
      <c r="AF438" s="224">
        <v>0</v>
      </c>
      <c r="AG438" s="226">
        <v>0</v>
      </c>
      <c r="AH438" s="232">
        <v>0</v>
      </c>
      <c r="AI438" s="278">
        <f t="shared" si="487"/>
        <v>0</v>
      </c>
      <c r="AJ438" s="242">
        <v>40</v>
      </c>
      <c r="AK438" s="272"/>
      <c r="AL438" s="272" t="s">
        <v>183</v>
      </c>
      <c r="AM438" s="243">
        <v>1350</v>
      </c>
      <c r="AN438" s="272"/>
      <c r="AO438" s="72"/>
      <c r="AP438" s="119" t="s">
        <v>58</v>
      </c>
      <c r="AQ438" s="136">
        <v>40</v>
      </c>
      <c r="AR438" s="161">
        <v>0</v>
      </c>
      <c r="AS438" s="162">
        <v>0</v>
      </c>
      <c r="AT438" s="163">
        <v>40</v>
      </c>
      <c r="AU438" s="272"/>
      <c r="AV438" s="272"/>
      <c r="AW438" s="272"/>
      <c r="AX438" s="138" t="s">
        <v>147</v>
      </c>
    </row>
    <row r="439" spans="1:50" s="77" customFormat="1" ht="36" x14ac:dyDescent="0.25">
      <c r="A439" s="166"/>
      <c r="B439" s="115" t="s">
        <v>224</v>
      </c>
      <c r="C439" s="115" t="s">
        <v>363</v>
      </c>
      <c r="D439" s="117" t="s">
        <v>106</v>
      </c>
      <c r="E439" s="117" t="s">
        <v>48</v>
      </c>
      <c r="F439" s="274"/>
      <c r="G439" s="119" t="s">
        <v>231</v>
      </c>
      <c r="H439" s="272"/>
      <c r="I439" s="239"/>
      <c r="J439" s="231"/>
      <c r="K439" s="225"/>
      <c r="L439" s="227"/>
      <c r="M439" s="233"/>
      <c r="N439" s="278">
        <f t="shared" si="488"/>
        <v>0</v>
      </c>
      <c r="O439" s="242"/>
      <c r="P439" s="71"/>
      <c r="Q439" s="272"/>
      <c r="R439" s="272"/>
      <c r="S439" s="276"/>
      <c r="T439" s="271"/>
      <c r="U439" s="272"/>
      <c r="V439" s="239"/>
      <c r="W439" s="231"/>
      <c r="X439" s="225"/>
      <c r="Y439" s="227"/>
      <c r="Z439" s="233"/>
      <c r="AA439" s="278">
        <f t="shared" si="486"/>
        <v>0</v>
      </c>
      <c r="AB439" s="242"/>
      <c r="AC439" s="272"/>
      <c r="AD439" s="239"/>
      <c r="AE439" s="231"/>
      <c r="AF439" s="225"/>
      <c r="AG439" s="227"/>
      <c r="AH439" s="233"/>
      <c r="AI439" s="278">
        <f t="shared" si="487"/>
        <v>0</v>
      </c>
      <c r="AJ439" s="242"/>
      <c r="AK439" s="272"/>
      <c r="AL439" s="272"/>
      <c r="AM439" s="243"/>
      <c r="AN439" s="272"/>
      <c r="AO439" s="72"/>
      <c r="AP439" s="119" t="s">
        <v>127</v>
      </c>
      <c r="AQ439" s="136">
        <v>1</v>
      </c>
      <c r="AR439" s="161">
        <v>0</v>
      </c>
      <c r="AS439" s="162">
        <v>0</v>
      </c>
      <c r="AT439" s="163">
        <v>1</v>
      </c>
      <c r="AU439" s="272"/>
      <c r="AV439" s="272"/>
      <c r="AW439" s="272"/>
      <c r="AX439" s="138" t="s">
        <v>147</v>
      </c>
    </row>
    <row r="440" spans="1:50" s="77" customFormat="1" ht="36" customHeight="1" x14ac:dyDescent="0.25">
      <c r="A440" s="166"/>
      <c r="B440" s="115" t="s">
        <v>224</v>
      </c>
      <c r="C440" s="115" t="s">
        <v>363</v>
      </c>
      <c r="D440" s="117" t="s">
        <v>106</v>
      </c>
      <c r="E440" s="117" t="s">
        <v>48</v>
      </c>
      <c r="F440" s="274"/>
      <c r="G440" s="119" t="s">
        <v>178</v>
      </c>
      <c r="H440" s="272">
        <v>240</v>
      </c>
      <c r="I440" s="238">
        <v>0</v>
      </c>
      <c r="J440" s="230">
        <v>10</v>
      </c>
      <c r="K440" s="224">
        <v>0</v>
      </c>
      <c r="L440" s="226">
        <v>0</v>
      </c>
      <c r="M440" s="232">
        <v>0</v>
      </c>
      <c r="N440" s="278">
        <f t="shared" si="488"/>
        <v>10</v>
      </c>
      <c r="O440" s="242">
        <v>240</v>
      </c>
      <c r="P440" s="71"/>
      <c r="Q440" s="272"/>
      <c r="R440" s="272" t="s">
        <v>179</v>
      </c>
      <c r="S440" s="276" t="s">
        <v>364</v>
      </c>
      <c r="T440" s="249" t="s">
        <v>77</v>
      </c>
      <c r="U440" s="272">
        <v>400</v>
      </c>
      <c r="V440" s="238">
        <v>0</v>
      </c>
      <c r="W440" s="230">
        <v>0</v>
      </c>
      <c r="X440" s="224">
        <v>0</v>
      </c>
      <c r="Y440" s="226">
        <v>0</v>
      </c>
      <c r="Z440" s="232">
        <v>0</v>
      </c>
      <c r="AA440" s="278">
        <f t="shared" si="486"/>
        <v>0</v>
      </c>
      <c r="AB440" s="242">
        <v>400</v>
      </c>
      <c r="AC440" s="272">
        <v>175</v>
      </c>
      <c r="AD440" s="238">
        <v>0</v>
      </c>
      <c r="AE440" s="230">
        <v>0</v>
      </c>
      <c r="AF440" s="224">
        <v>0</v>
      </c>
      <c r="AG440" s="226">
        <v>0</v>
      </c>
      <c r="AH440" s="232">
        <v>0</v>
      </c>
      <c r="AI440" s="278">
        <f t="shared" si="487"/>
        <v>0</v>
      </c>
      <c r="AJ440" s="242">
        <v>175</v>
      </c>
      <c r="AK440" s="272"/>
      <c r="AL440" s="272" t="s">
        <v>183</v>
      </c>
      <c r="AM440" s="243">
        <v>1600</v>
      </c>
      <c r="AN440" s="272"/>
      <c r="AO440" s="72"/>
      <c r="AP440" s="119" t="s">
        <v>58</v>
      </c>
      <c r="AQ440" s="136">
        <v>265</v>
      </c>
      <c r="AR440" s="161">
        <v>0</v>
      </c>
      <c r="AS440" s="162">
        <v>0</v>
      </c>
      <c r="AT440" s="163">
        <v>265</v>
      </c>
      <c r="AU440" s="272"/>
      <c r="AV440" s="272"/>
      <c r="AW440" s="272"/>
      <c r="AX440" s="138" t="s">
        <v>147</v>
      </c>
    </row>
    <row r="441" spans="1:50" s="77" customFormat="1" ht="36" x14ac:dyDescent="0.25">
      <c r="A441" s="166"/>
      <c r="B441" s="115" t="s">
        <v>224</v>
      </c>
      <c r="C441" s="115" t="s">
        <v>363</v>
      </c>
      <c r="D441" s="117" t="s">
        <v>106</v>
      </c>
      <c r="E441" s="117" t="s">
        <v>48</v>
      </c>
      <c r="F441" s="274"/>
      <c r="G441" s="119" t="s">
        <v>178</v>
      </c>
      <c r="H441" s="272"/>
      <c r="I441" s="239"/>
      <c r="J441" s="231"/>
      <c r="K441" s="225"/>
      <c r="L441" s="227"/>
      <c r="M441" s="233"/>
      <c r="N441" s="278">
        <f t="shared" si="488"/>
        <v>0</v>
      </c>
      <c r="O441" s="242"/>
      <c r="P441" s="71"/>
      <c r="Q441" s="272"/>
      <c r="R441" s="272"/>
      <c r="S441" s="276"/>
      <c r="T441" s="271"/>
      <c r="U441" s="272"/>
      <c r="V441" s="239"/>
      <c r="W441" s="231"/>
      <c r="X441" s="225"/>
      <c r="Y441" s="227"/>
      <c r="Z441" s="233"/>
      <c r="AA441" s="278">
        <f t="shared" si="486"/>
        <v>0</v>
      </c>
      <c r="AB441" s="242"/>
      <c r="AC441" s="272"/>
      <c r="AD441" s="239"/>
      <c r="AE441" s="231"/>
      <c r="AF441" s="225"/>
      <c r="AG441" s="227"/>
      <c r="AH441" s="233"/>
      <c r="AI441" s="278">
        <f t="shared" si="487"/>
        <v>0</v>
      </c>
      <c r="AJ441" s="242"/>
      <c r="AK441" s="272"/>
      <c r="AL441" s="272"/>
      <c r="AM441" s="243"/>
      <c r="AN441" s="272"/>
      <c r="AO441" s="72"/>
      <c r="AP441" s="119" t="s">
        <v>127</v>
      </c>
      <c r="AQ441" s="136">
        <v>1</v>
      </c>
      <c r="AR441" s="161">
        <v>0</v>
      </c>
      <c r="AS441" s="162">
        <v>0</v>
      </c>
      <c r="AT441" s="163">
        <v>1</v>
      </c>
      <c r="AU441" s="272"/>
      <c r="AV441" s="272"/>
      <c r="AW441" s="272"/>
      <c r="AX441" s="138" t="s">
        <v>147</v>
      </c>
    </row>
    <row r="442" spans="1:50" s="77" customFormat="1" ht="36" customHeight="1" x14ac:dyDescent="0.25">
      <c r="A442" s="166"/>
      <c r="B442" s="115" t="s">
        <v>224</v>
      </c>
      <c r="C442" s="115" t="s">
        <v>363</v>
      </c>
      <c r="D442" s="117" t="s">
        <v>106</v>
      </c>
      <c r="E442" s="117" t="s">
        <v>48</v>
      </c>
      <c r="F442" s="274"/>
      <c r="G442" s="119" t="s">
        <v>227</v>
      </c>
      <c r="H442" s="272">
        <v>200</v>
      </c>
      <c r="I442" s="238">
        <v>0</v>
      </c>
      <c r="J442" s="230">
        <v>0</v>
      </c>
      <c r="K442" s="224">
        <v>0</v>
      </c>
      <c r="L442" s="226">
        <v>0</v>
      </c>
      <c r="M442" s="232">
        <v>0</v>
      </c>
      <c r="N442" s="278">
        <f t="shared" si="488"/>
        <v>0</v>
      </c>
      <c r="O442" s="242">
        <v>200</v>
      </c>
      <c r="P442" s="71"/>
      <c r="Q442" s="272"/>
      <c r="R442" s="251" t="s">
        <v>179</v>
      </c>
      <c r="S442" s="276" t="s">
        <v>365</v>
      </c>
      <c r="T442" s="249" t="s">
        <v>77</v>
      </c>
      <c r="U442" s="251">
        <v>300</v>
      </c>
      <c r="V442" s="238">
        <v>0</v>
      </c>
      <c r="W442" s="230">
        <v>0</v>
      </c>
      <c r="X442" s="224">
        <v>0</v>
      </c>
      <c r="Y442" s="226">
        <v>0</v>
      </c>
      <c r="Z442" s="232">
        <v>0</v>
      </c>
      <c r="AA442" s="278">
        <f t="shared" si="486"/>
        <v>0</v>
      </c>
      <c r="AB442" s="242">
        <v>300</v>
      </c>
      <c r="AC442" s="251">
        <v>175</v>
      </c>
      <c r="AD442" s="238">
        <v>0</v>
      </c>
      <c r="AE442" s="230">
        <v>0</v>
      </c>
      <c r="AF442" s="224">
        <v>0</v>
      </c>
      <c r="AG442" s="226">
        <v>0</v>
      </c>
      <c r="AH442" s="232">
        <v>0</v>
      </c>
      <c r="AI442" s="278">
        <f t="shared" si="487"/>
        <v>0</v>
      </c>
      <c r="AJ442" s="242">
        <v>175</v>
      </c>
      <c r="AK442" s="251"/>
      <c r="AL442" s="251" t="s">
        <v>183</v>
      </c>
      <c r="AM442" s="218">
        <v>1600</v>
      </c>
      <c r="AN442" s="251"/>
      <c r="AO442" s="46"/>
      <c r="AP442" s="119" t="s">
        <v>58</v>
      </c>
      <c r="AQ442" s="136">
        <v>265</v>
      </c>
      <c r="AR442" s="161">
        <v>0</v>
      </c>
      <c r="AS442" s="162">
        <v>0</v>
      </c>
      <c r="AT442" s="163">
        <v>265</v>
      </c>
      <c r="AU442" s="272"/>
      <c r="AV442" s="272"/>
      <c r="AW442" s="272"/>
      <c r="AX442" s="138" t="s">
        <v>147</v>
      </c>
    </row>
    <row r="443" spans="1:50" s="77" customFormat="1" ht="36" x14ac:dyDescent="0.25">
      <c r="A443" s="166"/>
      <c r="B443" s="115" t="s">
        <v>224</v>
      </c>
      <c r="C443" s="115" t="s">
        <v>363</v>
      </c>
      <c r="D443" s="117" t="s">
        <v>106</v>
      </c>
      <c r="E443" s="117" t="s">
        <v>48</v>
      </c>
      <c r="F443" s="274"/>
      <c r="G443" s="119" t="s">
        <v>227</v>
      </c>
      <c r="H443" s="272"/>
      <c r="I443" s="239"/>
      <c r="J443" s="231"/>
      <c r="K443" s="225"/>
      <c r="L443" s="227"/>
      <c r="M443" s="233"/>
      <c r="N443" s="278">
        <f t="shared" si="488"/>
        <v>0</v>
      </c>
      <c r="O443" s="242"/>
      <c r="P443" s="71"/>
      <c r="Q443" s="272"/>
      <c r="R443" s="251"/>
      <c r="S443" s="276"/>
      <c r="T443" s="271"/>
      <c r="U443" s="251"/>
      <c r="V443" s="239"/>
      <c r="W443" s="231"/>
      <c r="X443" s="225"/>
      <c r="Y443" s="227"/>
      <c r="Z443" s="233"/>
      <c r="AA443" s="278">
        <f t="shared" si="486"/>
        <v>0</v>
      </c>
      <c r="AB443" s="242"/>
      <c r="AC443" s="251"/>
      <c r="AD443" s="239"/>
      <c r="AE443" s="231"/>
      <c r="AF443" s="225"/>
      <c r="AG443" s="227"/>
      <c r="AH443" s="233"/>
      <c r="AI443" s="278">
        <f t="shared" si="487"/>
        <v>0</v>
      </c>
      <c r="AJ443" s="242"/>
      <c r="AK443" s="251"/>
      <c r="AL443" s="251"/>
      <c r="AM443" s="218"/>
      <c r="AN443" s="251"/>
      <c r="AO443" s="46"/>
      <c r="AP443" s="119" t="s">
        <v>127</v>
      </c>
      <c r="AQ443" s="136">
        <v>1</v>
      </c>
      <c r="AR443" s="161">
        <v>0</v>
      </c>
      <c r="AS443" s="162">
        <v>0</v>
      </c>
      <c r="AT443" s="163">
        <v>1</v>
      </c>
      <c r="AU443" s="272"/>
      <c r="AV443" s="272"/>
      <c r="AW443" s="272"/>
      <c r="AX443" s="138" t="s">
        <v>147</v>
      </c>
    </row>
    <row r="444" spans="1:50" s="77" customFormat="1" ht="54" customHeight="1" x14ac:dyDescent="0.25">
      <c r="A444" s="166"/>
      <c r="B444" s="115" t="s">
        <v>224</v>
      </c>
      <c r="C444" s="115" t="s">
        <v>363</v>
      </c>
      <c r="D444" s="117" t="s">
        <v>106</v>
      </c>
      <c r="E444" s="117" t="s">
        <v>48</v>
      </c>
      <c r="F444" s="274"/>
      <c r="G444" s="119" t="s">
        <v>311</v>
      </c>
      <c r="H444" s="272">
        <v>10</v>
      </c>
      <c r="I444" s="238">
        <v>0</v>
      </c>
      <c r="J444" s="230">
        <v>0</v>
      </c>
      <c r="K444" s="224">
        <v>0</v>
      </c>
      <c r="L444" s="226">
        <v>0</v>
      </c>
      <c r="M444" s="232">
        <v>0</v>
      </c>
      <c r="N444" s="278">
        <f t="shared" si="488"/>
        <v>0</v>
      </c>
      <c r="O444" s="242">
        <v>10</v>
      </c>
      <c r="P444" s="71"/>
      <c r="Q444" s="272"/>
      <c r="R444" s="251" t="s">
        <v>179</v>
      </c>
      <c r="S444" s="276" t="s">
        <v>365</v>
      </c>
      <c r="T444" s="249" t="s">
        <v>77</v>
      </c>
      <c r="U444" s="272">
        <v>10</v>
      </c>
      <c r="V444" s="238">
        <v>0</v>
      </c>
      <c r="W444" s="230">
        <v>0</v>
      </c>
      <c r="X444" s="224">
        <v>0</v>
      </c>
      <c r="Y444" s="226">
        <v>0</v>
      </c>
      <c r="Z444" s="232">
        <v>0</v>
      </c>
      <c r="AA444" s="278">
        <f t="shared" si="486"/>
        <v>0</v>
      </c>
      <c r="AB444" s="242">
        <v>10</v>
      </c>
      <c r="AC444" s="272">
        <v>5</v>
      </c>
      <c r="AD444" s="238">
        <v>0</v>
      </c>
      <c r="AE444" s="230">
        <v>0</v>
      </c>
      <c r="AF444" s="224">
        <v>0</v>
      </c>
      <c r="AG444" s="226">
        <v>0</v>
      </c>
      <c r="AH444" s="232">
        <v>0</v>
      </c>
      <c r="AI444" s="278">
        <f t="shared" si="487"/>
        <v>0</v>
      </c>
      <c r="AJ444" s="242">
        <v>5</v>
      </c>
      <c r="AK444" s="272"/>
      <c r="AL444" s="251" t="s">
        <v>183</v>
      </c>
      <c r="AM444" s="243">
        <v>250</v>
      </c>
      <c r="AN444" s="272"/>
      <c r="AO444" s="72"/>
      <c r="AP444" s="119" t="s">
        <v>58</v>
      </c>
      <c r="AQ444" s="136">
        <v>15</v>
      </c>
      <c r="AR444" s="161">
        <v>0</v>
      </c>
      <c r="AS444" s="162">
        <v>0</v>
      </c>
      <c r="AT444" s="163">
        <v>15</v>
      </c>
      <c r="AU444" s="272"/>
      <c r="AV444" s="272"/>
      <c r="AW444" s="272"/>
      <c r="AX444" s="138" t="s">
        <v>147</v>
      </c>
    </row>
    <row r="445" spans="1:50" s="77" customFormat="1" ht="54" x14ac:dyDescent="0.25">
      <c r="A445" s="166"/>
      <c r="B445" s="115" t="s">
        <v>224</v>
      </c>
      <c r="C445" s="115" t="s">
        <v>363</v>
      </c>
      <c r="D445" s="117" t="s">
        <v>106</v>
      </c>
      <c r="E445" s="117" t="s">
        <v>48</v>
      </c>
      <c r="F445" s="274"/>
      <c r="G445" s="119" t="s">
        <v>311</v>
      </c>
      <c r="H445" s="272"/>
      <c r="I445" s="239"/>
      <c r="J445" s="231"/>
      <c r="K445" s="225"/>
      <c r="L445" s="227"/>
      <c r="M445" s="233"/>
      <c r="N445" s="278">
        <f t="shared" si="488"/>
        <v>0</v>
      </c>
      <c r="O445" s="242"/>
      <c r="P445" s="71"/>
      <c r="Q445" s="272"/>
      <c r="R445" s="251"/>
      <c r="S445" s="276"/>
      <c r="T445" s="271"/>
      <c r="U445" s="272"/>
      <c r="V445" s="239"/>
      <c r="W445" s="231"/>
      <c r="X445" s="225"/>
      <c r="Y445" s="227"/>
      <c r="Z445" s="233"/>
      <c r="AA445" s="278">
        <f t="shared" si="486"/>
        <v>0</v>
      </c>
      <c r="AB445" s="242"/>
      <c r="AC445" s="272"/>
      <c r="AD445" s="239"/>
      <c r="AE445" s="231"/>
      <c r="AF445" s="225"/>
      <c r="AG445" s="227"/>
      <c r="AH445" s="233"/>
      <c r="AI445" s="278">
        <f t="shared" si="487"/>
        <v>0</v>
      </c>
      <c r="AJ445" s="242"/>
      <c r="AK445" s="272"/>
      <c r="AL445" s="251"/>
      <c r="AM445" s="243"/>
      <c r="AN445" s="272"/>
      <c r="AO445" s="72"/>
      <c r="AP445" s="119" t="s">
        <v>127</v>
      </c>
      <c r="AQ445" s="136">
        <v>1</v>
      </c>
      <c r="AR445" s="161">
        <v>0</v>
      </c>
      <c r="AS445" s="162">
        <v>0</v>
      </c>
      <c r="AT445" s="163">
        <v>1</v>
      </c>
      <c r="AU445" s="272"/>
      <c r="AV445" s="272"/>
      <c r="AW445" s="272"/>
      <c r="AX445" s="138" t="s">
        <v>147</v>
      </c>
    </row>
    <row r="446" spans="1:50" s="77" customFormat="1" ht="54" customHeight="1" x14ac:dyDescent="0.25">
      <c r="A446" s="166"/>
      <c r="B446" s="115" t="s">
        <v>224</v>
      </c>
      <c r="C446" s="115" t="s">
        <v>363</v>
      </c>
      <c r="D446" s="117" t="s">
        <v>106</v>
      </c>
      <c r="E446" s="117" t="s">
        <v>48</v>
      </c>
      <c r="F446" s="274"/>
      <c r="G446" s="119" t="s">
        <v>366</v>
      </c>
      <c r="H446" s="272">
        <v>10</v>
      </c>
      <c r="I446" s="238">
        <v>0</v>
      </c>
      <c r="J446" s="230">
        <v>0</v>
      </c>
      <c r="K446" s="224">
        <v>0</v>
      </c>
      <c r="L446" s="226">
        <v>0</v>
      </c>
      <c r="M446" s="232">
        <v>0</v>
      </c>
      <c r="N446" s="278">
        <f t="shared" si="488"/>
        <v>0</v>
      </c>
      <c r="O446" s="242">
        <v>10</v>
      </c>
      <c r="P446" s="71"/>
      <c r="Q446" s="272"/>
      <c r="R446" s="251" t="s">
        <v>179</v>
      </c>
      <c r="S446" s="276" t="s">
        <v>365</v>
      </c>
      <c r="T446" s="249" t="s">
        <v>77</v>
      </c>
      <c r="U446" s="272">
        <v>10</v>
      </c>
      <c r="V446" s="238">
        <v>0</v>
      </c>
      <c r="W446" s="230">
        <v>0</v>
      </c>
      <c r="X446" s="224">
        <v>0</v>
      </c>
      <c r="Y446" s="226">
        <v>0</v>
      </c>
      <c r="Z446" s="232">
        <v>0</v>
      </c>
      <c r="AA446" s="278">
        <f t="shared" si="486"/>
        <v>0</v>
      </c>
      <c r="AB446" s="242">
        <v>10</v>
      </c>
      <c r="AC446" s="272">
        <v>5</v>
      </c>
      <c r="AD446" s="238">
        <v>0</v>
      </c>
      <c r="AE446" s="230">
        <v>0</v>
      </c>
      <c r="AF446" s="224">
        <v>0</v>
      </c>
      <c r="AG446" s="226">
        <v>0</v>
      </c>
      <c r="AH446" s="232">
        <v>0</v>
      </c>
      <c r="AI446" s="278">
        <f t="shared" si="487"/>
        <v>0</v>
      </c>
      <c r="AJ446" s="242">
        <v>5</v>
      </c>
      <c r="AK446" s="272"/>
      <c r="AL446" s="251" t="s">
        <v>183</v>
      </c>
      <c r="AM446" s="243">
        <v>100</v>
      </c>
      <c r="AN446" s="272"/>
      <c r="AO446" s="72"/>
      <c r="AP446" s="119" t="s">
        <v>58</v>
      </c>
      <c r="AQ446" s="136">
        <v>15</v>
      </c>
      <c r="AR446" s="161">
        <v>0</v>
      </c>
      <c r="AS446" s="162">
        <v>0</v>
      </c>
      <c r="AT446" s="163">
        <v>15</v>
      </c>
      <c r="AU446" s="272"/>
      <c r="AV446" s="272"/>
      <c r="AW446" s="272"/>
      <c r="AX446" s="138" t="s">
        <v>147</v>
      </c>
    </row>
    <row r="447" spans="1:50" s="77" customFormat="1" ht="54" x14ac:dyDescent="0.25">
      <c r="A447" s="166"/>
      <c r="B447" s="115" t="s">
        <v>224</v>
      </c>
      <c r="C447" s="115" t="s">
        <v>363</v>
      </c>
      <c r="D447" s="117" t="s">
        <v>106</v>
      </c>
      <c r="E447" s="117" t="s">
        <v>48</v>
      </c>
      <c r="F447" s="275"/>
      <c r="G447" s="119" t="s">
        <v>366</v>
      </c>
      <c r="H447" s="272"/>
      <c r="I447" s="239"/>
      <c r="J447" s="231"/>
      <c r="K447" s="225"/>
      <c r="L447" s="227"/>
      <c r="M447" s="233"/>
      <c r="N447" s="278">
        <f t="shared" si="488"/>
        <v>0</v>
      </c>
      <c r="O447" s="242"/>
      <c r="P447" s="71"/>
      <c r="Q447" s="272"/>
      <c r="R447" s="251"/>
      <c r="S447" s="276"/>
      <c r="T447" s="271"/>
      <c r="U447" s="272"/>
      <c r="V447" s="239"/>
      <c r="W447" s="231"/>
      <c r="X447" s="225"/>
      <c r="Y447" s="227"/>
      <c r="Z447" s="233"/>
      <c r="AA447" s="278">
        <f t="shared" si="486"/>
        <v>0</v>
      </c>
      <c r="AB447" s="242"/>
      <c r="AC447" s="272"/>
      <c r="AD447" s="239"/>
      <c r="AE447" s="231"/>
      <c r="AF447" s="225"/>
      <c r="AG447" s="227"/>
      <c r="AH447" s="233"/>
      <c r="AI447" s="278">
        <f t="shared" si="487"/>
        <v>0</v>
      </c>
      <c r="AJ447" s="242"/>
      <c r="AK447" s="272"/>
      <c r="AL447" s="251"/>
      <c r="AM447" s="243"/>
      <c r="AN447" s="272"/>
      <c r="AO447" s="72"/>
      <c r="AP447" s="119" t="s">
        <v>127</v>
      </c>
      <c r="AQ447" s="136">
        <v>1</v>
      </c>
      <c r="AR447" s="161">
        <v>0</v>
      </c>
      <c r="AS447" s="162">
        <v>0</v>
      </c>
      <c r="AT447" s="163">
        <v>1</v>
      </c>
      <c r="AU447" s="272"/>
      <c r="AV447" s="272"/>
      <c r="AW447" s="272"/>
      <c r="AX447" s="138" t="s">
        <v>147</v>
      </c>
    </row>
    <row r="448" spans="1:50" s="77" customFormat="1" ht="36" x14ac:dyDescent="0.25">
      <c r="A448" s="166"/>
      <c r="B448" s="115" t="s">
        <v>224</v>
      </c>
      <c r="C448" s="115" t="s">
        <v>363</v>
      </c>
      <c r="D448" s="117" t="s">
        <v>106</v>
      </c>
      <c r="E448" s="117" t="s">
        <v>48</v>
      </c>
      <c r="F448" s="142" t="s">
        <v>61</v>
      </c>
      <c r="G448" s="155"/>
      <c r="H448" s="153">
        <f>SUM(H438:H447)</f>
        <v>500</v>
      </c>
      <c r="I448" s="153">
        <f t="shared" ref="I448" si="536">SUM(I438:I447)</f>
        <v>0</v>
      </c>
      <c r="J448" s="153">
        <f t="shared" ref="J448:O448" si="537">SUM(J438:J447)</f>
        <v>10</v>
      </c>
      <c r="K448" s="153">
        <f t="shared" si="537"/>
        <v>0</v>
      </c>
      <c r="L448" s="153">
        <f t="shared" si="537"/>
        <v>0</v>
      </c>
      <c r="M448" s="153">
        <f t="shared" si="537"/>
        <v>0</v>
      </c>
      <c r="N448" s="153">
        <f t="shared" si="488"/>
        <v>10</v>
      </c>
      <c r="O448" s="153">
        <f t="shared" si="537"/>
        <v>500</v>
      </c>
      <c r="P448" s="153"/>
      <c r="Q448" s="156"/>
      <c r="R448" s="129"/>
      <c r="S448" s="157"/>
      <c r="T448" s="158"/>
      <c r="U448" s="153">
        <f>SUM(U438:U447)</f>
        <v>800</v>
      </c>
      <c r="V448" s="153">
        <f t="shared" ref="V448" si="538">SUM(V438:V447)</f>
        <v>0</v>
      </c>
      <c r="W448" s="153">
        <f t="shared" ref="W448:AJ448" si="539">SUM(W438:W447)</f>
        <v>0</v>
      </c>
      <c r="X448" s="153">
        <f t="shared" si="539"/>
        <v>0</v>
      </c>
      <c r="Y448" s="153">
        <f t="shared" si="539"/>
        <v>0</v>
      </c>
      <c r="Z448" s="153">
        <f t="shared" si="539"/>
        <v>0</v>
      </c>
      <c r="AA448" s="153">
        <f t="shared" si="486"/>
        <v>0</v>
      </c>
      <c r="AB448" s="153">
        <f t="shared" si="539"/>
        <v>800</v>
      </c>
      <c r="AC448" s="153">
        <f t="shared" si="539"/>
        <v>400</v>
      </c>
      <c r="AD448" s="153">
        <f t="shared" si="539"/>
        <v>0</v>
      </c>
      <c r="AE448" s="153">
        <f t="shared" si="539"/>
        <v>0</v>
      </c>
      <c r="AF448" s="153">
        <f t="shared" si="539"/>
        <v>0</v>
      </c>
      <c r="AG448" s="153">
        <f t="shared" ref="AG448" si="540">SUM(AG438:AG447)</f>
        <v>0</v>
      </c>
      <c r="AH448" s="153">
        <f t="shared" si="539"/>
        <v>0</v>
      </c>
      <c r="AI448" s="153">
        <f t="shared" si="487"/>
        <v>0</v>
      </c>
      <c r="AJ448" s="153">
        <f t="shared" si="539"/>
        <v>400</v>
      </c>
      <c r="AK448" s="156"/>
      <c r="AL448" s="156"/>
      <c r="AM448" s="156">
        <f>SUM(AM438:AM447)</f>
        <v>4900</v>
      </c>
      <c r="AN448" s="156"/>
      <c r="AO448" s="156"/>
      <c r="AP448" s="155"/>
      <c r="AQ448" s="153">
        <f>SUM(AQ438:AQ447)</f>
        <v>605</v>
      </c>
      <c r="AR448" s="153">
        <f>SUM(AR438:AR443)</f>
        <v>0</v>
      </c>
      <c r="AS448" s="153">
        <f>SUM(AS438:AS443)</f>
        <v>0</v>
      </c>
      <c r="AT448" s="153">
        <f>SUM(AT438:AT447)</f>
        <v>605</v>
      </c>
      <c r="AU448" s="129"/>
      <c r="AV448" s="156"/>
      <c r="AW448" s="155"/>
      <c r="AX448" s="155" t="s">
        <v>147</v>
      </c>
    </row>
    <row r="449" spans="1:50" s="77" customFormat="1" ht="36" x14ac:dyDescent="0.25">
      <c r="A449" s="166"/>
      <c r="B449" s="115" t="s">
        <v>224</v>
      </c>
      <c r="C449" s="115" t="s">
        <v>186</v>
      </c>
      <c r="D449" s="117" t="s">
        <v>106</v>
      </c>
      <c r="E449" s="117" t="s">
        <v>48</v>
      </c>
      <c r="F449" s="272" t="s">
        <v>49</v>
      </c>
      <c r="G449" s="119" t="s">
        <v>178</v>
      </c>
      <c r="H449" s="272">
        <v>120</v>
      </c>
      <c r="I449" s="238">
        <v>0</v>
      </c>
      <c r="J449" s="230">
        <v>0</v>
      </c>
      <c r="K449" s="224">
        <v>0</v>
      </c>
      <c r="L449" s="226">
        <v>0</v>
      </c>
      <c r="M449" s="232">
        <v>0</v>
      </c>
      <c r="N449" s="278">
        <f t="shared" si="488"/>
        <v>0</v>
      </c>
      <c r="O449" s="242">
        <v>120</v>
      </c>
      <c r="P449" s="71"/>
      <c r="Q449" s="272"/>
      <c r="R449" s="272" t="s">
        <v>179</v>
      </c>
      <c r="S449" s="276" t="s">
        <v>367</v>
      </c>
      <c r="T449" s="251" t="s">
        <v>77</v>
      </c>
      <c r="U449" s="272">
        <v>150</v>
      </c>
      <c r="V449" s="238">
        <v>0</v>
      </c>
      <c r="W449" s="230">
        <v>0</v>
      </c>
      <c r="X449" s="224">
        <v>0</v>
      </c>
      <c r="Y449" s="226">
        <v>0</v>
      </c>
      <c r="Z449" s="232">
        <v>0</v>
      </c>
      <c r="AA449" s="278">
        <f t="shared" si="486"/>
        <v>0</v>
      </c>
      <c r="AB449" s="242">
        <v>150</v>
      </c>
      <c r="AC449" s="272">
        <v>35</v>
      </c>
      <c r="AD449" s="238">
        <v>0</v>
      </c>
      <c r="AE449" s="230">
        <v>0</v>
      </c>
      <c r="AF449" s="224">
        <v>0</v>
      </c>
      <c r="AG449" s="226">
        <v>0</v>
      </c>
      <c r="AH449" s="232">
        <v>0</v>
      </c>
      <c r="AI449" s="278">
        <f t="shared" si="487"/>
        <v>0</v>
      </c>
      <c r="AJ449" s="242">
        <v>35</v>
      </c>
      <c r="AK449" s="272"/>
      <c r="AL449" s="272" t="s">
        <v>183</v>
      </c>
      <c r="AM449" s="243">
        <v>55</v>
      </c>
      <c r="AN449" s="272"/>
      <c r="AO449" s="72"/>
      <c r="AP449" s="119" t="s">
        <v>58</v>
      </c>
      <c r="AQ449" s="136">
        <v>35</v>
      </c>
      <c r="AR449" s="161">
        <v>0</v>
      </c>
      <c r="AS449" s="162">
        <v>0</v>
      </c>
      <c r="AT449" s="163">
        <v>35</v>
      </c>
      <c r="AU449" s="272"/>
      <c r="AV449" s="272"/>
      <c r="AW449" s="272"/>
      <c r="AX449" s="138" t="s">
        <v>147</v>
      </c>
    </row>
    <row r="450" spans="1:50" s="77" customFormat="1" ht="36" x14ac:dyDescent="0.25">
      <c r="A450" s="166"/>
      <c r="B450" s="115" t="s">
        <v>224</v>
      </c>
      <c r="C450" s="115" t="s">
        <v>186</v>
      </c>
      <c r="D450" s="117" t="s">
        <v>106</v>
      </c>
      <c r="E450" s="117" t="s">
        <v>48</v>
      </c>
      <c r="F450" s="272"/>
      <c r="G450" s="119" t="s">
        <v>178</v>
      </c>
      <c r="H450" s="272"/>
      <c r="I450" s="239"/>
      <c r="J450" s="231"/>
      <c r="K450" s="225"/>
      <c r="L450" s="227"/>
      <c r="M450" s="233"/>
      <c r="N450" s="278">
        <f t="shared" si="488"/>
        <v>0</v>
      </c>
      <c r="O450" s="242"/>
      <c r="P450" s="71"/>
      <c r="Q450" s="272"/>
      <c r="R450" s="272"/>
      <c r="S450" s="276"/>
      <c r="T450" s="251"/>
      <c r="U450" s="272"/>
      <c r="V450" s="239"/>
      <c r="W450" s="231"/>
      <c r="X450" s="225"/>
      <c r="Y450" s="227"/>
      <c r="Z450" s="233"/>
      <c r="AA450" s="278">
        <f t="shared" si="486"/>
        <v>0</v>
      </c>
      <c r="AB450" s="242"/>
      <c r="AC450" s="272"/>
      <c r="AD450" s="239"/>
      <c r="AE450" s="231"/>
      <c r="AF450" s="225"/>
      <c r="AG450" s="227"/>
      <c r="AH450" s="233"/>
      <c r="AI450" s="278">
        <f t="shared" si="487"/>
        <v>0</v>
      </c>
      <c r="AJ450" s="242"/>
      <c r="AK450" s="272"/>
      <c r="AL450" s="272"/>
      <c r="AM450" s="243"/>
      <c r="AN450" s="272"/>
      <c r="AO450" s="72"/>
      <c r="AP450" s="119" t="s">
        <v>127</v>
      </c>
      <c r="AQ450" s="136">
        <v>1</v>
      </c>
      <c r="AR450" s="161">
        <v>0</v>
      </c>
      <c r="AS450" s="162">
        <v>0</v>
      </c>
      <c r="AT450" s="163">
        <v>1</v>
      </c>
      <c r="AU450" s="272"/>
      <c r="AV450" s="272"/>
      <c r="AW450" s="272"/>
      <c r="AX450" s="138" t="s">
        <v>147</v>
      </c>
    </row>
    <row r="451" spans="1:50" s="77" customFormat="1" ht="36" customHeight="1" x14ac:dyDescent="0.25">
      <c r="A451" s="166"/>
      <c r="B451" s="115" t="s">
        <v>224</v>
      </c>
      <c r="C451" s="115" t="s">
        <v>186</v>
      </c>
      <c r="D451" s="117" t="s">
        <v>106</v>
      </c>
      <c r="E451" s="117" t="s">
        <v>48</v>
      </c>
      <c r="F451" s="272"/>
      <c r="G451" s="119" t="s">
        <v>227</v>
      </c>
      <c r="H451" s="272">
        <v>70</v>
      </c>
      <c r="I451" s="238">
        <v>0</v>
      </c>
      <c r="J451" s="230">
        <v>0</v>
      </c>
      <c r="K451" s="224">
        <v>0</v>
      </c>
      <c r="L451" s="226">
        <v>0</v>
      </c>
      <c r="M451" s="232">
        <v>0</v>
      </c>
      <c r="N451" s="278">
        <f t="shared" si="488"/>
        <v>0</v>
      </c>
      <c r="O451" s="242">
        <v>70</v>
      </c>
      <c r="P451" s="71"/>
      <c r="Q451" s="272"/>
      <c r="R451" s="272" t="s">
        <v>179</v>
      </c>
      <c r="S451" s="276" t="s">
        <v>367</v>
      </c>
      <c r="T451" s="251"/>
      <c r="U451" s="272">
        <v>140</v>
      </c>
      <c r="V451" s="238">
        <v>0</v>
      </c>
      <c r="W451" s="230">
        <v>0</v>
      </c>
      <c r="X451" s="224">
        <v>0</v>
      </c>
      <c r="Y451" s="226">
        <v>0</v>
      </c>
      <c r="Z451" s="232">
        <v>0</v>
      </c>
      <c r="AA451" s="278">
        <f t="shared" si="486"/>
        <v>0</v>
      </c>
      <c r="AB451" s="242">
        <v>140</v>
      </c>
      <c r="AC451" s="272">
        <v>0</v>
      </c>
      <c r="AD451" s="238">
        <v>0</v>
      </c>
      <c r="AE451" s="230">
        <v>0</v>
      </c>
      <c r="AF451" s="224">
        <v>0</v>
      </c>
      <c r="AG451" s="226">
        <v>0</v>
      </c>
      <c r="AH451" s="232">
        <v>0</v>
      </c>
      <c r="AI451" s="278">
        <f t="shared" si="487"/>
        <v>0</v>
      </c>
      <c r="AJ451" s="242">
        <v>0</v>
      </c>
      <c r="AK451" s="272"/>
      <c r="AL451" s="272" t="s">
        <v>183</v>
      </c>
      <c r="AM451" s="243">
        <v>30</v>
      </c>
      <c r="AN451" s="272"/>
      <c r="AO451" s="72"/>
      <c r="AP451" s="119" t="s">
        <v>58</v>
      </c>
      <c r="AQ451" s="136">
        <v>0</v>
      </c>
      <c r="AR451" s="161">
        <v>0</v>
      </c>
      <c r="AS451" s="162">
        <v>0</v>
      </c>
      <c r="AT451" s="163">
        <v>0</v>
      </c>
      <c r="AU451" s="272"/>
      <c r="AV451" s="272"/>
      <c r="AW451" s="272"/>
      <c r="AX451" s="138" t="s">
        <v>147</v>
      </c>
    </row>
    <row r="452" spans="1:50" s="77" customFormat="1" ht="36" x14ac:dyDescent="0.25">
      <c r="A452" s="166"/>
      <c r="B452" s="115" t="s">
        <v>224</v>
      </c>
      <c r="C452" s="115" t="s">
        <v>186</v>
      </c>
      <c r="D452" s="117" t="s">
        <v>106</v>
      </c>
      <c r="E452" s="117" t="s">
        <v>48</v>
      </c>
      <c r="F452" s="272"/>
      <c r="G452" s="119" t="s">
        <v>227</v>
      </c>
      <c r="H452" s="272"/>
      <c r="I452" s="239"/>
      <c r="J452" s="231"/>
      <c r="K452" s="225"/>
      <c r="L452" s="227"/>
      <c r="M452" s="233"/>
      <c r="N452" s="278">
        <f t="shared" si="488"/>
        <v>0</v>
      </c>
      <c r="O452" s="242"/>
      <c r="P452" s="71"/>
      <c r="Q452" s="272"/>
      <c r="R452" s="272"/>
      <c r="S452" s="276"/>
      <c r="T452" s="251"/>
      <c r="U452" s="272"/>
      <c r="V452" s="239"/>
      <c r="W452" s="231"/>
      <c r="X452" s="225"/>
      <c r="Y452" s="227"/>
      <c r="Z452" s="233"/>
      <c r="AA452" s="278">
        <f t="shared" ref="AA452:AA515" si="541">SUM(V452:Z452)</f>
        <v>0</v>
      </c>
      <c r="AB452" s="242"/>
      <c r="AC452" s="272"/>
      <c r="AD452" s="239"/>
      <c r="AE452" s="231"/>
      <c r="AF452" s="225"/>
      <c r="AG452" s="227"/>
      <c r="AH452" s="233"/>
      <c r="AI452" s="278">
        <f t="shared" ref="AI452:AI515" si="542">SUM(AD452:AH452)</f>
        <v>0</v>
      </c>
      <c r="AJ452" s="242"/>
      <c r="AK452" s="272"/>
      <c r="AL452" s="272"/>
      <c r="AM452" s="243"/>
      <c r="AN452" s="272"/>
      <c r="AO452" s="72"/>
      <c r="AP452" s="119" t="s">
        <v>127</v>
      </c>
      <c r="AQ452" s="136">
        <v>0</v>
      </c>
      <c r="AR452" s="161">
        <v>0</v>
      </c>
      <c r="AS452" s="162">
        <v>0</v>
      </c>
      <c r="AT452" s="163">
        <v>0</v>
      </c>
      <c r="AU452" s="272"/>
      <c r="AV452" s="272"/>
      <c r="AW452" s="272"/>
      <c r="AX452" s="138" t="s">
        <v>147</v>
      </c>
    </row>
    <row r="453" spans="1:50" s="77" customFormat="1" ht="36" x14ac:dyDescent="0.25">
      <c r="A453" s="166"/>
      <c r="B453" s="115" t="s">
        <v>224</v>
      </c>
      <c r="C453" s="115" t="s">
        <v>186</v>
      </c>
      <c r="D453" s="117" t="s">
        <v>106</v>
      </c>
      <c r="E453" s="117" t="s">
        <v>48</v>
      </c>
      <c r="F453" s="142" t="s">
        <v>61</v>
      </c>
      <c r="G453" s="155"/>
      <c r="H453" s="153">
        <f t="shared" ref="H453:O453" si="543">SUM(H449:H452)</f>
        <v>190</v>
      </c>
      <c r="I453" s="153">
        <f t="shared" si="543"/>
        <v>0</v>
      </c>
      <c r="J453" s="153">
        <f t="shared" si="543"/>
        <v>0</v>
      </c>
      <c r="K453" s="153">
        <f t="shared" si="543"/>
        <v>0</v>
      </c>
      <c r="L453" s="153">
        <f t="shared" si="543"/>
        <v>0</v>
      </c>
      <c r="M453" s="153">
        <f t="shared" si="543"/>
        <v>0</v>
      </c>
      <c r="N453" s="153">
        <f t="shared" si="488"/>
        <v>0</v>
      </c>
      <c r="O453" s="153">
        <f t="shared" si="543"/>
        <v>190</v>
      </c>
      <c r="P453" s="153"/>
      <c r="Q453" s="156"/>
      <c r="R453" s="129"/>
      <c r="S453" s="157"/>
      <c r="T453" s="158"/>
      <c r="U453" s="153">
        <f t="shared" ref="U453:AJ453" si="544">SUM(U449:U452)</f>
        <v>290</v>
      </c>
      <c r="V453" s="153">
        <f t="shared" si="544"/>
        <v>0</v>
      </c>
      <c r="W453" s="153">
        <f t="shared" si="544"/>
        <v>0</v>
      </c>
      <c r="X453" s="153">
        <f t="shared" si="544"/>
        <v>0</v>
      </c>
      <c r="Y453" s="153">
        <f t="shared" si="544"/>
        <v>0</v>
      </c>
      <c r="Z453" s="153">
        <f t="shared" si="544"/>
        <v>0</v>
      </c>
      <c r="AA453" s="153">
        <f t="shared" si="541"/>
        <v>0</v>
      </c>
      <c r="AB453" s="153">
        <f t="shared" si="544"/>
        <v>290</v>
      </c>
      <c r="AC453" s="153">
        <f t="shared" si="544"/>
        <v>35</v>
      </c>
      <c r="AD453" s="153">
        <f t="shared" si="544"/>
        <v>0</v>
      </c>
      <c r="AE453" s="153">
        <f t="shared" si="544"/>
        <v>0</v>
      </c>
      <c r="AF453" s="153">
        <f t="shared" si="544"/>
        <v>0</v>
      </c>
      <c r="AG453" s="153">
        <f t="shared" ref="AG453" si="545">SUM(AG449:AG452)</f>
        <v>0</v>
      </c>
      <c r="AH453" s="153">
        <f t="shared" si="544"/>
        <v>0</v>
      </c>
      <c r="AI453" s="153">
        <f t="shared" si="542"/>
        <v>0</v>
      </c>
      <c r="AJ453" s="153">
        <f t="shared" si="544"/>
        <v>35</v>
      </c>
      <c r="AK453" s="156"/>
      <c r="AL453" s="156"/>
      <c r="AM453" s="156">
        <f>SUM(AM449:AM452)</f>
        <v>85</v>
      </c>
      <c r="AN453" s="156"/>
      <c r="AO453" s="156"/>
      <c r="AP453" s="155"/>
      <c r="AQ453" s="153">
        <f>SUM(AQ449:AQ452)</f>
        <v>36</v>
      </c>
      <c r="AR453" s="153">
        <f>SUM(AR449:AR452)</f>
        <v>0</v>
      </c>
      <c r="AS453" s="153">
        <f>SUM(AS449:AS452)</f>
        <v>0</v>
      </c>
      <c r="AT453" s="153">
        <f>SUM(AT449:AT452)</f>
        <v>36</v>
      </c>
      <c r="AU453" s="129"/>
      <c r="AV453" s="156"/>
      <c r="AW453" s="155"/>
      <c r="AX453" s="155" t="s">
        <v>147</v>
      </c>
    </row>
    <row r="454" spans="1:50" s="77" customFormat="1" ht="54" x14ac:dyDescent="0.25">
      <c r="A454" s="166"/>
      <c r="B454" s="115" t="s">
        <v>224</v>
      </c>
      <c r="C454" s="115" t="s">
        <v>368</v>
      </c>
      <c r="D454" s="117" t="s">
        <v>106</v>
      </c>
      <c r="E454" s="117" t="s">
        <v>75</v>
      </c>
      <c r="F454" s="272"/>
      <c r="G454" s="135" t="s">
        <v>231</v>
      </c>
      <c r="H454" s="119">
        <v>5</v>
      </c>
      <c r="I454" s="199">
        <v>0</v>
      </c>
      <c r="J454" s="103">
        <v>0</v>
      </c>
      <c r="K454" s="104">
        <v>0</v>
      </c>
      <c r="L454" s="105">
        <v>0</v>
      </c>
      <c r="M454" s="106">
        <v>0</v>
      </c>
      <c r="N454" s="133">
        <f t="shared" si="488"/>
        <v>0</v>
      </c>
      <c r="O454" s="71">
        <v>5</v>
      </c>
      <c r="P454" s="71"/>
      <c r="Q454" s="132"/>
      <c r="R454" s="119" t="s">
        <v>51</v>
      </c>
      <c r="S454" s="120" t="s">
        <v>369</v>
      </c>
      <c r="T454" s="119" t="s">
        <v>276</v>
      </c>
      <c r="U454" s="119">
        <v>15</v>
      </c>
      <c r="V454" s="199">
        <v>0</v>
      </c>
      <c r="W454" s="103">
        <v>0</v>
      </c>
      <c r="X454" s="104">
        <v>0</v>
      </c>
      <c r="Y454" s="105">
        <v>0</v>
      </c>
      <c r="Z454" s="106">
        <v>0</v>
      </c>
      <c r="AA454" s="133">
        <f t="shared" si="541"/>
        <v>0</v>
      </c>
      <c r="AB454" s="71">
        <v>15</v>
      </c>
      <c r="AC454" s="119">
        <v>5</v>
      </c>
      <c r="AD454" s="199">
        <v>0</v>
      </c>
      <c r="AE454" s="103">
        <v>0</v>
      </c>
      <c r="AF454" s="104">
        <v>0</v>
      </c>
      <c r="AG454" s="105">
        <v>0</v>
      </c>
      <c r="AH454" s="106">
        <v>0</v>
      </c>
      <c r="AI454" s="133">
        <f t="shared" si="542"/>
        <v>0</v>
      </c>
      <c r="AJ454" s="71">
        <v>5</v>
      </c>
      <c r="AK454" s="119"/>
      <c r="AL454" s="119"/>
      <c r="AM454" s="46"/>
      <c r="AN454" s="119"/>
      <c r="AO454" s="46"/>
      <c r="AP454" s="119" t="s">
        <v>58</v>
      </c>
      <c r="AQ454" s="119">
        <v>5</v>
      </c>
      <c r="AR454" s="161">
        <v>0</v>
      </c>
      <c r="AS454" s="162">
        <v>0</v>
      </c>
      <c r="AT454" s="163">
        <v>5</v>
      </c>
      <c r="AU454" s="119"/>
      <c r="AV454" s="119"/>
      <c r="AW454" s="119"/>
      <c r="AX454" s="117" t="s">
        <v>214</v>
      </c>
    </row>
    <row r="455" spans="1:50" s="77" customFormat="1" ht="54" x14ac:dyDescent="0.25">
      <c r="A455" s="166"/>
      <c r="B455" s="115" t="s">
        <v>224</v>
      </c>
      <c r="C455" s="115" t="s">
        <v>368</v>
      </c>
      <c r="D455" s="117" t="s">
        <v>106</v>
      </c>
      <c r="E455" s="117" t="s">
        <v>75</v>
      </c>
      <c r="F455" s="272"/>
      <c r="G455" s="135" t="s">
        <v>227</v>
      </c>
      <c r="H455" s="119">
        <v>5</v>
      </c>
      <c r="I455" s="199">
        <v>0</v>
      </c>
      <c r="J455" s="103">
        <v>0</v>
      </c>
      <c r="K455" s="104">
        <v>0</v>
      </c>
      <c r="L455" s="105">
        <v>0</v>
      </c>
      <c r="M455" s="106">
        <v>0</v>
      </c>
      <c r="N455" s="133">
        <f t="shared" si="488"/>
        <v>0</v>
      </c>
      <c r="O455" s="71">
        <v>5</v>
      </c>
      <c r="P455" s="71"/>
      <c r="Q455" s="132"/>
      <c r="R455" s="119" t="s">
        <v>51</v>
      </c>
      <c r="S455" s="120" t="s">
        <v>369</v>
      </c>
      <c r="T455" s="119" t="s">
        <v>276</v>
      </c>
      <c r="U455" s="119">
        <v>5</v>
      </c>
      <c r="V455" s="199">
        <v>0</v>
      </c>
      <c r="W455" s="103">
        <v>0</v>
      </c>
      <c r="X455" s="104">
        <v>0</v>
      </c>
      <c r="Y455" s="105">
        <v>0</v>
      </c>
      <c r="Z455" s="106">
        <v>0</v>
      </c>
      <c r="AA455" s="133">
        <f t="shared" si="541"/>
        <v>0</v>
      </c>
      <c r="AB455" s="71">
        <v>5</v>
      </c>
      <c r="AC455" s="119">
        <v>0</v>
      </c>
      <c r="AD455" s="199">
        <v>0</v>
      </c>
      <c r="AE455" s="103">
        <v>0</v>
      </c>
      <c r="AF455" s="104">
        <v>0</v>
      </c>
      <c r="AG455" s="105">
        <v>0</v>
      </c>
      <c r="AH455" s="106">
        <v>0</v>
      </c>
      <c r="AI455" s="133">
        <f t="shared" si="542"/>
        <v>0</v>
      </c>
      <c r="AJ455" s="71">
        <v>0</v>
      </c>
      <c r="AK455" s="119"/>
      <c r="AL455" s="119"/>
      <c r="AM455" s="46"/>
      <c r="AN455" s="119"/>
      <c r="AO455" s="46"/>
      <c r="AP455" s="119"/>
      <c r="AQ455" s="119">
        <v>0</v>
      </c>
      <c r="AR455" s="161">
        <v>0</v>
      </c>
      <c r="AS455" s="162">
        <v>0</v>
      </c>
      <c r="AT455" s="163">
        <v>0</v>
      </c>
      <c r="AU455" s="119"/>
      <c r="AV455" s="119"/>
      <c r="AW455" s="119"/>
      <c r="AX455" s="117" t="s">
        <v>214</v>
      </c>
    </row>
    <row r="456" spans="1:50" s="77" customFormat="1" ht="54" x14ac:dyDescent="0.25">
      <c r="A456" s="166"/>
      <c r="B456" s="115" t="s">
        <v>224</v>
      </c>
      <c r="C456" s="115" t="s">
        <v>368</v>
      </c>
      <c r="D456" s="117" t="s">
        <v>106</v>
      </c>
      <c r="E456" s="117" t="s">
        <v>75</v>
      </c>
      <c r="F456" s="272"/>
      <c r="G456" s="135" t="s">
        <v>229</v>
      </c>
      <c r="H456" s="119">
        <v>5</v>
      </c>
      <c r="I456" s="199">
        <v>0</v>
      </c>
      <c r="J456" s="103">
        <v>0</v>
      </c>
      <c r="K456" s="104">
        <v>0</v>
      </c>
      <c r="L456" s="105">
        <v>0</v>
      </c>
      <c r="M456" s="106">
        <v>0</v>
      </c>
      <c r="N456" s="133">
        <f t="shared" si="488"/>
        <v>0</v>
      </c>
      <c r="O456" s="71">
        <v>5</v>
      </c>
      <c r="P456" s="71"/>
      <c r="Q456" s="132"/>
      <c r="R456" s="119" t="s">
        <v>51</v>
      </c>
      <c r="S456" s="120" t="s">
        <v>369</v>
      </c>
      <c r="T456" s="119" t="s">
        <v>276</v>
      </c>
      <c r="U456" s="119">
        <v>5</v>
      </c>
      <c r="V456" s="199">
        <v>0</v>
      </c>
      <c r="W456" s="103">
        <v>0</v>
      </c>
      <c r="X456" s="104">
        <v>0</v>
      </c>
      <c r="Y456" s="105">
        <v>0</v>
      </c>
      <c r="Z456" s="106">
        <v>0</v>
      </c>
      <c r="AA456" s="133">
        <f t="shared" si="541"/>
        <v>0</v>
      </c>
      <c r="AB456" s="71">
        <v>5</v>
      </c>
      <c r="AC456" s="119">
        <v>0</v>
      </c>
      <c r="AD456" s="199">
        <v>0</v>
      </c>
      <c r="AE456" s="103">
        <v>0</v>
      </c>
      <c r="AF456" s="104">
        <v>0</v>
      </c>
      <c r="AG456" s="105">
        <v>0</v>
      </c>
      <c r="AH456" s="106">
        <v>0</v>
      </c>
      <c r="AI456" s="133">
        <f t="shared" si="542"/>
        <v>0</v>
      </c>
      <c r="AJ456" s="71">
        <v>0</v>
      </c>
      <c r="AK456" s="119"/>
      <c r="AL456" s="119"/>
      <c r="AM456" s="46"/>
      <c r="AN456" s="119"/>
      <c r="AO456" s="46"/>
      <c r="AP456" s="119"/>
      <c r="AQ456" s="119">
        <v>0</v>
      </c>
      <c r="AR456" s="161">
        <v>0</v>
      </c>
      <c r="AS456" s="162">
        <v>0</v>
      </c>
      <c r="AT456" s="163">
        <v>0</v>
      </c>
      <c r="AU456" s="119"/>
      <c r="AV456" s="119"/>
      <c r="AW456" s="119"/>
      <c r="AX456" s="117" t="s">
        <v>214</v>
      </c>
    </row>
    <row r="457" spans="1:50" s="77" customFormat="1" ht="54" x14ac:dyDescent="0.25">
      <c r="A457" s="166"/>
      <c r="B457" s="115" t="s">
        <v>224</v>
      </c>
      <c r="C457" s="115" t="s">
        <v>368</v>
      </c>
      <c r="D457" s="117" t="s">
        <v>106</v>
      </c>
      <c r="E457" s="117" t="s">
        <v>75</v>
      </c>
      <c r="F457" s="142" t="s">
        <v>61</v>
      </c>
      <c r="G457" s="155"/>
      <c r="H457" s="153">
        <f>SUBTOTAL(9,H454:H456)</f>
        <v>15</v>
      </c>
      <c r="I457" s="153">
        <f t="shared" ref="I457" si="546">SUBTOTAL(9,I454:I456)</f>
        <v>0</v>
      </c>
      <c r="J457" s="153">
        <f t="shared" ref="J457:O457" si="547">SUBTOTAL(9,J454:J456)</f>
        <v>0</v>
      </c>
      <c r="K457" s="153">
        <f t="shared" si="547"/>
        <v>0</v>
      </c>
      <c r="L457" s="153">
        <f t="shared" si="547"/>
        <v>0</v>
      </c>
      <c r="M457" s="153">
        <f t="shared" si="547"/>
        <v>0</v>
      </c>
      <c r="N457" s="153">
        <f t="shared" ref="N457:N520" si="548">SUM(I457:M457)</f>
        <v>0</v>
      </c>
      <c r="O457" s="153">
        <f t="shared" si="547"/>
        <v>15</v>
      </c>
      <c r="P457" s="153"/>
      <c r="Q457" s="156"/>
      <c r="R457" s="129"/>
      <c r="S457" s="157"/>
      <c r="T457" s="158"/>
      <c r="U457" s="153">
        <f>SUBTOTAL(9,U454:U456)</f>
        <v>25</v>
      </c>
      <c r="V457" s="153">
        <f t="shared" ref="V457" si="549">SUBTOTAL(9,V454:V456)</f>
        <v>0</v>
      </c>
      <c r="W457" s="153">
        <f t="shared" ref="W457:AJ457" si="550">SUBTOTAL(9,W454:W456)</f>
        <v>0</v>
      </c>
      <c r="X457" s="153">
        <f t="shared" si="550"/>
        <v>0</v>
      </c>
      <c r="Y457" s="153">
        <f t="shared" si="550"/>
        <v>0</v>
      </c>
      <c r="Z457" s="153">
        <f t="shared" si="550"/>
        <v>0</v>
      </c>
      <c r="AA457" s="153">
        <f t="shared" si="541"/>
        <v>0</v>
      </c>
      <c r="AB457" s="153">
        <f t="shared" si="550"/>
        <v>25</v>
      </c>
      <c r="AC457" s="153">
        <f t="shared" si="550"/>
        <v>5</v>
      </c>
      <c r="AD457" s="153">
        <f t="shared" si="550"/>
        <v>0</v>
      </c>
      <c r="AE457" s="153">
        <f t="shared" si="550"/>
        <v>0</v>
      </c>
      <c r="AF457" s="153">
        <f t="shared" si="550"/>
        <v>0</v>
      </c>
      <c r="AG457" s="153">
        <f t="shared" ref="AG457" si="551">SUBTOTAL(9,AG454:AG456)</f>
        <v>0</v>
      </c>
      <c r="AH457" s="153">
        <f t="shared" si="550"/>
        <v>0</v>
      </c>
      <c r="AI457" s="153">
        <f t="shared" si="542"/>
        <v>0</v>
      </c>
      <c r="AJ457" s="153">
        <f t="shared" si="550"/>
        <v>5</v>
      </c>
      <c r="AK457" s="156"/>
      <c r="AL457" s="156"/>
      <c r="AM457" s="156"/>
      <c r="AN457" s="156"/>
      <c r="AO457" s="156"/>
      <c r="AP457" s="155"/>
      <c r="AQ457" s="153">
        <f>SUBTOTAL(9,AQ454:AQ456)</f>
        <v>5</v>
      </c>
      <c r="AR457" s="153">
        <f t="shared" ref="AR457:AT457" si="552">SUBTOTAL(9,AR454:AR456)</f>
        <v>0</v>
      </c>
      <c r="AS457" s="153">
        <f t="shared" si="552"/>
        <v>0</v>
      </c>
      <c r="AT457" s="153">
        <f t="shared" si="552"/>
        <v>5</v>
      </c>
      <c r="AU457" s="129"/>
      <c r="AV457" s="156"/>
      <c r="AW457" s="155"/>
      <c r="AX457" s="155" t="s">
        <v>214</v>
      </c>
    </row>
    <row r="458" spans="1:50" s="77" customFormat="1" ht="36" x14ac:dyDescent="0.25">
      <c r="A458" s="166"/>
      <c r="B458" s="115" t="s">
        <v>224</v>
      </c>
      <c r="C458" s="115" t="s">
        <v>370</v>
      </c>
      <c r="D458" s="117" t="s">
        <v>356</v>
      </c>
      <c r="E458" s="117" t="s">
        <v>75</v>
      </c>
      <c r="F458" s="138"/>
      <c r="G458" s="119" t="s">
        <v>178</v>
      </c>
      <c r="H458" s="119">
        <v>5</v>
      </c>
      <c r="I458" s="199">
        <v>0</v>
      </c>
      <c r="J458" s="103">
        <v>0</v>
      </c>
      <c r="K458" s="104">
        <v>0</v>
      </c>
      <c r="L458" s="105">
        <v>0</v>
      </c>
      <c r="M458" s="106">
        <v>0</v>
      </c>
      <c r="N458" s="133">
        <f t="shared" si="548"/>
        <v>0</v>
      </c>
      <c r="O458" s="71">
        <v>5</v>
      </c>
      <c r="P458" s="71"/>
      <c r="Q458" s="132"/>
      <c r="R458" s="119" t="s">
        <v>51</v>
      </c>
      <c r="S458" s="120" t="s">
        <v>371</v>
      </c>
      <c r="T458" s="119" t="s">
        <v>372</v>
      </c>
      <c r="U458" s="119">
        <v>5</v>
      </c>
      <c r="V458" s="199">
        <v>0</v>
      </c>
      <c r="W458" s="103">
        <v>0</v>
      </c>
      <c r="X458" s="104">
        <v>0</v>
      </c>
      <c r="Y458" s="105">
        <v>0</v>
      </c>
      <c r="Z458" s="106">
        <v>0</v>
      </c>
      <c r="AA458" s="133">
        <f t="shared" si="541"/>
        <v>0</v>
      </c>
      <c r="AB458" s="71">
        <v>5</v>
      </c>
      <c r="AC458" s="119">
        <v>2</v>
      </c>
      <c r="AD458" s="199">
        <v>0</v>
      </c>
      <c r="AE458" s="103">
        <v>0</v>
      </c>
      <c r="AF458" s="104">
        <v>0</v>
      </c>
      <c r="AG458" s="105">
        <v>0</v>
      </c>
      <c r="AH458" s="106">
        <v>0</v>
      </c>
      <c r="AI458" s="133">
        <f t="shared" si="542"/>
        <v>0</v>
      </c>
      <c r="AJ458" s="71">
        <v>2</v>
      </c>
      <c r="AK458" s="119"/>
      <c r="AL458" s="119"/>
      <c r="AM458" s="46"/>
      <c r="AN458" s="119"/>
      <c r="AO458" s="46"/>
      <c r="AP458" s="119" t="s">
        <v>127</v>
      </c>
      <c r="AQ458" s="119">
        <v>2</v>
      </c>
      <c r="AR458" s="161">
        <v>0</v>
      </c>
      <c r="AS458" s="162">
        <v>2</v>
      </c>
      <c r="AT458" s="163">
        <v>0</v>
      </c>
      <c r="AU458" s="119"/>
      <c r="AV458" s="119"/>
      <c r="AW458" s="119"/>
      <c r="AX458" s="117" t="s">
        <v>55</v>
      </c>
    </row>
    <row r="459" spans="1:50" s="77" customFormat="1" ht="36" x14ac:dyDescent="0.25">
      <c r="A459" s="166"/>
      <c r="B459" s="115" t="s">
        <v>224</v>
      </c>
      <c r="C459" s="115" t="s">
        <v>370</v>
      </c>
      <c r="D459" s="117" t="s">
        <v>356</v>
      </c>
      <c r="E459" s="117" t="s">
        <v>75</v>
      </c>
      <c r="F459" s="142" t="s">
        <v>61</v>
      </c>
      <c r="G459" s="155"/>
      <c r="H459" s="153">
        <f>SUBTOTAL(9,H458)</f>
        <v>5</v>
      </c>
      <c r="I459" s="153">
        <f t="shared" ref="I459" si="553">SUBTOTAL(9,I458)</f>
        <v>0</v>
      </c>
      <c r="J459" s="153">
        <f t="shared" ref="J459:O459" si="554">SUBTOTAL(9,J458)</f>
        <v>0</v>
      </c>
      <c r="K459" s="153">
        <f t="shared" si="554"/>
        <v>0</v>
      </c>
      <c r="L459" s="153">
        <f t="shared" si="554"/>
        <v>0</v>
      </c>
      <c r="M459" s="153">
        <f t="shared" si="554"/>
        <v>0</v>
      </c>
      <c r="N459" s="153">
        <f t="shared" si="548"/>
        <v>0</v>
      </c>
      <c r="O459" s="153">
        <f t="shared" si="554"/>
        <v>5</v>
      </c>
      <c r="P459" s="153"/>
      <c r="Q459" s="156"/>
      <c r="R459" s="129"/>
      <c r="S459" s="157"/>
      <c r="T459" s="158"/>
      <c r="U459" s="153">
        <f>SUBTOTAL(9,U458)</f>
        <v>5</v>
      </c>
      <c r="V459" s="153">
        <f t="shared" ref="V459" si="555">SUBTOTAL(9,V458)</f>
        <v>0</v>
      </c>
      <c r="W459" s="153">
        <f t="shared" ref="W459:AJ459" si="556">SUBTOTAL(9,W458)</f>
        <v>0</v>
      </c>
      <c r="X459" s="153">
        <f t="shared" si="556"/>
        <v>0</v>
      </c>
      <c r="Y459" s="153">
        <f t="shared" si="556"/>
        <v>0</v>
      </c>
      <c r="Z459" s="153">
        <f t="shared" si="556"/>
        <v>0</v>
      </c>
      <c r="AA459" s="153">
        <f t="shared" si="541"/>
        <v>0</v>
      </c>
      <c r="AB459" s="153">
        <f t="shared" si="556"/>
        <v>5</v>
      </c>
      <c r="AC459" s="153">
        <f t="shared" si="556"/>
        <v>2</v>
      </c>
      <c r="AD459" s="153">
        <f t="shared" si="556"/>
        <v>0</v>
      </c>
      <c r="AE459" s="153">
        <f t="shared" si="556"/>
        <v>0</v>
      </c>
      <c r="AF459" s="153">
        <f t="shared" si="556"/>
        <v>0</v>
      </c>
      <c r="AG459" s="153">
        <f t="shared" ref="AG459" si="557">SUBTOTAL(9,AG458)</f>
        <v>0</v>
      </c>
      <c r="AH459" s="153">
        <f t="shared" si="556"/>
        <v>0</v>
      </c>
      <c r="AI459" s="153">
        <f t="shared" si="542"/>
        <v>0</v>
      </c>
      <c r="AJ459" s="153">
        <f t="shared" si="556"/>
        <v>2</v>
      </c>
      <c r="AK459" s="156"/>
      <c r="AL459" s="156"/>
      <c r="AM459" s="156"/>
      <c r="AN459" s="156"/>
      <c r="AO459" s="156"/>
      <c r="AP459" s="155"/>
      <c r="AQ459" s="153">
        <f>SUBTOTAL(9,AQ458)</f>
        <v>2</v>
      </c>
      <c r="AR459" s="153">
        <f t="shared" ref="AR459:AT459" si="558">SUBTOTAL(9,AR458)</f>
        <v>0</v>
      </c>
      <c r="AS459" s="153">
        <f t="shared" si="558"/>
        <v>2</v>
      </c>
      <c r="AT459" s="153">
        <f t="shared" si="558"/>
        <v>0</v>
      </c>
      <c r="AU459" s="129"/>
      <c r="AV459" s="156"/>
      <c r="AW459" s="155"/>
      <c r="AX459" s="155" t="s">
        <v>55</v>
      </c>
    </row>
    <row r="460" spans="1:50" s="77" customFormat="1" ht="72" x14ac:dyDescent="0.25">
      <c r="A460" s="166"/>
      <c r="B460" s="115" t="s">
        <v>224</v>
      </c>
      <c r="C460" s="115" t="s">
        <v>128</v>
      </c>
      <c r="D460" s="117" t="s">
        <v>89</v>
      </c>
      <c r="E460" s="117" t="s">
        <v>75</v>
      </c>
      <c r="F460" s="267" t="s">
        <v>49</v>
      </c>
      <c r="G460" s="119" t="s">
        <v>237</v>
      </c>
      <c r="H460" s="119">
        <v>5</v>
      </c>
      <c r="I460" s="199">
        <v>0</v>
      </c>
      <c r="J460" s="103">
        <v>0</v>
      </c>
      <c r="K460" s="104">
        <v>0</v>
      </c>
      <c r="L460" s="105">
        <v>0</v>
      </c>
      <c r="M460" s="106">
        <v>0</v>
      </c>
      <c r="N460" s="133">
        <f t="shared" si="548"/>
        <v>0</v>
      </c>
      <c r="O460" s="71">
        <v>5</v>
      </c>
      <c r="P460" s="71"/>
      <c r="Q460" s="132"/>
      <c r="R460" s="119" t="s">
        <v>51</v>
      </c>
      <c r="S460" s="120" t="s">
        <v>129</v>
      </c>
      <c r="T460" s="119" t="s">
        <v>77</v>
      </c>
      <c r="U460" s="119">
        <v>5</v>
      </c>
      <c r="V460" s="199">
        <v>0</v>
      </c>
      <c r="W460" s="103">
        <v>0</v>
      </c>
      <c r="X460" s="104">
        <v>0</v>
      </c>
      <c r="Y460" s="105">
        <v>0</v>
      </c>
      <c r="Z460" s="106">
        <v>0</v>
      </c>
      <c r="AA460" s="133">
        <f t="shared" si="541"/>
        <v>0</v>
      </c>
      <c r="AB460" s="71">
        <v>5</v>
      </c>
      <c r="AC460" s="119">
        <v>0</v>
      </c>
      <c r="AD460" s="199">
        <v>0</v>
      </c>
      <c r="AE460" s="103">
        <v>0</v>
      </c>
      <c r="AF460" s="104">
        <v>0</v>
      </c>
      <c r="AG460" s="105">
        <v>0</v>
      </c>
      <c r="AH460" s="106">
        <v>0</v>
      </c>
      <c r="AI460" s="133">
        <f t="shared" si="542"/>
        <v>0</v>
      </c>
      <c r="AJ460" s="71">
        <v>0</v>
      </c>
      <c r="AK460" s="119"/>
      <c r="AL460" s="119"/>
      <c r="AM460" s="46"/>
      <c r="AN460" s="119"/>
      <c r="AO460" s="46"/>
      <c r="AP460" s="119" t="s">
        <v>343</v>
      </c>
      <c r="AQ460" s="119">
        <v>0</v>
      </c>
      <c r="AR460" s="161">
        <v>0</v>
      </c>
      <c r="AS460" s="162">
        <v>0</v>
      </c>
      <c r="AT460" s="163">
        <v>0</v>
      </c>
      <c r="AU460" s="119"/>
      <c r="AV460" s="119"/>
      <c r="AW460" s="119" t="s">
        <v>248</v>
      </c>
      <c r="AX460" s="117" t="s">
        <v>87</v>
      </c>
    </row>
    <row r="461" spans="1:50" s="77" customFormat="1" ht="72" x14ac:dyDescent="0.25">
      <c r="A461" s="166"/>
      <c r="B461" s="115" t="s">
        <v>224</v>
      </c>
      <c r="C461" s="115" t="s">
        <v>128</v>
      </c>
      <c r="D461" s="117" t="s">
        <v>89</v>
      </c>
      <c r="E461" s="117" t="s">
        <v>75</v>
      </c>
      <c r="F461" s="268"/>
      <c r="G461" s="119" t="s">
        <v>228</v>
      </c>
      <c r="H461" s="119">
        <v>10</v>
      </c>
      <c r="I461" s="199">
        <v>0</v>
      </c>
      <c r="J461" s="103">
        <v>0</v>
      </c>
      <c r="K461" s="104">
        <v>0</v>
      </c>
      <c r="L461" s="105">
        <v>0</v>
      </c>
      <c r="M461" s="106">
        <v>0</v>
      </c>
      <c r="N461" s="133">
        <f t="shared" si="548"/>
        <v>0</v>
      </c>
      <c r="O461" s="71">
        <v>10</v>
      </c>
      <c r="P461" s="71"/>
      <c r="Q461" s="132"/>
      <c r="R461" s="119" t="s">
        <v>51</v>
      </c>
      <c r="S461" s="120" t="s">
        <v>129</v>
      </c>
      <c r="T461" s="119" t="s">
        <v>77</v>
      </c>
      <c r="U461" s="119">
        <v>10</v>
      </c>
      <c r="V461" s="199">
        <v>0</v>
      </c>
      <c r="W461" s="103">
        <v>0</v>
      </c>
      <c r="X461" s="104">
        <v>0</v>
      </c>
      <c r="Y461" s="105">
        <v>0</v>
      </c>
      <c r="Z461" s="106">
        <v>0</v>
      </c>
      <c r="AA461" s="133">
        <f t="shared" si="541"/>
        <v>0</v>
      </c>
      <c r="AB461" s="71">
        <v>10</v>
      </c>
      <c r="AC461" s="119">
        <v>2</v>
      </c>
      <c r="AD461" s="199">
        <v>0</v>
      </c>
      <c r="AE461" s="103">
        <v>0</v>
      </c>
      <c r="AF461" s="104">
        <v>0</v>
      </c>
      <c r="AG461" s="105">
        <v>0</v>
      </c>
      <c r="AH461" s="106">
        <v>0</v>
      </c>
      <c r="AI461" s="133">
        <f t="shared" si="542"/>
        <v>0</v>
      </c>
      <c r="AJ461" s="71">
        <v>2</v>
      </c>
      <c r="AK461" s="119"/>
      <c r="AL461" s="119"/>
      <c r="AM461" s="46"/>
      <c r="AN461" s="119"/>
      <c r="AO461" s="46"/>
      <c r="AP461" s="119" t="s">
        <v>343</v>
      </c>
      <c r="AQ461" s="119">
        <v>2</v>
      </c>
      <c r="AR461" s="161">
        <v>0</v>
      </c>
      <c r="AS461" s="162">
        <v>2</v>
      </c>
      <c r="AT461" s="163">
        <v>0</v>
      </c>
      <c r="AU461" s="119"/>
      <c r="AV461" s="119"/>
      <c r="AW461" s="119" t="s">
        <v>248</v>
      </c>
      <c r="AX461" s="117" t="s">
        <v>87</v>
      </c>
    </row>
    <row r="462" spans="1:50" s="77" customFormat="1" ht="90" customHeight="1" x14ac:dyDescent="0.25">
      <c r="A462" s="166"/>
      <c r="B462" s="115" t="s">
        <v>224</v>
      </c>
      <c r="C462" s="115" t="s">
        <v>128</v>
      </c>
      <c r="D462" s="117" t="s">
        <v>89</v>
      </c>
      <c r="E462" s="117" t="s">
        <v>75</v>
      </c>
      <c r="F462" s="269"/>
      <c r="G462" s="119" t="s">
        <v>278</v>
      </c>
      <c r="H462" s="119">
        <v>5</v>
      </c>
      <c r="I462" s="199">
        <v>0</v>
      </c>
      <c r="J462" s="103">
        <v>0</v>
      </c>
      <c r="K462" s="104">
        <v>0</v>
      </c>
      <c r="L462" s="105">
        <v>0</v>
      </c>
      <c r="M462" s="106">
        <v>0</v>
      </c>
      <c r="N462" s="133">
        <f t="shared" si="548"/>
        <v>0</v>
      </c>
      <c r="O462" s="71">
        <v>5</v>
      </c>
      <c r="P462" s="71"/>
      <c r="Q462" s="132"/>
      <c r="R462" s="119" t="s">
        <v>279</v>
      </c>
      <c r="S462" s="120" t="s">
        <v>129</v>
      </c>
      <c r="T462" s="119" t="s">
        <v>77</v>
      </c>
      <c r="U462" s="119">
        <v>5</v>
      </c>
      <c r="V462" s="199">
        <v>0</v>
      </c>
      <c r="W462" s="103">
        <v>0</v>
      </c>
      <c r="X462" s="104">
        <v>0</v>
      </c>
      <c r="Y462" s="105">
        <v>0</v>
      </c>
      <c r="Z462" s="106">
        <v>0</v>
      </c>
      <c r="AA462" s="133">
        <f t="shared" si="541"/>
        <v>0</v>
      </c>
      <c r="AB462" s="71">
        <v>5</v>
      </c>
      <c r="AC462" s="119">
        <v>0</v>
      </c>
      <c r="AD462" s="199">
        <v>0</v>
      </c>
      <c r="AE462" s="103">
        <v>0</v>
      </c>
      <c r="AF462" s="104">
        <v>0</v>
      </c>
      <c r="AG462" s="105">
        <v>0</v>
      </c>
      <c r="AH462" s="106">
        <v>0</v>
      </c>
      <c r="AI462" s="133">
        <f t="shared" si="542"/>
        <v>0</v>
      </c>
      <c r="AJ462" s="71">
        <v>0</v>
      </c>
      <c r="AK462" s="119"/>
      <c r="AL462" s="119"/>
      <c r="AM462" s="46"/>
      <c r="AN462" s="119"/>
      <c r="AO462" s="46"/>
      <c r="AP462" s="119" t="s">
        <v>343</v>
      </c>
      <c r="AQ462" s="119">
        <v>0</v>
      </c>
      <c r="AR462" s="161">
        <v>0</v>
      </c>
      <c r="AS462" s="162">
        <v>0</v>
      </c>
      <c r="AT462" s="163">
        <v>0</v>
      </c>
      <c r="AU462" s="119"/>
      <c r="AV462" s="119"/>
      <c r="AW462" s="119" t="s">
        <v>248</v>
      </c>
      <c r="AX462" s="117" t="s">
        <v>87</v>
      </c>
    </row>
    <row r="463" spans="1:50" s="77" customFormat="1" ht="72" x14ac:dyDescent="0.25">
      <c r="A463" s="166"/>
      <c r="B463" s="115" t="s">
        <v>224</v>
      </c>
      <c r="C463" s="115" t="s">
        <v>128</v>
      </c>
      <c r="D463" s="117" t="s">
        <v>89</v>
      </c>
      <c r="E463" s="117" t="s">
        <v>75</v>
      </c>
      <c r="F463" s="142" t="s">
        <v>61</v>
      </c>
      <c r="G463" s="155"/>
      <c r="H463" s="153">
        <f>SUBTOTAL(9,H460:H462)</f>
        <v>20</v>
      </c>
      <c r="I463" s="153">
        <f t="shared" ref="I463" si="559">SUBTOTAL(9,I460:I462)</f>
        <v>0</v>
      </c>
      <c r="J463" s="153">
        <f t="shared" ref="J463:O463" si="560">SUBTOTAL(9,J460:J462)</f>
        <v>0</v>
      </c>
      <c r="K463" s="153">
        <f t="shared" si="560"/>
        <v>0</v>
      </c>
      <c r="L463" s="153">
        <f t="shared" si="560"/>
        <v>0</v>
      </c>
      <c r="M463" s="153">
        <f t="shared" si="560"/>
        <v>0</v>
      </c>
      <c r="N463" s="153">
        <f t="shared" si="548"/>
        <v>0</v>
      </c>
      <c r="O463" s="153">
        <f t="shared" si="560"/>
        <v>20</v>
      </c>
      <c r="P463" s="153"/>
      <c r="Q463" s="156"/>
      <c r="R463" s="129"/>
      <c r="S463" s="157"/>
      <c r="T463" s="158"/>
      <c r="U463" s="153">
        <f>SUBTOTAL(9,U460:U462)</f>
        <v>20</v>
      </c>
      <c r="V463" s="153">
        <f t="shared" ref="V463" si="561">SUBTOTAL(9,V460:V462)</f>
        <v>0</v>
      </c>
      <c r="W463" s="153">
        <f t="shared" ref="W463:AJ463" si="562">SUBTOTAL(9,W460:W462)</f>
        <v>0</v>
      </c>
      <c r="X463" s="153">
        <f t="shared" si="562"/>
        <v>0</v>
      </c>
      <c r="Y463" s="153">
        <f t="shared" si="562"/>
        <v>0</v>
      </c>
      <c r="Z463" s="153">
        <f t="shared" si="562"/>
        <v>0</v>
      </c>
      <c r="AA463" s="153">
        <f t="shared" si="541"/>
        <v>0</v>
      </c>
      <c r="AB463" s="153">
        <f t="shared" si="562"/>
        <v>20</v>
      </c>
      <c r="AC463" s="153">
        <f t="shared" si="562"/>
        <v>2</v>
      </c>
      <c r="AD463" s="153">
        <f t="shared" si="562"/>
        <v>0</v>
      </c>
      <c r="AE463" s="153">
        <f t="shared" si="562"/>
        <v>0</v>
      </c>
      <c r="AF463" s="153">
        <f t="shared" si="562"/>
        <v>0</v>
      </c>
      <c r="AG463" s="153">
        <f t="shared" ref="AG463" si="563">SUBTOTAL(9,AG460:AG462)</f>
        <v>0</v>
      </c>
      <c r="AH463" s="153">
        <f t="shared" si="562"/>
        <v>0</v>
      </c>
      <c r="AI463" s="153">
        <f t="shared" si="542"/>
        <v>0</v>
      </c>
      <c r="AJ463" s="153">
        <f t="shared" si="562"/>
        <v>2</v>
      </c>
      <c r="AK463" s="156"/>
      <c r="AL463" s="156"/>
      <c r="AM463" s="156"/>
      <c r="AN463" s="156"/>
      <c r="AO463" s="156"/>
      <c r="AP463" s="155"/>
      <c r="AQ463" s="153">
        <f>SUBTOTAL(9,AQ460:AQ462)</f>
        <v>2</v>
      </c>
      <c r="AR463" s="153">
        <f t="shared" ref="AR463:AT463" si="564">SUBTOTAL(9,AR460:AR462)</f>
        <v>0</v>
      </c>
      <c r="AS463" s="153">
        <f t="shared" si="564"/>
        <v>2</v>
      </c>
      <c r="AT463" s="153">
        <f t="shared" si="564"/>
        <v>0</v>
      </c>
      <c r="AU463" s="129"/>
      <c r="AV463" s="156"/>
      <c r="AW463" s="155"/>
      <c r="AX463" s="155" t="s">
        <v>87</v>
      </c>
    </row>
    <row r="464" spans="1:50" s="77" customFormat="1" ht="36" x14ac:dyDescent="0.25">
      <c r="A464" s="166"/>
      <c r="B464" s="115" t="s">
        <v>224</v>
      </c>
      <c r="C464" s="115" t="s">
        <v>188</v>
      </c>
      <c r="D464" s="117" t="s">
        <v>106</v>
      </c>
      <c r="E464" s="117" t="s">
        <v>48</v>
      </c>
      <c r="F464" s="272" t="s">
        <v>49</v>
      </c>
      <c r="G464" s="119" t="s">
        <v>178</v>
      </c>
      <c r="H464" s="272">
        <v>25</v>
      </c>
      <c r="I464" s="238">
        <v>0</v>
      </c>
      <c r="J464" s="230">
        <v>0</v>
      </c>
      <c r="K464" s="224">
        <v>0</v>
      </c>
      <c r="L464" s="226">
        <v>0</v>
      </c>
      <c r="M464" s="232">
        <v>0</v>
      </c>
      <c r="N464" s="278">
        <f t="shared" si="548"/>
        <v>0</v>
      </c>
      <c r="O464" s="242">
        <v>25</v>
      </c>
      <c r="P464" s="71"/>
      <c r="Q464" s="272"/>
      <c r="R464" s="272" t="s">
        <v>179</v>
      </c>
      <c r="S464" s="276" t="s">
        <v>480</v>
      </c>
      <c r="T464" s="251" t="s">
        <v>77</v>
      </c>
      <c r="U464" s="272">
        <v>200</v>
      </c>
      <c r="V464" s="238">
        <v>0</v>
      </c>
      <c r="W464" s="230">
        <v>0</v>
      </c>
      <c r="X464" s="224">
        <v>0</v>
      </c>
      <c r="Y464" s="226">
        <v>0</v>
      </c>
      <c r="Z464" s="232">
        <v>0</v>
      </c>
      <c r="AA464" s="278">
        <f t="shared" si="541"/>
        <v>0</v>
      </c>
      <c r="AB464" s="242">
        <v>200</v>
      </c>
      <c r="AC464" s="272">
        <v>35</v>
      </c>
      <c r="AD464" s="238">
        <v>0</v>
      </c>
      <c r="AE464" s="230">
        <v>0</v>
      </c>
      <c r="AF464" s="224">
        <v>0</v>
      </c>
      <c r="AG464" s="226">
        <v>0</v>
      </c>
      <c r="AH464" s="232">
        <v>0</v>
      </c>
      <c r="AI464" s="278">
        <f t="shared" si="542"/>
        <v>0</v>
      </c>
      <c r="AJ464" s="242">
        <v>35</v>
      </c>
      <c r="AK464" s="272"/>
      <c r="AL464" s="272" t="s">
        <v>183</v>
      </c>
      <c r="AM464" s="243">
        <v>21</v>
      </c>
      <c r="AN464" s="272"/>
      <c r="AO464" s="72"/>
      <c r="AP464" s="119" t="s">
        <v>58</v>
      </c>
      <c r="AQ464" s="136">
        <v>40</v>
      </c>
      <c r="AR464" s="161">
        <v>0</v>
      </c>
      <c r="AS464" s="162">
        <v>0</v>
      </c>
      <c r="AT464" s="163">
        <v>40</v>
      </c>
      <c r="AU464" s="272"/>
      <c r="AV464" s="272"/>
      <c r="AW464" s="272"/>
      <c r="AX464" s="138" t="s">
        <v>147</v>
      </c>
    </row>
    <row r="465" spans="1:50" s="77" customFormat="1" ht="36" x14ac:dyDescent="0.25">
      <c r="A465" s="166"/>
      <c r="B465" s="115" t="s">
        <v>224</v>
      </c>
      <c r="C465" s="115" t="s">
        <v>188</v>
      </c>
      <c r="D465" s="117" t="s">
        <v>106</v>
      </c>
      <c r="E465" s="117" t="s">
        <v>48</v>
      </c>
      <c r="F465" s="272"/>
      <c r="G465" s="119" t="s">
        <v>178</v>
      </c>
      <c r="H465" s="272"/>
      <c r="I465" s="239"/>
      <c r="J465" s="231"/>
      <c r="K465" s="225"/>
      <c r="L465" s="227"/>
      <c r="M465" s="233"/>
      <c r="N465" s="278">
        <f t="shared" si="548"/>
        <v>0</v>
      </c>
      <c r="O465" s="242"/>
      <c r="P465" s="71"/>
      <c r="Q465" s="272"/>
      <c r="R465" s="272"/>
      <c r="S465" s="276"/>
      <c r="T465" s="251"/>
      <c r="U465" s="272"/>
      <c r="V465" s="239"/>
      <c r="W465" s="231"/>
      <c r="X465" s="225"/>
      <c r="Y465" s="227"/>
      <c r="Z465" s="233"/>
      <c r="AA465" s="278">
        <f t="shared" si="541"/>
        <v>0</v>
      </c>
      <c r="AB465" s="242"/>
      <c r="AC465" s="272"/>
      <c r="AD465" s="239"/>
      <c r="AE465" s="231"/>
      <c r="AF465" s="225"/>
      <c r="AG465" s="227"/>
      <c r="AH465" s="233"/>
      <c r="AI465" s="278">
        <f t="shared" si="542"/>
        <v>0</v>
      </c>
      <c r="AJ465" s="242"/>
      <c r="AK465" s="272"/>
      <c r="AL465" s="272"/>
      <c r="AM465" s="243"/>
      <c r="AN465" s="272"/>
      <c r="AO465" s="72"/>
      <c r="AP465" s="119" t="s">
        <v>127</v>
      </c>
      <c r="AQ465" s="136">
        <v>1</v>
      </c>
      <c r="AR465" s="161">
        <v>0</v>
      </c>
      <c r="AS465" s="162">
        <v>0</v>
      </c>
      <c r="AT465" s="163">
        <v>1</v>
      </c>
      <c r="AU465" s="272"/>
      <c r="AV465" s="272"/>
      <c r="AW465" s="272"/>
      <c r="AX465" s="138" t="s">
        <v>147</v>
      </c>
    </row>
    <row r="466" spans="1:50" s="77" customFormat="1" ht="36" customHeight="1" x14ac:dyDescent="0.25">
      <c r="A466" s="166"/>
      <c r="B466" s="115" t="s">
        <v>224</v>
      </c>
      <c r="C466" s="115" t="s">
        <v>188</v>
      </c>
      <c r="D466" s="117" t="s">
        <v>106</v>
      </c>
      <c r="E466" s="117" t="s">
        <v>48</v>
      </c>
      <c r="F466" s="272"/>
      <c r="G466" s="119" t="s">
        <v>227</v>
      </c>
      <c r="H466" s="272">
        <v>20</v>
      </c>
      <c r="I466" s="238">
        <v>0</v>
      </c>
      <c r="J466" s="230">
        <v>0</v>
      </c>
      <c r="K466" s="224">
        <v>0</v>
      </c>
      <c r="L466" s="226">
        <v>0</v>
      </c>
      <c r="M466" s="232">
        <v>0</v>
      </c>
      <c r="N466" s="278">
        <f t="shared" si="548"/>
        <v>0</v>
      </c>
      <c r="O466" s="242">
        <v>20</v>
      </c>
      <c r="P466" s="71"/>
      <c r="Q466" s="272"/>
      <c r="R466" s="272" t="s">
        <v>179</v>
      </c>
      <c r="S466" s="276" t="s">
        <v>479</v>
      </c>
      <c r="T466" s="251"/>
      <c r="U466" s="272">
        <v>200</v>
      </c>
      <c r="V466" s="238">
        <v>0</v>
      </c>
      <c r="W466" s="230">
        <v>0</v>
      </c>
      <c r="X466" s="224">
        <v>0</v>
      </c>
      <c r="Y466" s="226">
        <v>0</v>
      </c>
      <c r="Z466" s="232">
        <v>0</v>
      </c>
      <c r="AA466" s="278">
        <f t="shared" si="541"/>
        <v>0</v>
      </c>
      <c r="AB466" s="242">
        <v>200</v>
      </c>
      <c r="AC466" s="272">
        <v>35</v>
      </c>
      <c r="AD466" s="238">
        <v>0</v>
      </c>
      <c r="AE466" s="230">
        <v>0</v>
      </c>
      <c r="AF466" s="224">
        <v>0</v>
      </c>
      <c r="AG466" s="226">
        <v>0</v>
      </c>
      <c r="AH466" s="232">
        <v>0</v>
      </c>
      <c r="AI466" s="278">
        <f t="shared" si="542"/>
        <v>0</v>
      </c>
      <c r="AJ466" s="242">
        <v>35</v>
      </c>
      <c r="AK466" s="272"/>
      <c r="AL466" s="272" t="s">
        <v>183</v>
      </c>
      <c r="AM466" s="243">
        <v>20</v>
      </c>
      <c r="AN466" s="272"/>
      <c r="AO466" s="72"/>
      <c r="AP466" s="119" t="s">
        <v>58</v>
      </c>
      <c r="AQ466" s="136">
        <v>40</v>
      </c>
      <c r="AR466" s="161">
        <v>0</v>
      </c>
      <c r="AS466" s="162">
        <v>0</v>
      </c>
      <c r="AT466" s="163">
        <v>40</v>
      </c>
      <c r="AU466" s="272"/>
      <c r="AV466" s="272"/>
      <c r="AW466" s="272"/>
      <c r="AX466" s="138" t="s">
        <v>147</v>
      </c>
    </row>
    <row r="467" spans="1:50" s="77" customFormat="1" ht="36" x14ac:dyDescent="0.25">
      <c r="A467" s="166"/>
      <c r="B467" s="115" t="s">
        <v>224</v>
      </c>
      <c r="C467" s="115" t="s">
        <v>188</v>
      </c>
      <c r="D467" s="117" t="s">
        <v>106</v>
      </c>
      <c r="E467" s="117" t="s">
        <v>48</v>
      </c>
      <c r="F467" s="272"/>
      <c r="G467" s="119" t="s">
        <v>227</v>
      </c>
      <c r="H467" s="272"/>
      <c r="I467" s="239"/>
      <c r="J467" s="231"/>
      <c r="K467" s="225"/>
      <c r="L467" s="227"/>
      <c r="M467" s="233"/>
      <c r="N467" s="278">
        <f t="shared" si="548"/>
        <v>0</v>
      </c>
      <c r="O467" s="242"/>
      <c r="P467" s="71"/>
      <c r="Q467" s="272"/>
      <c r="R467" s="272"/>
      <c r="S467" s="276"/>
      <c r="T467" s="251"/>
      <c r="U467" s="272"/>
      <c r="V467" s="239"/>
      <c r="W467" s="231"/>
      <c r="X467" s="225"/>
      <c r="Y467" s="227"/>
      <c r="Z467" s="233"/>
      <c r="AA467" s="278">
        <f t="shared" si="541"/>
        <v>0</v>
      </c>
      <c r="AB467" s="242"/>
      <c r="AC467" s="272"/>
      <c r="AD467" s="239"/>
      <c r="AE467" s="231"/>
      <c r="AF467" s="225"/>
      <c r="AG467" s="227"/>
      <c r="AH467" s="233"/>
      <c r="AI467" s="278">
        <f t="shared" si="542"/>
        <v>0</v>
      </c>
      <c r="AJ467" s="242"/>
      <c r="AK467" s="272"/>
      <c r="AL467" s="272"/>
      <c r="AM467" s="243"/>
      <c r="AN467" s="272"/>
      <c r="AO467" s="72"/>
      <c r="AP467" s="119" t="s">
        <v>127</v>
      </c>
      <c r="AQ467" s="136">
        <v>1</v>
      </c>
      <c r="AR467" s="161">
        <v>0</v>
      </c>
      <c r="AS467" s="162">
        <v>0</v>
      </c>
      <c r="AT467" s="163">
        <v>1</v>
      </c>
      <c r="AU467" s="272"/>
      <c r="AV467" s="272"/>
      <c r="AW467" s="272"/>
      <c r="AX467" s="138" t="s">
        <v>147</v>
      </c>
    </row>
    <row r="468" spans="1:50" s="77" customFormat="1" ht="36" x14ac:dyDescent="0.25">
      <c r="A468" s="166"/>
      <c r="B468" s="115" t="s">
        <v>224</v>
      </c>
      <c r="C468" s="115" t="s">
        <v>188</v>
      </c>
      <c r="D468" s="117" t="s">
        <v>106</v>
      </c>
      <c r="E468" s="117" t="s">
        <v>48</v>
      </c>
      <c r="F468" s="142" t="s">
        <v>61</v>
      </c>
      <c r="G468" s="155"/>
      <c r="H468" s="153">
        <f t="shared" ref="H468:O468" si="565">SUM(H464:H467)</f>
        <v>45</v>
      </c>
      <c r="I468" s="153">
        <f t="shared" si="565"/>
        <v>0</v>
      </c>
      <c r="J468" s="153">
        <f t="shared" si="565"/>
        <v>0</v>
      </c>
      <c r="K468" s="153">
        <f t="shared" si="565"/>
        <v>0</v>
      </c>
      <c r="L468" s="153">
        <f t="shared" si="565"/>
        <v>0</v>
      </c>
      <c r="M468" s="153">
        <f t="shared" si="565"/>
        <v>0</v>
      </c>
      <c r="N468" s="153">
        <f t="shared" si="548"/>
        <v>0</v>
      </c>
      <c r="O468" s="153">
        <f t="shared" si="565"/>
        <v>45</v>
      </c>
      <c r="P468" s="153"/>
      <c r="Q468" s="156"/>
      <c r="R468" s="129"/>
      <c r="S468" s="157"/>
      <c r="T468" s="158"/>
      <c r="U468" s="153">
        <f t="shared" ref="U468:AJ468" si="566">SUM(U464:U467)</f>
        <v>400</v>
      </c>
      <c r="V468" s="153">
        <f t="shared" si="566"/>
        <v>0</v>
      </c>
      <c r="W468" s="153">
        <f t="shared" si="566"/>
        <v>0</v>
      </c>
      <c r="X468" s="153">
        <f t="shared" si="566"/>
        <v>0</v>
      </c>
      <c r="Y468" s="153">
        <f t="shared" ref="Y468" si="567">SUM(Y464:Y467)</f>
        <v>0</v>
      </c>
      <c r="Z468" s="153">
        <f t="shared" si="566"/>
        <v>0</v>
      </c>
      <c r="AA468" s="153">
        <f t="shared" si="541"/>
        <v>0</v>
      </c>
      <c r="AB468" s="153">
        <f t="shared" si="566"/>
        <v>400</v>
      </c>
      <c r="AC468" s="153">
        <f t="shared" si="566"/>
        <v>70</v>
      </c>
      <c r="AD468" s="153">
        <f t="shared" si="566"/>
        <v>0</v>
      </c>
      <c r="AE468" s="153">
        <f t="shared" si="566"/>
        <v>0</v>
      </c>
      <c r="AF468" s="153">
        <f t="shared" si="566"/>
        <v>0</v>
      </c>
      <c r="AG468" s="153">
        <f t="shared" ref="AG468" si="568">SUM(AG464:AG467)</f>
        <v>0</v>
      </c>
      <c r="AH468" s="153">
        <f t="shared" si="566"/>
        <v>0</v>
      </c>
      <c r="AI468" s="153">
        <f t="shared" si="542"/>
        <v>0</v>
      </c>
      <c r="AJ468" s="153">
        <f t="shared" si="566"/>
        <v>70</v>
      </c>
      <c r="AK468" s="156"/>
      <c r="AL468" s="156"/>
      <c r="AM468" s="156">
        <f>SUM(AM464:AM467)</f>
        <v>41</v>
      </c>
      <c r="AN468" s="156"/>
      <c r="AO468" s="156"/>
      <c r="AP468" s="155"/>
      <c r="AQ468" s="153">
        <f>SUM(AQ464:AQ467)</f>
        <v>82</v>
      </c>
      <c r="AR468" s="153">
        <f>SUM(AR464:AR467)</f>
        <v>0</v>
      </c>
      <c r="AS468" s="153">
        <f>SUM(AS464:AS467)</f>
        <v>0</v>
      </c>
      <c r="AT468" s="153">
        <f>SUM(AT464:AT467)</f>
        <v>82</v>
      </c>
      <c r="AU468" s="129"/>
      <c r="AV468" s="156"/>
      <c r="AW468" s="155"/>
      <c r="AX468" s="155" t="s">
        <v>147</v>
      </c>
    </row>
    <row r="469" spans="1:50" s="77" customFormat="1" ht="37.5" x14ac:dyDescent="0.25">
      <c r="A469" s="166"/>
      <c r="B469" s="115" t="s">
        <v>224</v>
      </c>
      <c r="C469" s="115" t="s">
        <v>194</v>
      </c>
      <c r="D469" s="117" t="s">
        <v>106</v>
      </c>
      <c r="E469" s="117" t="s">
        <v>48</v>
      </c>
      <c r="F469" s="289" t="s">
        <v>49</v>
      </c>
      <c r="G469" s="135" t="s">
        <v>231</v>
      </c>
      <c r="H469" s="119">
        <v>20</v>
      </c>
      <c r="I469" s="199">
        <v>0</v>
      </c>
      <c r="J469" s="103">
        <v>0</v>
      </c>
      <c r="K469" s="104">
        <v>8</v>
      </c>
      <c r="L469" s="105">
        <v>2</v>
      </c>
      <c r="M469" s="106">
        <v>0</v>
      </c>
      <c r="N469" s="133">
        <f t="shared" si="548"/>
        <v>10</v>
      </c>
      <c r="O469" s="71">
        <v>10</v>
      </c>
      <c r="P469" s="71"/>
      <c r="Q469" s="132"/>
      <c r="R469" s="119" t="s">
        <v>373</v>
      </c>
      <c r="S469" s="120" t="s">
        <v>353</v>
      </c>
      <c r="T469" s="119" t="s">
        <v>73</v>
      </c>
      <c r="U469" s="119">
        <v>25</v>
      </c>
      <c r="V469" s="199">
        <v>0</v>
      </c>
      <c r="W469" s="103">
        <v>0</v>
      </c>
      <c r="X469" s="104">
        <v>8</v>
      </c>
      <c r="Y469" s="105">
        <v>2</v>
      </c>
      <c r="Z469" s="106">
        <v>0</v>
      </c>
      <c r="AA469" s="133">
        <f t="shared" si="541"/>
        <v>10</v>
      </c>
      <c r="AB469" s="71">
        <v>15</v>
      </c>
      <c r="AC469" s="119">
        <v>0</v>
      </c>
      <c r="AD469" s="199">
        <v>0</v>
      </c>
      <c r="AE469" s="103">
        <v>0</v>
      </c>
      <c r="AF469" s="104">
        <v>0</v>
      </c>
      <c r="AG469" s="105">
        <v>0</v>
      </c>
      <c r="AH469" s="106">
        <v>0</v>
      </c>
      <c r="AI469" s="133">
        <f t="shared" si="542"/>
        <v>0</v>
      </c>
      <c r="AJ469" s="71">
        <f>AC469/4*3</f>
        <v>0</v>
      </c>
      <c r="AK469" s="119"/>
      <c r="AL469" s="119"/>
      <c r="AM469" s="46"/>
      <c r="AN469" s="119"/>
      <c r="AO469" s="46"/>
      <c r="AP469" s="119"/>
      <c r="AQ469" s="119"/>
      <c r="AR469" s="161">
        <v>0</v>
      </c>
      <c r="AS469" s="162">
        <v>0</v>
      </c>
      <c r="AT469" s="163">
        <v>0</v>
      </c>
      <c r="AU469" s="119"/>
      <c r="AV469" s="119"/>
      <c r="AW469" s="119"/>
      <c r="AX469" s="117" t="s">
        <v>147</v>
      </c>
    </row>
    <row r="470" spans="1:50" s="77" customFormat="1" ht="36" customHeight="1" x14ac:dyDescent="0.25">
      <c r="A470" s="166"/>
      <c r="B470" s="115" t="s">
        <v>224</v>
      </c>
      <c r="C470" s="115" t="s">
        <v>194</v>
      </c>
      <c r="D470" s="117" t="s">
        <v>106</v>
      </c>
      <c r="E470" s="117" t="s">
        <v>48</v>
      </c>
      <c r="F470" s="290"/>
      <c r="G470" s="135" t="s">
        <v>178</v>
      </c>
      <c r="H470" s="251">
        <v>150</v>
      </c>
      <c r="I470" s="238">
        <v>0</v>
      </c>
      <c r="J470" s="230">
        <v>0</v>
      </c>
      <c r="K470" s="224">
        <v>0</v>
      </c>
      <c r="L470" s="226">
        <v>0</v>
      </c>
      <c r="M470" s="232">
        <v>0</v>
      </c>
      <c r="N470" s="278">
        <f t="shared" si="548"/>
        <v>0</v>
      </c>
      <c r="O470" s="242">
        <v>150</v>
      </c>
      <c r="P470" s="71"/>
      <c r="Q470" s="251"/>
      <c r="R470" s="119" t="s">
        <v>373</v>
      </c>
      <c r="S470" s="287" t="s">
        <v>374</v>
      </c>
      <c r="T470" s="249" t="s">
        <v>53</v>
      </c>
      <c r="U470" s="251">
        <v>180</v>
      </c>
      <c r="V470" s="238">
        <v>0</v>
      </c>
      <c r="W470" s="230">
        <v>0</v>
      </c>
      <c r="X470" s="224">
        <v>0</v>
      </c>
      <c r="Y470" s="226">
        <v>0</v>
      </c>
      <c r="Z470" s="232">
        <v>0</v>
      </c>
      <c r="AA470" s="278">
        <f t="shared" si="541"/>
        <v>0</v>
      </c>
      <c r="AB470" s="242">
        <v>180</v>
      </c>
      <c r="AC470" s="251">
        <v>25</v>
      </c>
      <c r="AD470" s="238">
        <v>0</v>
      </c>
      <c r="AE470" s="230">
        <v>0</v>
      </c>
      <c r="AF470" s="224">
        <v>0</v>
      </c>
      <c r="AG470" s="226">
        <v>0</v>
      </c>
      <c r="AH470" s="232">
        <v>0</v>
      </c>
      <c r="AI470" s="278">
        <f t="shared" si="542"/>
        <v>0</v>
      </c>
      <c r="AJ470" s="242">
        <v>10</v>
      </c>
      <c r="AK470" s="251"/>
      <c r="AL470" s="251" t="s">
        <v>335</v>
      </c>
      <c r="AM470" s="218">
        <v>17</v>
      </c>
      <c r="AN470" s="251"/>
      <c r="AO470" s="46"/>
      <c r="AP470" s="135" t="s">
        <v>58</v>
      </c>
      <c r="AQ470" s="136">
        <v>70</v>
      </c>
      <c r="AR470" s="161">
        <v>0</v>
      </c>
      <c r="AS470" s="162">
        <v>0</v>
      </c>
      <c r="AT470" s="163">
        <v>70</v>
      </c>
      <c r="AU470" s="251"/>
      <c r="AV470" s="251"/>
      <c r="AW470" s="251"/>
      <c r="AX470" s="117" t="s">
        <v>147</v>
      </c>
    </row>
    <row r="471" spans="1:50" s="77" customFormat="1" ht="36" x14ac:dyDescent="0.25">
      <c r="A471" s="166"/>
      <c r="B471" s="115" t="s">
        <v>224</v>
      </c>
      <c r="C471" s="115" t="s">
        <v>194</v>
      </c>
      <c r="D471" s="117" t="s">
        <v>106</v>
      </c>
      <c r="E471" s="117" t="s">
        <v>48</v>
      </c>
      <c r="F471" s="290"/>
      <c r="G471" s="135" t="s">
        <v>178</v>
      </c>
      <c r="H471" s="251"/>
      <c r="I471" s="239"/>
      <c r="J471" s="231"/>
      <c r="K471" s="225"/>
      <c r="L471" s="227"/>
      <c r="M471" s="233"/>
      <c r="N471" s="278">
        <f t="shared" si="548"/>
        <v>0</v>
      </c>
      <c r="O471" s="242"/>
      <c r="P471" s="71"/>
      <c r="Q471" s="251"/>
      <c r="R471" s="119" t="s">
        <v>373</v>
      </c>
      <c r="S471" s="288"/>
      <c r="T471" s="250"/>
      <c r="U471" s="251"/>
      <c r="V471" s="239"/>
      <c r="W471" s="231"/>
      <c r="X471" s="225"/>
      <c r="Y471" s="227"/>
      <c r="Z471" s="233"/>
      <c r="AA471" s="278">
        <f t="shared" si="541"/>
        <v>0</v>
      </c>
      <c r="AB471" s="242"/>
      <c r="AC471" s="251"/>
      <c r="AD471" s="239"/>
      <c r="AE471" s="231"/>
      <c r="AF471" s="225"/>
      <c r="AG471" s="227"/>
      <c r="AH471" s="233"/>
      <c r="AI471" s="278">
        <f t="shared" si="542"/>
        <v>0</v>
      </c>
      <c r="AJ471" s="242"/>
      <c r="AK471" s="251"/>
      <c r="AL471" s="251"/>
      <c r="AM471" s="218"/>
      <c r="AN471" s="251"/>
      <c r="AO471" s="46"/>
      <c r="AP471" s="135" t="s">
        <v>127</v>
      </c>
      <c r="AQ471" s="136">
        <v>1</v>
      </c>
      <c r="AR471" s="161">
        <v>0</v>
      </c>
      <c r="AS471" s="162">
        <v>0</v>
      </c>
      <c r="AT471" s="163">
        <v>1</v>
      </c>
      <c r="AU471" s="251"/>
      <c r="AV471" s="251"/>
      <c r="AW471" s="251"/>
      <c r="AX471" s="117" t="s">
        <v>147</v>
      </c>
    </row>
    <row r="472" spans="1:50" s="77" customFormat="1" ht="36" customHeight="1" x14ac:dyDescent="0.25">
      <c r="A472" s="166"/>
      <c r="B472" s="115" t="s">
        <v>224</v>
      </c>
      <c r="C472" s="115" t="s">
        <v>194</v>
      </c>
      <c r="D472" s="117" t="s">
        <v>106</v>
      </c>
      <c r="E472" s="117" t="s">
        <v>48</v>
      </c>
      <c r="F472" s="290"/>
      <c r="G472" s="135" t="s">
        <v>227</v>
      </c>
      <c r="H472" s="272">
        <v>150</v>
      </c>
      <c r="I472" s="238">
        <v>0</v>
      </c>
      <c r="J472" s="230">
        <v>0</v>
      </c>
      <c r="K472" s="224">
        <v>0</v>
      </c>
      <c r="L472" s="226">
        <v>0</v>
      </c>
      <c r="M472" s="232">
        <v>0</v>
      </c>
      <c r="N472" s="278">
        <f t="shared" si="548"/>
        <v>0</v>
      </c>
      <c r="O472" s="242">
        <v>150</v>
      </c>
      <c r="P472" s="71"/>
      <c r="Q472" s="272"/>
      <c r="R472" s="119" t="s">
        <v>373</v>
      </c>
      <c r="S472" s="287" t="s">
        <v>374</v>
      </c>
      <c r="T472" s="250"/>
      <c r="U472" s="272">
        <v>150</v>
      </c>
      <c r="V472" s="238">
        <v>0</v>
      </c>
      <c r="W472" s="230">
        <v>0</v>
      </c>
      <c r="X472" s="224">
        <v>0</v>
      </c>
      <c r="Y472" s="226">
        <v>0</v>
      </c>
      <c r="Z472" s="232">
        <v>0</v>
      </c>
      <c r="AA472" s="278">
        <f t="shared" si="541"/>
        <v>0</v>
      </c>
      <c r="AB472" s="242">
        <v>150</v>
      </c>
      <c r="AC472" s="272">
        <v>15</v>
      </c>
      <c r="AD472" s="238">
        <v>0</v>
      </c>
      <c r="AE472" s="230">
        <v>0</v>
      </c>
      <c r="AF472" s="224">
        <v>0</v>
      </c>
      <c r="AG472" s="226">
        <v>0</v>
      </c>
      <c r="AH472" s="232">
        <v>0</v>
      </c>
      <c r="AI472" s="278">
        <f t="shared" si="542"/>
        <v>0</v>
      </c>
      <c r="AJ472" s="242">
        <v>10</v>
      </c>
      <c r="AK472" s="272"/>
      <c r="AL472" s="272" t="s">
        <v>335</v>
      </c>
      <c r="AM472" s="243">
        <v>5</v>
      </c>
      <c r="AN472" s="272"/>
      <c r="AO472" s="72"/>
      <c r="AP472" s="135" t="s">
        <v>58</v>
      </c>
      <c r="AQ472" s="136">
        <v>25</v>
      </c>
      <c r="AR472" s="161">
        <v>0</v>
      </c>
      <c r="AS472" s="162">
        <v>0</v>
      </c>
      <c r="AT472" s="163">
        <v>25</v>
      </c>
      <c r="AU472" s="251"/>
      <c r="AV472" s="251"/>
      <c r="AW472" s="251"/>
      <c r="AX472" s="117" t="s">
        <v>147</v>
      </c>
    </row>
    <row r="473" spans="1:50" s="77" customFormat="1" ht="36" x14ac:dyDescent="0.25">
      <c r="A473" s="166"/>
      <c r="B473" s="115" t="s">
        <v>224</v>
      </c>
      <c r="C473" s="115" t="s">
        <v>194</v>
      </c>
      <c r="D473" s="117" t="s">
        <v>106</v>
      </c>
      <c r="E473" s="117" t="s">
        <v>48</v>
      </c>
      <c r="F473" s="290"/>
      <c r="G473" s="135" t="s">
        <v>227</v>
      </c>
      <c r="H473" s="272"/>
      <c r="I473" s="239"/>
      <c r="J473" s="231"/>
      <c r="K473" s="225"/>
      <c r="L473" s="227"/>
      <c r="M473" s="233"/>
      <c r="N473" s="278">
        <f t="shared" si="548"/>
        <v>0</v>
      </c>
      <c r="O473" s="242"/>
      <c r="P473" s="71"/>
      <c r="Q473" s="272"/>
      <c r="R473" s="119" t="s">
        <v>373</v>
      </c>
      <c r="S473" s="288"/>
      <c r="T473" s="250"/>
      <c r="U473" s="272"/>
      <c r="V473" s="239"/>
      <c r="W473" s="231"/>
      <c r="X473" s="225"/>
      <c r="Y473" s="227"/>
      <c r="Z473" s="233"/>
      <c r="AA473" s="278">
        <f t="shared" si="541"/>
        <v>0</v>
      </c>
      <c r="AB473" s="242"/>
      <c r="AC473" s="272"/>
      <c r="AD473" s="239"/>
      <c r="AE473" s="231"/>
      <c r="AF473" s="225"/>
      <c r="AG473" s="227"/>
      <c r="AH473" s="233"/>
      <c r="AI473" s="278">
        <f t="shared" si="542"/>
        <v>0</v>
      </c>
      <c r="AJ473" s="242"/>
      <c r="AK473" s="272"/>
      <c r="AL473" s="272"/>
      <c r="AM473" s="243"/>
      <c r="AN473" s="272"/>
      <c r="AO473" s="72"/>
      <c r="AP473" s="135" t="s">
        <v>127</v>
      </c>
      <c r="AQ473" s="136">
        <v>1</v>
      </c>
      <c r="AR473" s="161">
        <v>0</v>
      </c>
      <c r="AS473" s="162">
        <v>0</v>
      </c>
      <c r="AT473" s="163">
        <v>1</v>
      </c>
      <c r="AU473" s="251"/>
      <c r="AV473" s="251"/>
      <c r="AW473" s="251"/>
      <c r="AX473" s="117" t="s">
        <v>147</v>
      </c>
    </row>
    <row r="474" spans="1:50" s="77" customFormat="1" ht="37.5" x14ac:dyDescent="0.25">
      <c r="A474" s="166"/>
      <c r="B474" s="115" t="s">
        <v>224</v>
      </c>
      <c r="C474" s="115" t="s">
        <v>194</v>
      </c>
      <c r="D474" s="117" t="s">
        <v>106</v>
      </c>
      <c r="E474" s="117" t="s">
        <v>48</v>
      </c>
      <c r="F474" s="290"/>
      <c r="G474" s="135" t="s">
        <v>228</v>
      </c>
      <c r="H474" s="136">
        <v>30</v>
      </c>
      <c r="I474" s="197">
        <v>0</v>
      </c>
      <c r="J474" s="90">
        <v>5</v>
      </c>
      <c r="K474" s="91">
        <v>7</v>
      </c>
      <c r="L474" s="92">
        <v>3</v>
      </c>
      <c r="M474" s="81">
        <v>0</v>
      </c>
      <c r="N474" s="133">
        <f t="shared" si="548"/>
        <v>15</v>
      </c>
      <c r="O474" s="71">
        <v>15</v>
      </c>
      <c r="P474" s="71"/>
      <c r="Q474" s="168"/>
      <c r="R474" s="119" t="s">
        <v>51</v>
      </c>
      <c r="S474" s="169" t="s">
        <v>375</v>
      </c>
      <c r="T474" s="250"/>
      <c r="U474" s="136">
        <v>30</v>
      </c>
      <c r="V474" s="197">
        <v>0</v>
      </c>
      <c r="W474" s="90">
        <v>5</v>
      </c>
      <c r="X474" s="91">
        <v>7</v>
      </c>
      <c r="Y474" s="92">
        <v>3</v>
      </c>
      <c r="Z474" s="81">
        <v>0</v>
      </c>
      <c r="AA474" s="133">
        <f t="shared" si="541"/>
        <v>15</v>
      </c>
      <c r="AB474" s="71">
        <v>15</v>
      </c>
      <c r="AC474" s="136">
        <v>0</v>
      </c>
      <c r="AD474" s="197">
        <v>0</v>
      </c>
      <c r="AE474" s="90">
        <v>0</v>
      </c>
      <c r="AF474" s="91">
        <v>0</v>
      </c>
      <c r="AG474" s="92">
        <v>0</v>
      </c>
      <c r="AH474" s="81">
        <v>0</v>
      </c>
      <c r="AI474" s="133">
        <f t="shared" si="542"/>
        <v>0</v>
      </c>
      <c r="AJ474" s="71">
        <f>AC474/4*3</f>
        <v>0</v>
      </c>
      <c r="AK474" s="168"/>
      <c r="AL474" s="168"/>
      <c r="AM474" s="170"/>
      <c r="AN474" s="168"/>
      <c r="AO474" s="170"/>
      <c r="AP474" s="135"/>
      <c r="AQ474" s="168"/>
      <c r="AR474" s="161">
        <v>0</v>
      </c>
      <c r="AS474" s="162">
        <v>0</v>
      </c>
      <c r="AT474" s="163">
        <v>0</v>
      </c>
      <c r="AU474" s="119"/>
      <c r="AV474" s="168"/>
      <c r="AW474" s="119"/>
      <c r="AX474" s="117" t="s">
        <v>147</v>
      </c>
    </row>
    <row r="475" spans="1:50" s="77" customFormat="1" ht="56.25" x14ac:dyDescent="0.25">
      <c r="A475" s="166"/>
      <c r="B475" s="115" t="s">
        <v>224</v>
      </c>
      <c r="C475" s="115" t="s">
        <v>194</v>
      </c>
      <c r="D475" s="117" t="s">
        <v>106</v>
      </c>
      <c r="E475" s="117" t="s">
        <v>48</v>
      </c>
      <c r="F475" s="290"/>
      <c r="G475" s="135" t="s">
        <v>229</v>
      </c>
      <c r="H475" s="136">
        <v>5</v>
      </c>
      <c r="I475" s="199">
        <v>0</v>
      </c>
      <c r="J475" s="103">
        <v>0</v>
      </c>
      <c r="K475" s="104">
        <v>2</v>
      </c>
      <c r="L475" s="105">
        <v>0</v>
      </c>
      <c r="M475" s="106">
        <v>2</v>
      </c>
      <c r="N475" s="133">
        <f t="shared" si="548"/>
        <v>4</v>
      </c>
      <c r="O475" s="71">
        <v>0</v>
      </c>
      <c r="P475" s="71"/>
      <c r="Q475" s="168"/>
      <c r="R475" s="119" t="s">
        <v>51</v>
      </c>
      <c r="S475" s="169" t="s">
        <v>376</v>
      </c>
      <c r="T475" s="250"/>
      <c r="U475" s="136">
        <v>5</v>
      </c>
      <c r="V475" s="199">
        <v>0</v>
      </c>
      <c r="W475" s="103">
        <v>2</v>
      </c>
      <c r="X475" s="104">
        <v>2</v>
      </c>
      <c r="Y475" s="105">
        <v>0</v>
      </c>
      <c r="Z475" s="106">
        <v>0</v>
      </c>
      <c r="AA475" s="133">
        <f t="shared" si="541"/>
        <v>4</v>
      </c>
      <c r="AB475" s="71">
        <v>0</v>
      </c>
      <c r="AC475" s="136">
        <v>0</v>
      </c>
      <c r="AD475" s="199">
        <v>0</v>
      </c>
      <c r="AE475" s="103">
        <v>0</v>
      </c>
      <c r="AF475" s="104">
        <v>0</v>
      </c>
      <c r="AG475" s="105">
        <v>0</v>
      </c>
      <c r="AH475" s="106">
        <v>0</v>
      </c>
      <c r="AI475" s="133">
        <f t="shared" si="542"/>
        <v>0</v>
      </c>
      <c r="AJ475" s="71">
        <f>AC475/4*3</f>
        <v>0</v>
      </c>
      <c r="AK475" s="168"/>
      <c r="AL475" s="168"/>
      <c r="AM475" s="170"/>
      <c r="AN475" s="168"/>
      <c r="AO475" s="170"/>
      <c r="AP475" s="135"/>
      <c r="AQ475" s="168"/>
      <c r="AR475" s="161">
        <v>0</v>
      </c>
      <c r="AS475" s="162">
        <v>0</v>
      </c>
      <c r="AT475" s="163">
        <v>0</v>
      </c>
      <c r="AU475" s="119"/>
      <c r="AV475" s="168"/>
      <c r="AW475" s="119"/>
      <c r="AX475" s="117" t="s">
        <v>147</v>
      </c>
    </row>
    <row r="476" spans="1:50" s="77" customFormat="1" ht="36" x14ac:dyDescent="0.25">
      <c r="A476" s="166"/>
      <c r="B476" s="115" t="s">
        <v>224</v>
      </c>
      <c r="C476" s="115" t="s">
        <v>194</v>
      </c>
      <c r="D476" s="117" t="s">
        <v>106</v>
      </c>
      <c r="E476" s="117" t="s">
        <v>48</v>
      </c>
      <c r="F476" s="290"/>
      <c r="G476" s="135" t="s">
        <v>236</v>
      </c>
      <c r="H476" s="136">
        <v>5</v>
      </c>
      <c r="I476" s="197">
        <v>0</v>
      </c>
      <c r="J476" s="90">
        <v>0</v>
      </c>
      <c r="K476" s="91">
        <v>0</v>
      </c>
      <c r="L476" s="92">
        <v>0</v>
      </c>
      <c r="M476" s="81">
        <v>1</v>
      </c>
      <c r="N476" s="133">
        <f t="shared" si="548"/>
        <v>1</v>
      </c>
      <c r="O476" s="71">
        <v>0</v>
      </c>
      <c r="P476" s="71"/>
      <c r="Q476" s="168"/>
      <c r="R476" s="119" t="s">
        <v>179</v>
      </c>
      <c r="S476" s="169" t="s">
        <v>377</v>
      </c>
      <c r="T476" s="250"/>
      <c r="U476" s="136">
        <v>5</v>
      </c>
      <c r="V476" s="197">
        <v>0</v>
      </c>
      <c r="W476" s="90">
        <v>2</v>
      </c>
      <c r="X476" s="91">
        <v>2</v>
      </c>
      <c r="Y476" s="92">
        <v>0</v>
      </c>
      <c r="Z476" s="81">
        <v>0</v>
      </c>
      <c r="AA476" s="133">
        <f t="shared" si="541"/>
        <v>4</v>
      </c>
      <c r="AB476" s="71">
        <v>0</v>
      </c>
      <c r="AC476" s="136">
        <v>5</v>
      </c>
      <c r="AD476" s="197">
        <v>0</v>
      </c>
      <c r="AE476" s="90">
        <v>1</v>
      </c>
      <c r="AF476" s="91">
        <v>1</v>
      </c>
      <c r="AG476" s="92">
        <v>0</v>
      </c>
      <c r="AH476" s="81">
        <v>0</v>
      </c>
      <c r="AI476" s="133">
        <f t="shared" si="542"/>
        <v>2</v>
      </c>
      <c r="AJ476" s="71">
        <v>0</v>
      </c>
      <c r="AK476" s="168"/>
      <c r="AL476" s="168"/>
      <c r="AM476" s="170"/>
      <c r="AN476" s="168"/>
      <c r="AO476" s="170"/>
      <c r="AP476" s="135" t="s">
        <v>58</v>
      </c>
      <c r="AQ476" s="136">
        <v>5</v>
      </c>
      <c r="AR476" s="161">
        <v>0</v>
      </c>
      <c r="AS476" s="162">
        <v>0</v>
      </c>
      <c r="AT476" s="163">
        <v>5</v>
      </c>
      <c r="AU476" s="119"/>
      <c r="AV476" s="168"/>
      <c r="AW476" s="119"/>
      <c r="AX476" s="117" t="s">
        <v>147</v>
      </c>
    </row>
    <row r="477" spans="1:50" s="77" customFormat="1" ht="36" x14ac:dyDescent="0.25">
      <c r="A477" s="166"/>
      <c r="B477" s="115" t="s">
        <v>224</v>
      </c>
      <c r="C477" s="115" t="s">
        <v>194</v>
      </c>
      <c r="D477" s="117" t="s">
        <v>106</v>
      </c>
      <c r="E477" s="117" t="s">
        <v>48</v>
      </c>
      <c r="F477" s="291"/>
      <c r="G477" s="135" t="s">
        <v>234</v>
      </c>
      <c r="H477" s="136">
        <v>5</v>
      </c>
      <c r="I477" s="199">
        <v>0</v>
      </c>
      <c r="J477" s="103">
        <v>0</v>
      </c>
      <c r="K477" s="104">
        <v>0</v>
      </c>
      <c r="L477" s="105">
        <v>0</v>
      </c>
      <c r="M477" s="106">
        <v>0</v>
      </c>
      <c r="N477" s="133">
        <f t="shared" si="548"/>
        <v>0</v>
      </c>
      <c r="O477" s="71">
        <v>5</v>
      </c>
      <c r="P477" s="71"/>
      <c r="Q477" s="168"/>
      <c r="R477" s="119" t="s">
        <v>179</v>
      </c>
      <c r="S477" s="169" t="s">
        <v>377</v>
      </c>
      <c r="T477" s="271"/>
      <c r="U477" s="136">
        <v>5</v>
      </c>
      <c r="V477" s="199">
        <v>0</v>
      </c>
      <c r="W477" s="103">
        <v>0</v>
      </c>
      <c r="X477" s="104">
        <v>0</v>
      </c>
      <c r="Y477" s="105">
        <v>0</v>
      </c>
      <c r="Z477" s="106">
        <v>0</v>
      </c>
      <c r="AA477" s="133">
        <f t="shared" si="541"/>
        <v>0</v>
      </c>
      <c r="AB477" s="71">
        <v>5</v>
      </c>
      <c r="AC477" s="136">
        <v>2</v>
      </c>
      <c r="AD477" s="199">
        <v>0</v>
      </c>
      <c r="AE477" s="103">
        <v>0</v>
      </c>
      <c r="AF477" s="104">
        <v>0</v>
      </c>
      <c r="AG477" s="105">
        <v>0</v>
      </c>
      <c r="AH477" s="106">
        <v>0</v>
      </c>
      <c r="AI477" s="133">
        <f t="shared" si="542"/>
        <v>0</v>
      </c>
      <c r="AJ477" s="71">
        <v>0</v>
      </c>
      <c r="AK477" s="168"/>
      <c r="AL477" s="168"/>
      <c r="AM477" s="170"/>
      <c r="AN477" s="168"/>
      <c r="AO477" s="170"/>
      <c r="AP477" s="135" t="s">
        <v>58</v>
      </c>
      <c r="AQ477" s="136">
        <v>2</v>
      </c>
      <c r="AR477" s="161">
        <v>0</v>
      </c>
      <c r="AS477" s="162">
        <v>0</v>
      </c>
      <c r="AT477" s="163">
        <v>2</v>
      </c>
      <c r="AU477" s="119"/>
      <c r="AV477" s="168"/>
      <c r="AW477" s="119"/>
      <c r="AX477" s="117" t="s">
        <v>147</v>
      </c>
    </row>
    <row r="478" spans="1:50" s="77" customFormat="1" ht="36" x14ac:dyDescent="0.25">
      <c r="A478" s="166"/>
      <c r="B478" s="115" t="s">
        <v>224</v>
      </c>
      <c r="C478" s="115" t="s">
        <v>194</v>
      </c>
      <c r="D478" s="117" t="s">
        <v>106</v>
      </c>
      <c r="E478" s="117" t="s">
        <v>48</v>
      </c>
      <c r="F478" s="142" t="s">
        <v>61</v>
      </c>
      <c r="G478" s="155"/>
      <c r="H478" s="153">
        <f>SUBTOTAL(9,H469:H477)</f>
        <v>365</v>
      </c>
      <c r="I478" s="153">
        <f t="shared" ref="I478" si="569">SUBTOTAL(9,I469:I477)</f>
        <v>0</v>
      </c>
      <c r="J478" s="153">
        <f t="shared" ref="J478:O478" si="570">SUBTOTAL(9,J469:J477)</f>
        <v>5</v>
      </c>
      <c r="K478" s="153">
        <f t="shared" si="570"/>
        <v>17</v>
      </c>
      <c r="L478" s="153">
        <f t="shared" si="570"/>
        <v>5</v>
      </c>
      <c r="M478" s="153">
        <f t="shared" si="570"/>
        <v>3</v>
      </c>
      <c r="N478" s="153">
        <f t="shared" si="548"/>
        <v>30</v>
      </c>
      <c r="O478" s="153">
        <f t="shared" si="570"/>
        <v>330</v>
      </c>
      <c r="P478" s="153"/>
      <c r="Q478" s="156"/>
      <c r="R478" s="129"/>
      <c r="S478" s="157"/>
      <c r="T478" s="158"/>
      <c r="U478" s="153">
        <f>SUBTOTAL(9,U469:U477)</f>
        <v>400</v>
      </c>
      <c r="V478" s="153">
        <f t="shared" ref="V478" si="571">SUBTOTAL(9,V469:V477)</f>
        <v>0</v>
      </c>
      <c r="W478" s="153">
        <f t="shared" ref="W478:AJ478" si="572">SUBTOTAL(9,W469:W477)</f>
        <v>9</v>
      </c>
      <c r="X478" s="153">
        <f t="shared" si="572"/>
        <v>19</v>
      </c>
      <c r="Y478" s="153">
        <f t="shared" si="572"/>
        <v>5</v>
      </c>
      <c r="Z478" s="153">
        <f t="shared" si="572"/>
        <v>0</v>
      </c>
      <c r="AA478" s="153">
        <f t="shared" si="541"/>
        <v>33</v>
      </c>
      <c r="AB478" s="153">
        <f t="shared" si="572"/>
        <v>365</v>
      </c>
      <c r="AC478" s="153">
        <f t="shared" si="572"/>
        <v>47</v>
      </c>
      <c r="AD478" s="153">
        <f t="shared" si="572"/>
        <v>0</v>
      </c>
      <c r="AE478" s="153">
        <f t="shared" si="572"/>
        <v>1</v>
      </c>
      <c r="AF478" s="153">
        <f t="shared" si="572"/>
        <v>1</v>
      </c>
      <c r="AG478" s="153">
        <f t="shared" ref="AG478" si="573">SUBTOTAL(9,AG469:AG477)</f>
        <v>0</v>
      </c>
      <c r="AH478" s="153">
        <f t="shared" si="572"/>
        <v>0</v>
      </c>
      <c r="AI478" s="153">
        <f t="shared" si="542"/>
        <v>2</v>
      </c>
      <c r="AJ478" s="153">
        <f t="shared" si="572"/>
        <v>20</v>
      </c>
      <c r="AK478" s="156"/>
      <c r="AL478" s="156"/>
      <c r="AM478" s="156">
        <f>SUM(AM469:AM476)</f>
        <v>22</v>
      </c>
      <c r="AN478" s="156"/>
      <c r="AO478" s="156"/>
      <c r="AP478" s="155"/>
      <c r="AQ478" s="153">
        <f>SUBTOTAL(9,AQ469:AQ477)</f>
        <v>104</v>
      </c>
      <c r="AR478" s="153">
        <f t="shared" ref="AR478:AT478" si="574">SUBTOTAL(9,AR469:AR477)</f>
        <v>0</v>
      </c>
      <c r="AS478" s="153">
        <f t="shared" si="574"/>
        <v>0</v>
      </c>
      <c r="AT478" s="153">
        <f t="shared" si="574"/>
        <v>104</v>
      </c>
      <c r="AU478" s="129"/>
      <c r="AV478" s="156"/>
      <c r="AW478" s="155"/>
      <c r="AX478" s="155" t="s">
        <v>147</v>
      </c>
    </row>
    <row r="479" spans="1:50" s="77" customFormat="1" ht="36" x14ac:dyDescent="0.25">
      <c r="A479" s="166"/>
      <c r="B479" s="115" t="s">
        <v>224</v>
      </c>
      <c r="C479" s="115" t="s">
        <v>191</v>
      </c>
      <c r="D479" s="117" t="s">
        <v>106</v>
      </c>
      <c r="E479" s="117" t="s">
        <v>64</v>
      </c>
      <c r="F479" s="272" t="s">
        <v>49</v>
      </c>
      <c r="G479" s="119" t="s">
        <v>237</v>
      </c>
      <c r="H479" s="136">
        <v>5</v>
      </c>
      <c r="I479" s="197">
        <v>0</v>
      </c>
      <c r="J479" s="90">
        <v>0</v>
      </c>
      <c r="K479" s="91">
        <v>0</v>
      </c>
      <c r="L479" s="92">
        <v>0</v>
      </c>
      <c r="M479" s="81">
        <v>0</v>
      </c>
      <c r="N479" s="133">
        <f t="shared" si="548"/>
        <v>0</v>
      </c>
      <c r="O479" s="71">
        <v>5</v>
      </c>
      <c r="P479" s="71"/>
      <c r="Q479" s="171"/>
      <c r="R479" s="119" t="s">
        <v>51</v>
      </c>
      <c r="S479" s="120" t="s">
        <v>163</v>
      </c>
      <c r="T479" s="277" t="s">
        <v>77</v>
      </c>
      <c r="U479" s="136">
        <v>15</v>
      </c>
      <c r="V479" s="197">
        <v>0</v>
      </c>
      <c r="W479" s="90">
        <v>0</v>
      </c>
      <c r="X479" s="91">
        <v>0</v>
      </c>
      <c r="Y479" s="92">
        <v>0</v>
      </c>
      <c r="Z479" s="81">
        <v>0</v>
      </c>
      <c r="AA479" s="133">
        <f t="shared" si="541"/>
        <v>0</v>
      </c>
      <c r="AB479" s="71">
        <v>5</v>
      </c>
      <c r="AC479" s="136">
        <v>0</v>
      </c>
      <c r="AD479" s="197">
        <v>0</v>
      </c>
      <c r="AE479" s="90">
        <v>0</v>
      </c>
      <c r="AF479" s="91">
        <v>0</v>
      </c>
      <c r="AG479" s="92">
        <v>0</v>
      </c>
      <c r="AH479" s="81">
        <v>0</v>
      </c>
      <c r="AI479" s="133">
        <f t="shared" si="542"/>
        <v>0</v>
      </c>
      <c r="AJ479" s="71">
        <f t="shared" ref="AJ479:AJ484" si="575">AC479/4*3</f>
        <v>0</v>
      </c>
      <c r="AK479" s="171"/>
      <c r="AL479" s="171"/>
      <c r="AM479" s="72"/>
      <c r="AN479" s="136"/>
      <c r="AO479" s="72"/>
      <c r="AP479" s="119"/>
      <c r="AQ479" s="136"/>
      <c r="AR479" s="161">
        <v>0</v>
      </c>
      <c r="AS479" s="162">
        <v>0</v>
      </c>
      <c r="AT479" s="163">
        <v>0</v>
      </c>
      <c r="AU479" s="171"/>
      <c r="AV479" s="136"/>
      <c r="AW479" s="119"/>
      <c r="AX479" s="117" t="s">
        <v>108</v>
      </c>
    </row>
    <row r="480" spans="1:50" s="77" customFormat="1" ht="36" x14ac:dyDescent="0.25">
      <c r="A480" s="166"/>
      <c r="B480" s="115" t="s">
        <v>224</v>
      </c>
      <c r="C480" s="115" t="s">
        <v>191</v>
      </c>
      <c r="D480" s="117" t="s">
        <v>106</v>
      </c>
      <c r="E480" s="117" t="s">
        <v>64</v>
      </c>
      <c r="F480" s="272"/>
      <c r="G480" s="119" t="s">
        <v>227</v>
      </c>
      <c r="H480" s="136">
        <v>5</v>
      </c>
      <c r="I480" s="197">
        <v>0</v>
      </c>
      <c r="J480" s="90">
        <v>0</v>
      </c>
      <c r="K480" s="91">
        <v>0</v>
      </c>
      <c r="L480" s="92">
        <v>0</v>
      </c>
      <c r="M480" s="81">
        <v>0</v>
      </c>
      <c r="N480" s="133">
        <f t="shared" si="548"/>
        <v>0</v>
      </c>
      <c r="O480" s="71">
        <v>5</v>
      </c>
      <c r="P480" s="71"/>
      <c r="Q480" s="171"/>
      <c r="R480" s="119" t="s">
        <v>51</v>
      </c>
      <c r="S480" s="120" t="s">
        <v>163</v>
      </c>
      <c r="T480" s="277"/>
      <c r="U480" s="136">
        <v>15</v>
      </c>
      <c r="V480" s="197">
        <v>0</v>
      </c>
      <c r="W480" s="90">
        <v>0</v>
      </c>
      <c r="X480" s="91">
        <v>0</v>
      </c>
      <c r="Y480" s="92">
        <v>0</v>
      </c>
      <c r="Z480" s="81">
        <v>0</v>
      </c>
      <c r="AA480" s="133">
        <f t="shared" si="541"/>
        <v>0</v>
      </c>
      <c r="AB480" s="71">
        <v>5</v>
      </c>
      <c r="AC480" s="136">
        <v>1</v>
      </c>
      <c r="AD480" s="197">
        <v>0</v>
      </c>
      <c r="AE480" s="90">
        <v>0</v>
      </c>
      <c r="AF480" s="91">
        <v>0</v>
      </c>
      <c r="AG480" s="92">
        <v>0</v>
      </c>
      <c r="AH480" s="81">
        <v>0</v>
      </c>
      <c r="AI480" s="133">
        <f t="shared" si="542"/>
        <v>0</v>
      </c>
      <c r="AJ480" s="71">
        <f t="shared" si="575"/>
        <v>0.75</v>
      </c>
      <c r="AK480" s="171"/>
      <c r="AL480" s="171"/>
      <c r="AM480" s="72"/>
      <c r="AN480" s="136"/>
      <c r="AO480" s="72"/>
      <c r="AP480" s="119" t="s">
        <v>58</v>
      </c>
      <c r="AQ480" s="136">
        <v>1</v>
      </c>
      <c r="AR480" s="161">
        <v>0</v>
      </c>
      <c r="AS480" s="162">
        <f>AQ480/4*3</f>
        <v>0.75</v>
      </c>
      <c r="AT480" s="163">
        <v>0</v>
      </c>
      <c r="AU480" s="171"/>
      <c r="AV480" s="136"/>
      <c r="AW480" s="119"/>
      <c r="AX480" s="117" t="s">
        <v>108</v>
      </c>
    </row>
    <row r="481" spans="1:50" s="77" customFormat="1" ht="36" x14ac:dyDescent="0.25">
      <c r="A481" s="166"/>
      <c r="B481" s="115" t="s">
        <v>224</v>
      </c>
      <c r="C481" s="115" t="s">
        <v>191</v>
      </c>
      <c r="D481" s="117" t="s">
        <v>106</v>
      </c>
      <c r="E481" s="117" t="s">
        <v>64</v>
      </c>
      <c r="F481" s="272"/>
      <c r="G481" s="119" t="s">
        <v>228</v>
      </c>
      <c r="H481" s="136">
        <v>5</v>
      </c>
      <c r="I481" s="197">
        <v>0</v>
      </c>
      <c r="J481" s="90">
        <v>10</v>
      </c>
      <c r="K481" s="91">
        <v>0</v>
      </c>
      <c r="L481" s="92">
        <v>1</v>
      </c>
      <c r="M481" s="81">
        <v>0</v>
      </c>
      <c r="N481" s="133">
        <f t="shared" si="548"/>
        <v>11</v>
      </c>
      <c r="O481" s="71">
        <v>5</v>
      </c>
      <c r="P481" s="71"/>
      <c r="Q481" s="171"/>
      <c r="R481" s="119" t="s">
        <v>51</v>
      </c>
      <c r="S481" s="120" t="s">
        <v>163</v>
      </c>
      <c r="T481" s="277"/>
      <c r="U481" s="136">
        <v>20</v>
      </c>
      <c r="V481" s="197">
        <v>0</v>
      </c>
      <c r="W481" s="90">
        <v>10</v>
      </c>
      <c r="X481" s="91">
        <v>0</v>
      </c>
      <c r="Y481" s="92">
        <v>1</v>
      </c>
      <c r="Z481" s="81">
        <v>0</v>
      </c>
      <c r="AA481" s="133">
        <f t="shared" si="541"/>
        <v>11</v>
      </c>
      <c r="AB481" s="71">
        <v>5</v>
      </c>
      <c r="AC481" s="136">
        <v>1</v>
      </c>
      <c r="AD481" s="197">
        <v>0</v>
      </c>
      <c r="AE481" s="90">
        <v>0</v>
      </c>
      <c r="AF481" s="91">
        <v>0</v>
      </c>
      <c r="AG481" s="92">
        <v>0</v>
      </c>
      <c r="AH481" s="81">
        <v>0</v>
      </c>
      <c r="AI481" s="133">
        <f t="shared" si="542"/>
        <v>0</v>
      </c>
      <c r="AJ481" s="71">
        <f t="shared" si="575"/>
        <v>0.75</v>
      </c>
      <c r="AK481" s="171"/>
      <c r="AL481" s="171"/>
      <c r="AM481" s="72"/>
      <c r="AN481" s="136"/>
      <c r="AO481" s="72"/>
      <c r="AP481" s="119" t="s">
        <v>58</v>
      </c>
      <c r="AQ481" s="136">
        <v>1</v>
      </c>
      <c r="AR481" s="161">
        <v>0</v>
      </c>
      <c r="AS481" s="162">
        <f>AQ481/4*3</f>
        <v>0.75</v>
      </c>
      <c r="AT481" s="163">
        <v>0</v>
      </c>
      <c r="AU481" s="171"/>
      <c r="AV481" s="136"/>
      <c r="AW481" s="119"/>
      <c r="AX481" s="117" t="s">
        <v>108</v>
      </c>
    </row>
    <row r="482" spans="1:50" s="77" customFormat="1" ht="36" x14ac:dyDescent="0.25">
      <c r="A482" s="166"/>
      <c r="B482" s="115" t="s">
        <v>224</v>
      </c>
      <c r="C482" s="115" t="s">
        <v>191</v>
      </c>
      <c r="D482" s="117" t="s">
        <v>106</v>
      </c>
      <c r="E482" s="117" t="s">
        <v>64</v>
      </c>
      <c r="F482" s="272"/>
      <c r="G482" s="119" t="s">
        <v>260</v>
      </c>
      <c r="H482" s="136">
        <v>5</v>
      </c>
      <c r="I482" s="197">
        <v>0</v>
      </c>
      <c r="J482" s="90">
        <v>0</v>
      </c>
      <c r="K482" s="91">
        <v>0</v>
      </c>
      <c r="L482" s="92">
        <v>0</v>
      </c>
      <c r="M482" s="81">
        <v>0</v>
      </c>
      <c r="N482" s="133">
        <f t="shared" si="548"/>
        <v>0</v>
      </c>
      <c r="O482" s="71">
        <v>5</v>
      </c>
      <c r="P482" s="71"/>
      <c r="Q482" s="171"/>
      <c r="R482" s="119" t="s">
        <v>51</v>
      </c>
      <c r="S482" s="120" t="s">
        <v>163</v>
      </c>
      <c r="T482" s="277"/>
      <c r="U482" s="136">
        <v>15</v>
      </c>
      <c r="V482" s="197">
        <v>0</v>
      </c>
      <c r="W482" s="90">
        <v>0</v>
      </c>
      <c r="X482" s="91">
        <v>0</v>
      </c>
      <c r="Y482" s="92">
        <v>0</v>
      </c>
      <c r="Z482" s="81">
        <v>0</v>
      </c>
      <c r="AA482" s="133">
        <f t="shared" si="541"/>
        <v>0</v>
      </c>
      <c r="AB482" s="71">
        <v>5</v>
      </c>
      <c r="AC482" s="136">
        <v>0</v>
      </c>
      <c r="AD482" s="197">
        <v>0</v>
      </c>
      <c r="AE482" s="90">
        <v>0</v>
      </c>
      <c r="AF482" s="91">
        <v>0</v>
      </c>
      <c r="AG482" s="92">
        <v>0</v>
      </c>
      <c r="AH482" s="81">
        <v>0</v>
      </c>
      <c r="AI482" s="133">
        <f t="shared" si="542"/>
        <v>0</v>
      </c>
      <c r="AJ482" s="71">
        <f t="shared" si="575"/>
        <v>0</v>
      </c>
      <c r="AK482" s="171"/>
      <c r="AL482" s="171"/>
      <c r="AM482" s="72"/>
      <c r="AN482" s="136"/>
      <c r="AO482" s="72"/>
      <c r="AP482" s="119"/>
      <c r="AQ482" s="136"/>
      <c r="AR482" s="161">
        <v>0</v>
      </c>
      <c r="AS482" s="162">
        <v>0</v>
      </c>
      <c r="AT482" s="163">
        <v>0</v>
      </c>
      <c r="AU482" s="171"/>
      <c r="AV482" s="136"/>
      <c r="AW482" s="119"/>
      <c r="AX482" s="117" t="s">
        <v>108</v>
      </c>
    </row>
    <row r="483" spans="1:50" s="77" customFormat="1" ht="36" x14ac:dyDescent="0.25">
      <c r="A483" s="166"/>
      <c r="B483" s="115" t="s">
        <v>224</v>
      </c>
      <c r="C483" s="115" t="s">
        <v>191</v>
      </c>
      <c r="D483" s="117" t="s">
        <v>106</v>
      </c>
      <c r="E483" s="117" t="s">
        <v>64</v>
      </c>
      <c r="F483" s="272"/>
      <c r="G483" s="119" t="s">
        <v>229</v>
      </c>
      <c r="H483" s="136">
        <v>5</v>
      </c>
      <c r="I483" s="197">
        <v>0</v>
      </c>
      <c r="J483" s="90">
        <v>0</v>
      </c>
      <c r="K483" s="91">
        <v>2</v>
      </c>
      <c r="L483" s="92">
        <v>1</v>
      </c>
      <c r="M483" s="81">
        <v>2</v>
      </c>
      <c r="N483" s="133">
        <f t="shared" si="548"/>
        <v>5</v>
      </c>
      <c r="O483" s="71">
        <v>0</v>
      </c>
      <c r="P483" s="71"/>
      <c r="Q483" s="171"/>
      <c r="R483" s="119" t="s">
        <v>51</v>
      </c>
      <c r="S483" s="120" t="s">
        <v>163</v>
      </c>
      <c r="T483" s="277"/>
      <c r="U483" s="136">
        <v>5</v>
      </c>
      <c r="V483" s="197">
        <v>0</v>
      </c>
      <c r="W483" s="90">
        <v>0</v>
      </c>
      <c r="X483" s="91">
        <v>2</v>
      </c>
      <c r="Y483" s="92">
        <v>1</v>
      </c>
      <c r="Z483" s="81">
        <v>2</v>
      </c>
      <c r="AA483" s="133">
        <f t="shared" si="541"/>
        <v>5</v>
      </c>
      <c r="AB483" s="71">
        <v>0</v>
      </c>
      <c r="AC483" s="136">
        <v>0</v>
      </c>
      <c r="AD483" s="197">
        <v>0</v>
      </c>
      <c r="AE483" s="90">
        <v>0</v>
      </c>
      <c r="AF483" s="91">
        <v>0</v>
      </c>
      <c r="AG483" s="92">
        <v>0</v>
      </c>
      <c r="AH483" s="81">
        <v>0</v>
      </c>
      <c r="AI483" s="133">
        <f t="shared" si="542"/>
        <v>0</v>
      </c>
      <c r="AJ483" s="71">
        <f t="shared" si="575"/>
        <v>0</v>
      </c>
      <c r="AK483" s="171"/>
      <c r="AL483" s="171"/>
      <c r="AM483" s="72"/>
      <c r="AN483" s="136"/>
      <c r="AO483" s="72"/>
      <c r="AP483" s="119"/>
      <c r="AQ483" s="136"/>
      <c r="AR483" s="161">
        <v>0</v>
      </c>
      <c r="AS483" s="162">
        <v>0</v>
      </c>
      <c r="AT483" s="163">
        <v>0</v>
      </c>
      <c r="AU483" s="171"/>
      <c r="AV483" s="136"/>
      <c r="AW483" s="119"/>
      <c r="AX483" s="117" t="s">
        <v>108</v>
      </c>
    </row>
    <row r="484" spans="1:50" s="77" customFormat="1" ht="54" x14ac:dyDescent="0.25">
      <c r="A484" s="166"/>
      <c r="B484" s="115" t="s">
        <v>224</v>
      </c>
      <c r="C484" s="115" t="s">
        <v>191</v>
      </c>
      <c r="D484" s="117" t="s">
        <v>106</v>
      </c>
      <c r="E484" s="117" t="s">
        <v>64</v>
      </c>
      <c r="F484" s="272"/>
      <c r="G484" s="119" t="s">
        <v>328</v>
      </c>
      <c r="H484" s="136">
        <v>5</v>
      </c>
      <c r="I484" s="197">
        <v>0</v>
      </c>
      <c r="J484" s="90">
        <v>3</v>
      </c>
      <c r="K484" s="91">
        <v>0</v>
      </c>
      <c r="L484" s="92">
        <v>0</v>
      </c>
      <c r="M484" s="81">
        <v>0</v>
      </c>
      <c r="N484" s="133">
        <f t="shared" si="548"/>
        <v>3</v>
      </c>
      <c r="O484" s="71">
        <v>0</v>
      </c>
      <c r="P484" s="71"/>
      <c r="Q484" s="171"/>
      <c r="R484" s="119" t="s">
        <v>51</v>
      </c>
      <c r="S484" s="120" t="s">
        <v>163</v>
      </c>
      <c r="T484" s="277"/>
      <c r="U484" s="136">
        <v>15</v>
      </c>
      <c r="V484" s="197">
        <v>0</v>
      </c>
      <c r="W484" s="90">
        <v>3</v>
      </c>
      <c r="X484" s="91">
        <v>0</v>
      </c>
      <c r="Y484" s="92">
        <v>0</v>
      </c>
      <c r="Z484" s="81">
        <v>0</v>
      </c>
      <c r="AA484" s="133">
        <f t="shared" si="541"/>
        <v>3</v>
      </c>
      <c r="AB484" s="71">
        <v>0</v>
      </c>
      <c r="AC484" s="136">
        <v>1</v>
      </c>
      <c r="AD484" s="197">
        <v>0</v>
      </c>
      <c r="AE484" s="90">
        <v>0</v>
      </c>
      <c r="AF484" s="91">
        <v>0</v>
      </c>
      <c r="AG484" s="92">
        <v>0</v>
      </c>
      <c r="AH484" s="81">
        <v>0</v>
      </c>
      <c r="AI484" s="133">
        <f t="shared" si="542"/>
        <v>0</v>
      </c>
      <c r="AJ484" s="71">
        <f t="shared" si="575"/>
        <v>0.75</v>
      </c>
      <c r="AK484" s="171"/>
      <c r="AL484" s="171"/>
      <c r="AM484" s="72"/>
      <c r="AN484" s="136"/>
      <c r="AO484" s="72"/>
      <c r="AP484" s="119" t="s">
        <v>58</v>
      </c>
      <c r="AQ484" s="136">
        <v>1</v>
      </c>
      <c r="AR484" s="161">
        <v>0</v>
      </c>
      <c r="AS484" s="162">
        <f>AQ484/4*3</f>
        <v>0.75</v>
      </c>
      <c r="AT484" s="163">
        <v>0</v>
      </c>
      <c r="AU484" s="171"/>
      <c r="AV484" s="136"/>
      <c r="AW484" s="119" t="s">
        <v>378</v>
      </c>
      <c r="AX484" s="117" t="s">
        <v>108</v>
      </c>
    </row>
    <row r="485" spans="1:50" s="77" customFormat="1" ht="36" x14ac:dyDescent="0.25">
      <c r="A485" s="166"/>
      <c r="B485" s="115" t="s">
        <v>224</v>
      </c>
      <c r="C485" s="115" t="s">
        <v>191</v>
      </c>
      <c r="D485" s="117" t="s">
        <v>106</v>
      </c>
      <c r="E485" s="117" t="s">
        <v>64</v>
      </c>
      <c r="F485" s="142" t="s">
        <v>61</v>
      </c>
      <c r="G485" s="127"/>
      <c r="H485" s="153">
        <f t="shared" ref="H485:O485" si="576">SUM(H479:H484)</f>
        <v>30</v>
      </c>
      <c r="I485" s="153">
        <f t="shared" si="576"/>
        <v>0</v>
      </c>
      <c r="J485" s="153">
        <f t="shared" si="576"/>
        <v>13</v>
      </c>
      <c r="K485" s="153">
        <f t="shared" si="576"/>
        <v>2</v>
      </c>
      <c r="L485" s="153">
        <f t="shared" si="576"/>
        <v>2</v>
      </c>
      <c r="M485" s="153">
        <f t="shared" si="576"/>
        <v>2</v>
      </c>
      <c r="N485" s="153">
        <f t="shared" si="548"/>
        <v>19</v>
      </c>
      <c r="O485" s="153">
        <f t="shared" si="576"/>
        <v>20</v>
      </c>
      <c r="P485" s="153"/>
      <c r="Q485" s="142"/>
      <c r="R485" s="129"/>
      <c r="S485" s="172"/>
      <c r="T485" s="130"/>
      <c r="U485" s="153">
        <f t="shared" ref="U485:AJ485" si="577">SUM(U479:U484)</f>
        <v>85</v>
      </c>
      <c r="V485" s="153">
        <f t="shared" si="577"/>
        <v>0</v>
      </c>
      <c r="W485" s="153">
        <f t="shared" si="577"/>
        <v>13</v>
      </c>
      <c r="X485" s="153">
        <f t="shared" si="577"/>
        <v>2</v>
      </c>
      <c r="Y485" s="153">
        <f t="shared" ref="Y485" si="578">SUM(Y479:Y484)</f>
        <v>2</v>
      </c>
      <c r="Z485" s="153">
        <f t="shared" si="577"/>
        <v>2</v>
      </c>
      <c r="AA485" s="153">
        <f t="shared" si="541"/>
        <v>19</v>
      </c>
      <c r="AB485" s="153">
        <f t="shared" si="577"/>
        <v>20</v>
      </c>
      <c r="AC485" s="153">
        <f t="shared" si="577"/>
        <v>3</v>
      </c>
      <c r="AD485" s="153">
        <f t="shared" si="577"/>
        <v>0</v>
      </c>
      <c r="AE485" s="153">
        <f t="shared" si="577"/>
        <v>0</v>
      </c>
      <c r="AF485" s="153">
        <f t="shared" si="577"/>
        <v>0</v>
      </c>
      <c r="AG485" s="153">
        <f t="shared" ref="AG485" si="579">SUM(AG479:AG484)</f>
        <v>0</v>
      </c>
      <c r="AH485" s="153">
        <f t="shared" si="577"/>
        <v>0</v>
      </c>
      <c r="AI485" s="153">
        <f t="shared" si="542"/>
        <v>0</v>
      </c>
      <c r="AJ485" s="153">
        <f t="shared" si="577"/>
        <v>2.25</v>
      </c>
      <c r="AK485" s="156"/>
      <c r="AL485" s="156"/>
      <c r="AM485" s="156"/>
      <c r="AN485" s="156"/>
      <c r="AO485" s="156"/>
      <c r="AP485" s="155"/>
      <c r="AQ485" s="153">
        <f>SUM(AQ479:AQ484)</f>
        <v>3</v>
      </c>
      <c r="AR485" s="153">
        <f>SUM(AR479:AR484)</f>
        <v>0</v>
      </c>
      <c r="AS485" s="153">
        <f>SUM(AS479:AS484)</f>
        <v>2.25</v>
      </c>
      <c r="AT485" s="153">
        <f>SUM(AT479:AT484)</f>
        <v>0</v>
      </c>
      <c r="AU485" s="129"/>
      <c r="AV485" s="142"/>
      <c r="AW485" s="127"/>
      <c r="AX485" s="127" t="s">
        <v>108</v>
      </c>
    </row>
    <row r="486" spans="1:50" s="77" customFormat="1" ht="36" x14ac:dyDescent="0.25">
      <c r="A486" s="166"/>
      <c r="B486" s="115" t="s">
        <v>224</v>
      </c>
      <c r="C486" s="115" t="s">
        <v>192</v>
      </c>
      <c r="D486" s="117" t="s">
        <v>106</v>
      </c>
      <c r="E486" s="117" t="s">
        <v>70</v>
      </c>
      <c r="F486" s="272" t="s">
        <v>49</v>
      </c>
      <c r="G486" s="119" t="s">
        <v>178</v>
      </c>
      <c r="H486" s="251">
        <v>60</v>
      </c>
      <c r="I486" s="238">
        <v>0</v>
      </c>
      <c r="J486" s="230">
        <v>0</v>
      </c>
      <c r="K486" s="224">
        <v>0</v>
      </c>
      <c r="L486" s="226">
        <v>1</v>
      </c>
      <c r="M486" s="232">
        <v>0</v>
      </c>
      <c r="N486" s="278">
        <f t="shared" si="548"/>
        <v>1</v>
      </c>
      <c r="O486" s="242">
        <v>60</v>
      </c>
      <c r="P486" s="71"/>
      <c r="Q486" s="251"/>
      <c r="R486" s="251" t="s">
        <v>51</v>
      </c>
      <c r="S486" s="276" t="s">
        <v>379</v>
      </c>
      <c r="T486" s="251" t="s">
        <v>53</v>
      </c>
      <c r="U486" s="251">
        <v>150</v>
      </c>
      <c r="V486" s="238">
        <v>0</v>
      </c>
      <c r="W486" s="230">
        <v>0</v>
      </c>
      <c r="X486" s="224">
        <v>0</v>
      </c>
      <c r="Y486" s="226">
        <v>1</v>
      </c>
      <c r="Z486" s="232">
        <v>0</v>
      </c>
      <c r="AA486" s="278">
        <f t="shared" si="541"/>
        <v>1</v>
      </c>
      <c r="AB486" s="242">
        <v>150</v>
      </c>
      <c r="AC486" s="251">
        <v>50</v>
      </c>
      <c r="AD486" s="238">
        <v>0</v>
      </c>
      <c r="AE486" s="230">
        <v>0</v>
      </c>
      <c r="AF486" s="224">
        <v>0</v>
      </c>
      <c r="AG486" s="226">
        <v>0</v>
      </c>
      <c r="AH486" s="232">
        <v>0</v>
      </c>
      <c r="AI486" s="278">
        <f t="shared" si="542"/>
        <v>0</v>
      </c>
      <c r="AJ486" s="242">
        <v>50</v>
      </c>
      <c r="AK486" s="251"/>
      <c r="AL486" s="251"/>
      <c r="AM486" s="218"/>
      <c r="AN486" s="251"/>
      <c r="AO486" s="46"/>
      <c r="AP486" s="119" t="s">
        <v>58</v>
      </c>
      <c r="AQ486" s="119">
        <v>50</v>
      </c>
      <c r="AR486" s="161">
        <v>0</v>
      </c>
      <c r="AS486" s="162">
        <v>50</v>
      </c>
      <c r="AT486" s="163">
        <v>0</v>
      </c>
      <c r="AU486" s="272"/>
      <c r="AV486" s="272"/>
      <c r="AW486" s="272"/>
      <c r="AX486" s="138" t="s">
        <v>59</v>
      </c>
    </row>
    <row r="487" spans="1:50" s="9" customFormat="1" ht="36" x14ac:dyDescent="0.25">
      <c r="A487" s="166"/>
      <c r="B487" s="115" t="s">
        <v>224</v>
      </c>
      <c r="C487" s="115" t="s">
        <v>192</v>
      </c>
      <c r="D487" s="117" t="s">
        <v>106</v>
      </c>
      <c r="E487" s="117" t="s">
        <v>70</v>
      </c>
      <c r="F487" s="272"/>
      <c r="G487" s="119" t="s">
        <v>178</v>
      </c>
      <c r="H487" s="251"/>
      <c r="I487" s="239"/>
      <c r="J487" s="231"/>
      <c r="K487" s="225"/>
      <c r="L487" s="227"/>
      <c r="M487" s="233"/>
      <c r="N487" s="278">
        <f t="shared" si="548"/>
        <v>0</v>
      </c>
      <c r="O487" s="242"/>
      <c r="P487" s="71"/>
      <c r="Q487" s="251"/>
      <c r="R487" s="251"/>
      <c r="S487" s="276"/>
      <c r="T487" s="251"/>
      <c r="U487" s="251"/>
      <c r="V487" s="239"/>
      <c r="W487" s="231"/>
      <c r="X487" s="225"/>
      <c r="Y487" s="227"/>
      <c r="Z487" s="233"/>
      <c r="AA487" s="278">
        <f t="shared" si="541"/>
        <v>0</v>
      </c>
      <c r="AB487" s="242"/>
      <c r="AC487" s="251"/>
      <c r="AD487" s="239"/>
      <c r="AE487" s="231"/>
      <c r="AF487" s="225"/>
      <c r="AG487" s="227"/>
      <c r="AH487" s="233"/>
      <c r="AI487" s="278">
        <f t="shared" si="542"/>
        <v>0</v>
      </c>
      <c r="AJ487" s="242"/>
      <c r="AK487" s="251"/>
      <c r="AL487" s="251"/>
      <c r="AM487" s="218"/>
      <c r="AN487" s="251"/>
      <c r="AO487" s="46"/>
      <c r="AP487" s="119" t="s">
        <v>127</v>
      </c>
      <c r="AQ487" s="119">
        <v>1</v>
      </c>
      <c r="AR487" s="161">
        <v>0</v>
      </c>
      <c r="AS487" s="162">
        <f>AQ487/4*3</f>
        <v>0.75</v>
      </c>
      <c r="AT487" s="163">
        <v>0</v>
      </c>
      <c r="AU487" s="272"/>
      <c r="AV487" s="272"/>
      <c r="AW487" s="272"/>
      <c r="AX487" s="138" t="s">
        <v>59</v>
      </c>
    </row>
    <row r="488" spans="1:50" s="77" customFormat="1" ht="36" customHeight="1" x14ac:dyDescent="0.25">
      <c r="A488" s="166"/>
      <c r="B488" s="115" t="s">
        <v>224</v>
      </c>
      <c r="C488" s="115" t="s">
        <v>192</v>
      </c>
      <c r="D488" s="117" t="s">
        <v>106</v>
      </c>
      <c r="E488" s="117" t="s">
        <v>70</v>
      </c>
      <c r="F488" s="272"/>
      <c r="G488" s="119" t="s">
        <v>227</v>
      </c>
      <c r="H488" s="251">
        <v>100</v>
      </c>
      <c r="I488" s="238">
        <v>0</v>
      </c>
      <c r="J488" s="230">
        <v>1</v>
      </c>
      <c r="K488" s="224">
        <v>6</v>
      </c>
      <c r="L488" s="226">
        <v>0</v>
      </c>
      <c r="M488" s="232">
        <v>0</v>
      </c>
      <c r="N488" s="278">
        <f t="shared" si="548"/>
        <v>7</v>
      </c>
      <c r="O488" s="242">
        <v>90</v>
      </c>
      <c r="P488" s="71"/>
      <c r="Q488" s="251"/>
      <c r="R488" s="251" t="s">
        <v>51</v>
      </c>
      <c r="S488" s="276" t="s">
        <v>379</v>
      </c>
      <c r="T488" s="251"/>
      <c r="U488" s="251">
        <v>150</v>
      </c>
      <c r="V488" s="238">
        <v>1</v>
      </c>
      <c r="W488" s="230">
        <v>1</v>
      </c>
      <c r="X488" s="224">
        <v>6</v>
      </c>
      <c r="Y488" s="226">
        <v>0</v>
      </c>
      <c r="Z488" s="232">
        <v>0</v>
      </c>
      <c r="AA488" s="278">
        <f t="shared" si="541"/>
        <v>8</v>
      </c>
      <c r="AB488" s="242">
        <v>140</v>
      </c>
      <c r="AC488" s="251">
        <v>50</v>
      </c>
      <c r="AD488" s="238">
        <v>1</v>
      </c>
      <c r="AE488" s="230">
        <v>1</v>
      </c>
      <c r="AF488" s="224">
        <v>6</v>
      </c>
      <c r="AG488" s="226">
        <v>0</v>
      </c>
      <c r="AH488" s="232">
        <v>0</v>
      </c>
      <c r="AI488" s="278">
        <f t="shared" si="542"/>
        <v>8</v>
      </c>
      <c r="AJ488" s="242">
        <v>40</v>
      </c>
      <c r="AK488" s="251"/>
      <c r="AL488" s="251"/>
      <c r="AM488" s="218"/>
      <c r="AN488" s="251"/>
      <c r="AO488" s="46"/>
      <c r="AP488" s="119" t="s">
        <v>58</v>
      </c>
      <c r="AQ488" s="119">
        <v>50</v>
      </c>
      <c r="AR488" s="161">
        <v>0</v>
      </c>
      <c r="AS488" s="162">
        <v>50</v>
      </c>
      <c r="AT488" s="163">
        <v>0</v>
      </c>
      <c r="AU488" s="272"/>
      <c r="AV488" s="272"/>
      <c r="AW488" s="272"/>
      <c r="AX488" s="138" t="s">
        <v>59</v>
      </c>
    </row>
    <row r="489" spans="1:50" s="77" customFormat="1" ht="36" x14ac:dyDescent="0.25">
      <c r="A489" s="166"/>
      <c r="B489" s="115" t="s">
        <v>224</v>
      </c>
      <c r="C489" s="115" t="s">
        <v>192</v>
      </c>
      <c r="D489" s="117" t="s">
        <v>106</v>
      </c>
      <c r="E489" s="117" t="s">
        <v>70</v>
      </c>
      <c r="F489" s="272"/>
      <c r="G489" s="119" t="s">
        <v>227</v>
      </c>
      <c r="H489" s="251"/>
      <c r="I489" s="239"/>
      <c r="J489" s="231"/>
      <c r="K489" s="225"/>
      <c r="L489" s="227"/>
      <c r="M489" s="233"/>
      <c r="N489" s="278">
        <f t="shared" si="548"/>
        <v>0</v>
      </c>
      <c r="O489" s="242"/>
      <c r="P489" s="71"/>
      <c r="Q489" s="251"/>
      <c r="R489" s="251"/>
      <c r="S489" s="276"/>
      <c r="T489" s="251"/>
      <c r="U489" s="251"/>
      <c r="V489" s="239"/>
      <c r="W489" s="231"/>
      <c r="X489" s="225"/>
      <c r="Y489" s="227"/>
      <c r="Z489" s="233"/>
      <c r="AA489" s="278">
        <f t="shared" si="541"/>
        <v>0</v>
      </c>
      <c r="AB489" s="242"/>
      <c r="AC489" s="251"/>
      <c r="AD489" s="239"/>
      <c r="AE489" s="231"/>
      <c r="AF489" s="225"/>
      <c r="AG489" s="227"/>
      <c r="AH489" s="233"/>
      <c r="AI489" s="278">
        <f t="shared" si="542"/>
        <v>0</v>
      </c>
      <c r="AJ489" s="242"/>
      <c r="AK489" s="251"/>
      <c r="AL489" s="251"/>
      <c r="AM489" s="218"/>
      <c r="AN489" s="251"/>
      <c r="AO489" s="46"/>
      <c r="AP489" s="119" t="s">
        <v>127</v>
      </c>
      <c r="AQ489" s="119">
        <v>1</v>
      </c>
      <c r="AR489" s="161">
        <v>0</v>
      </c>
      <c r="AS489" s="162">
        <f>AQ489/4*3</f>
        <v>0.75</v>
      </c>
      <c r="AT489" s="163">
        <v>0</v>
      </c>
      <c r="AU489" s="272"/>
      <c r="AV489" s="272"/>
      <c r="AW489" s="272"/>
      <c r="AX489" s="138" t="s">
        <v>59</v>
      </c>
    </row>
    <row r="490" spans="1:50" s="77" customFormat="1" ht="37.5" x14ac:dyDescent="0.25">
      <c r="A490" s="166"/>
      <c r="B490" s="115" t="s">
        <v>224</v>
      </c>
      <c r="C490" s="115" t="s">
        <v>192</v>
      </c>
      <c r="D490" s="117" t="s">
        <v>106</v>
      </c>
      <c r="E490" s="117" t="s">
        <v>70</v>
      </c>
      <c r="F490" s="272"/>
      <c r="G490" s="119" t="s">
        <v>228</v>
      </c>
      <c r="H490" s="119">
        <v>10</v>
      </c>
      <c r="I490" s="197">
        <v>0</v>
      </c>
      <c r="J490" s="90">
        <v>0</v>
      </c>
      <c r="K490" s="91">
        <v>0</v>
      </c>
      <c r="L490" s="92">
        <v>0</v>
      </c>
      <c r="M490" s="81">
        <v>0</v>
      </c>
      <c r="N490" s="133">
        <f t="shared" si="548"/>
        <v>0</v>
      </c>
      <c r="O490" s="71">
        <v>10</v>
      </c>
      <c r="P490" s="71"/>
      <c r="Q490" s="119"/>
      <c r="R490" s="119" t="s">
        <v>51</v>
      </c>
      <c r="S490" s="120" t="s">
        <v>379</v>
      </c>
      <c r="T490" s="251"/>
      <c r="U490" s="136">
        <v>20</v>
      </c>
      <c r="V490" s="197">
        <v>0</v>
      </c>
      <c r="W490" s="90">
        <v>0</v>
      </c>
      <c r="X490" s="91">
        <v>0</v>
      </c>
      <c r="Y490" s="92">
        <v>0</v>
      </c>
      <c r="Z490" s="81">
        <v>0</v>
      </c>
      <c r="AA490" s="133">
        <f t="shared" si="541"/>
        <v>0</v>
      </c>
      <c r="AB490" s="71">
        <v>20</v>
      </c>
      <c r="AC490" s="136">
        <v>0</v>
      </c>
      <c r="AD490" s="197">
        <v>0</v>
      </c>
      <c r="AE490" s="90">
        <v>0</v>
      </c>
      <c r="AF490" s="91">
        <v>0</v>
      </c>
      <c r="AG490" s="92">
        <v>0</v>
      </c>
      <c r="AH490" s="81">
        <v>0</v>
      </c>
      <c r="AI490" s="133">
        <f t="shared" si="542"/>
        <v>0</v>
      </c>
      <c r="AJ490" s="71">
        <f>AC490/4*3</f>
        <v>0</v>
      </c>
      <c r="AK490" s="136"/>
      <c r="AL490" s="136"/>
      <c r="AM490" s="72"/>
      <c r="AN490" s="136"/>
      <c r="AO490" s="72"/>
      <c r="AP490" s="119"/>
      <c r="AQ490" s="119"/>
      <c r="AR490" s="161">
        <v>0</v>
      </c>
      <c r="AS490" s="162">
        <v>0</v>
      </c>
      <c r="AT490" s="163">
        <v>0</v>
      </c>
      <c r="AU490" s="119"/>
      <c r="AV490" s="136"/>
      <c r="AW490" s="119"/>
      <c r="AX490" s="138" t="s">
        <v>59</v>
      </c>
    </row>
    <row r="491" spans="1:50" s="77" customFormat="1" ht="37.5" x14ac:dyDescent="0.25">
      <c r="A491" s="166"/>
      <c r="B491" s="115" t="s">
        <v>224</v>
      </c>
      <c r="C491" s="115" t="s">
        <v>192</v>
      </c>
      <c r="D491" s="117" t="s">
        <v>106</v>
      </c>
      <c r="E491" s="117" t="s">
        <v>70</v>
      </c>
      <c r="F491" s="272"/>
      <c r="G491" s="119" t="s">
        <v>229</v>
      </c>
      <c r="H491" s="119">
        <v>5</v>
      </c>
      <c r="I491" s="197">
        <v>0</v>
      </c>
      <c r="J491" s="90">
        <v>1</v>
      </c>
      <c r="K491" s="91">
        <v>0</v>
      </c>
      <c r="L491" s="92">
        <v>1</v>
      </c>
      <c r="M491" s="81">
        <v>2</v>
      </c>
      <c r="N491" s="133">
        <f t="shared" si="548"/>
        <v>4</v>
      </c>
      <c r="O491" s="71">
        <v>0</v>
      </c>
      <c r="P491" s="71"/>
      <c r="Q491" s="119"/>
      <c r="R491" s="119" t="s">
        <v>51</v>
      </c>
      <c r="S491" s="120" t="s">
        <v>379</v>
      </c>
      <c r="T491" s="251"/>
      <c r="U491" s="136">
        <v>5</v>
      </c>
      <c r="V491" s="197">
        <v>1</v>
      </c>
      <c r="W491" s="90">
        <v>1</v>
      </c>
      <c r="X491" s="91">
        <v>0</v>
      </c>
      <c r="Y491" s="92">
        <v>1</v>
      </c>
      <c r="Z491" s="81">
        <v>2</v>
      </c>
      <c r="AA491" s="133">
        <f t="shared" si="541"/>
        <v>5</v>
      </c>
      <c r="AB491" s="71">
        <v>0</v>
      </c>
      <c r="AC491" s="136">
        <v>0</v>
      </c>
      <c r="AD491" s="197">
        <v>0</v>
      </c>
      <c r="AE491" s="90">
        <v>0</v>
      </c>
      <c r="AF491" s="91">
        <v>0</v>
      </c>
      <c r="AG491" s="92">
        <v>0</v>
      </c>
      <c r="AH491" s="81">
        <v>0</v>
      </c>
      <c r="AI491" s="133">
        <f t="shared" si="542"/>
        <v>0</v>
      </c>
      <c r="AJ491" s="71">
        <f>AC491/4*3</f>
        <v>0</v>
      </c>
      <c r="AK491" s="136"/>
      <c r="AL491" s="136"/>
      <c r="AM491" s="72"/>
      <c r="AN491" s="136"/>
      <c r="AO491" s="72"/>
      <c r="AP491" s="119"/>
      <c r="AQ491" s="119"/>
      <c r="AR491" s="161">
        <v>0</v>
      </c>
      <c r="AS491" s="162">
        <v>0</v>
      </c>
      <c r="AT491" s="163">
        <v>0</v>
      </c>
      <c r="AU491" s="119"/>
      <c r="AV491" s="136"/>
      <c r="AW491" s="119"/>
      <c r="AX491" s="138" t="s">
        <v>59</v>
      </c>
    </row>
    <row r="492" spans="1:50" s="77" customFormat="1" ht="37.5" x14ac:dyDescent="0.25">
      <c r="A492" s="166"/>
      <c r="B492" s="115" t="s">
        <v>224</v>
      </c>
      <c r="C492" s="115" t="s">
        <v>192</v>
      </c>
      <c r="D492" s="117" t="s">
        <v>106</v>
      </c>
      <c r="E492" s="117" t="s">
        <v>70</v>
      </c>
      <c r="F492" s="272"/>
      <c r="G492" s="119" t="s">
        <v>172</v>
      </c>
      <c r="H492" s="119">
        <v>20</v>
      </c>
      <c r="I492" s="197">
        <v>0</v>
      </c>
      <c r="J492" s="90">
        <v>0</v>
      </c>
      <c r="K492" s="91">
        <v>4</v>
      </c>
      <c r="L492" s="92">
        <v>1</v>
      </c>
      <c r="M492" s="81">
        <v>0</v>
      </c>
      <c r="N492" s="133">
        <f t="shared" si="548"/>
        <v>5</v>
      </c>
      <c r="O492" s="71">
        <v>15</v>
      </c>
      <c r="P492" s="71"/>
      <c r="Q492" s="119"/>
      <c r="R492" s="119" t="s">
        <v>51</v>
      </c>
      <c r="S492" s="120" t="s">
        <v>379</v>
      </c>
      <c r="T492" s="251"/>
      <c r="U492" s="136">
        <v>25</v>
      </c>
      <c r="V492" s="197">
        <v>0</v>
      </c>
      <c r="W492" s="90">
        <v>0</v>
      </c>
      <c r="X492" s="91">
        <v>4</v>
      </c>
      <c r="Y492" s="92">
        <v>1</v>
      </c>
      <c r="Z492" s="81">
        <v>0</v>
      </c>
      <c r="AA492" s="133">
        <f t="shared" si="541"/>
        <v>5</v>
      </c>
      <c r="AB492" s="71">
        <v>20</v>
      </c>
      <c r="AC492" s="136">
        <v>0</v>
      </c>
      <c r="AD492" s="197">
        <v>0</v>
      </c>
      <c r="AE492" s="90">
        <v>0</v>
      </c>
      <c r="AF492" s="91">
        <v>0</v>
      </c>
      <c r="AG492" s="92">
        <v>0</v>
      </c>
      <c r="AH492" s="81">
        <v>0</v>
      </c>
      <c r="AI492" s="133">
        <f t="shared" si="542"/>
        <v>0</v>
      </c>
      <c r="AJ492" s="71">
        <f>AC492/4*3</f>
        <v>0</v>
      </c>
      <c r="AK492" s="136"/>
      <c r="AL492" s="136"/>
      <c r="AM492" s="72"/>
      <c r="AN492" s="136"/>
      <c r="AO492" s="72"/>
      <c r="AP492" s="119"/>
      <c r="AQ492" s="119"/>
      <c r="AR492" s="161">
        <v>0</v>
      </c>
      <c r="AS492" s="162">
        <v>0</v>
      </c>
      <c r="AT492" s="163">
        <v>0</v>
      </c>
      <c r="AU492" s="119"/>
      <c r="AV492" s="136"/>
      <c r="AW492" s="119"/>
      <c r="AX492" s="138" t="s">
        <v>59</v>
      </c>
    </row>
    <row r="493" spans="1:50" s="77" customFormat="1" ht="36" x14ac:dyDescent="0.25">
      <c r="A493" s="166"/>
      <c r="B493" s="115" t="s">
        <v>224</v>
      </c>
      <c r="C493" s="115" t="s">
        <v>192</v>
      </c>
      <c r="D493" s="117" t="s">
        <v>106</v>
      </c>
      <c r="E493" s="117" t="s">
        <v>70</v>
      </c>
      <c r="F493" s="142" t="s">
        <v>61</v>
      </c>
      <c r="G493" s="155"/>
      <c r="H493" s="153">
        <f t="shared" ref="H493:O493" si="580">SUM(H486:H492)</f>
        <v>195</v>
      </c>
      <c r="I493" s="153">
        <f t="shared" si="580"/>
        <v>0</v>
      </c>
      <c r="J493" s="153">
        <f t="shared" si="580"/>
        <v>2</v>
      </c>
      <c r="K493" s="153">
        <f t="shared" si="580"/>
        <v>10</v>
      </c>
      <c r="L493" s="153">
        <f t="shared" si="580"/>
        <v>3</v>
      </c>
      <c r="M493" s="153">
        <f t="shared" si="580"/>
        <v>2</v>
      </c>
      <c r="N493" s="153">
        <f t="shared" si="548"/>
        <v>17</v>
      </c>
      <c r="O493" s="153">
        <f t="shared" si="580"/>
        <v>175</v>
      </c>
      <c r="P493" s="153"/>
      <c r="Q493" s="156"/>
      <c r="R493" s="129"/>
      <c r="S493" s="157"/>
      <c r="T493" s="158"/>
      <c r="U493" s="153">
        <f t="shared" ref="U493:AJ493" si="581">SUM(U486:U492)</f>
        <v>350</v>
      </c>
      <c r="V493" s="153">
        <f t="shared" si="581"/>
        <v>2</v>
      </c>
      <c r="W493" s="153">
        <f t="shared" si="581"/>
        <v>2</v>
      </c>
      <c r="X493" s="153">
        <f t="shared" si="581"/>
        <v>10</v>
      </c>
      <c r="Y493" s="153">
        <f t="shared" si="581"/>
        <v>3</v>
      </c>
      <c r="Z493" s="153">
        <f t="shared" si="581"/>
        <v>2</v>
      </c>
      <c r="AA493" s="153">
        <f t="shared" si="541"/>
        <v>19</v>
      </c>
      <c r="AB493" s="153">
        <f t="shared" si="581"/>
        <v>330</v>
      </c>
      <c r="AC493" s="153">
        <f t="shared" si="581"/>
        <v>100</v>
      </c>
      <c r="AD493" s="153">
        <f t="shared" si="581"/>
        <v>1</v>
      </c>
      <c r="AE493" s="153">
        <f t="shared" si="581"/>
        <v>1</v>
      </c>
      <c r="AF493" s="153">
        <f t="shared" si="581"/>
        <v>6</v>
      </c>
      <c r="AG493" s="153">
        <f t="shared" ref="AG493" si="582">SUM(AG486:AG492)</f>
        <v>0</v>
      </c>
      <c r="AH493" s="153">
        <f t="shared" si="581"/>
        <v>0</v>
      </c>
      <c r="AI493" s="153">
        <f t="shared" si="542"/>
        <v>8</v>
      </c>
      <c r="AJ493" s="153">
        <f t="shared" si="581"/>
        <v>90</v>
      </c>
      <c r="AK493" s="156"/>
      <c r="AL493" s="156"/>
      <c r="AM493" s="156"/>
      <c r="AN493" s="156"/>
      <c r="AO493" s="156"/>
      <c r="AP493" s="155"/>
      <c r="AQ493" s="153">
        <f>SUM(AQ486:AQ492)</f>
        <v>102</v>
      </c>
      <c r="AR493" s="153">
        <f>SUM(AR486:AR492)</f>
        <v>0</v>
      </c>
      <c r="AS493" s="153">
        <f>SUM(AS486:AS492)</f>
        <v>101.5</v>
      </c>
      <c r="AT493" s="153">
        <f>SUM(AT486:AT492)</f>
        <v>0</v>
      </c>
      <c r="AU493" s="129"/>
      <c r="AV493" s="156"/>
      <c r="AW493" s="155"/>
      <c r="AX493" s="155" t="s">
        <v>59</v>
      </c>
    </row>
    <row r="494" spans="1:50" s="77" customFormat="1" ht="36" x14ac:dyDescent="0.25">
      <c r="A494" s="166"/>
      <c r="B494" s="115" t="s">
        <v>224</v>
      </c>
      <c r="C494" s="115" t="s">
        <v>193</v>
      </c>
      <c r="D494" s="117" t="s">
        <v>106</v>
      </c>
      <c r="E494" s="117" t="s">
        <v>70</v>
      </c>
      <c r="F494" s="272" t="s">
        <v>49</v>
      </c>
      <c r="G494" s="119" t="s">
        <v>178</v>
      </c>
      <c r="H494" s="251">
        <v>75</v>
      </c>
      <c r="I494" s="238">
        <v>0</v>
      </c>
      <c r="J494" s="230">
        <v>0</v>
      </c>
      <c r="K494" s="224">
        <v>0</v>
      </c>
      <c r="L494" s="226">
        <v>1</v>
      </c>
      <c r="M494" s="232">
        <v>0</v>
      </c>
      <c r="N494" s="278">
        <f t="shared" si="548"/>
        <v>1</v>
      </c>
      <c r="O494" s="242">
        <v>75</v>
      </c>
      <c r="P494" s="71"/>
      <c r="Q494" s="251"/>
      <c r="R494" s="251" t="s">
        <v>51</v>
      </c>
      <c r="S494" s="276" t="s">
        <v>379</v>
      </c>
      <c r="T494" s="251" t="s">
        <v>53</v>
      </c>
      <c r="U494" s="251">
        <v>150</v>
      </c>
      <c r="V494" s="238">
        <v>0</v>
      </c>
      <c r="W494" s="230">
        <v>0</v>
      </c>
      <c r="X494" s="224">
        <v>0</v>
      </c>
      <c r="Y494" s="226">
        <v>1</v>
      </c>
      <c r="Z494" s="232">
        <v>0</v>
      </c>
      <c r="AA494" s="278">
        <f t="shared" si="541"/>
        <v>1</v>
      </c>
      <c r="AB494" s="242">
        <v>150</v>
      </c>
      <c r="AC494" s="251">
        <v>20</v>
      </c>
      <c r="AD494" s="238">
        <v>0</v>
      </c>
      <c r="AE494" s="230">
        <v>0</v>
      </c>
      <c r="AF494" s="224">
        <v>0</v>
      </c>
      <c r="AG494" s="226">
        <v>0</v>
      </c>
      <c r="AH494" s="232">
        <v>0</v>
      </c>
      <c r="AI494" s="278">
        <f t="shared" si="542"/>
        <v>0</v>
      </c>
      <c r="AJ494" s="242">
        <v>20</v>
      </c>
      <c r="AK494" s="251"/>
      <c r="AL494" s="251"/>
      <c r="AM494" s="218"/>
      <c r="AN494" s="251"/>
      <c r="AO494" s="46"/>
      <c r="AP494" s="119" t="s">
        <v>58</v>
      </c>
      <c r="AQ494" s="119">
        <v>20</v>
      </c>
      <c r="AR494" s="161">
        <v>0</v>
      </c>
      <c r="AS494" s="162">
        <v>20</v>
      </c>
      <c r="AT494" s="163">
        <v>0</v>
      </c>
      <c r="AU494" s="251"/>
      <c r="AV494" s="251"/>
      <c r="AW494" s="251"/>
      <c r="AX494" s="138" t="s">
        <v>59</v>
      </c>
    </row>
    <row r="495" spans="1:50" s="9" customFormat="1" ht="36" x14ac:dyDescent="0.25">
      <c r="A495" s="166"/>
      <c r="B495" s="115" t="s">
        <v>224</v>
      </c>
      <c r="C495" s="115" t="s">
        <v>193</v>
      </c>
      <c r="D495" s="117" t="s">
        <v>106</v>
      </c>
      <c r="E495" s="117" t="s">
        <v>70</v>
      </c>
      <c r="F495" s="272"/>
      <c r="G495" s="119" t="s">
        <v>178</v>
      </c>
      <c r="H495" s="251"/>
      <c r="I495" s="239"/>
      <c r="J495" s="231"/>
      <c r="K495" s="225"/>
      <c r="L495" s="227"/>
      <c r="M495" s="233"/>
      <c r="N495" s="278">
        <f t="shared" si="548"/>
        <v>0</v>
      </c>
      <c r="O495" s="242"/>
      <c r="P495" s="71"/>
      <c r="Q495" s="251"/>
      <c r="R495" s="251"/>
      <c r="S495" s="276"/>
      <c r="T495" s="251"/>
      <c r="U495" s="251"/>
      <c r="V495" s="239"/>
      <c r="W495" s="231"/>
      <c r="X495" s="225"/>
      <c r="Y495" s="227"/>
      <c r="Z495" s="233"/>
      <c r="AA495" s="278">
        <f t="shared" si="541"/>
        <v>0</v>
      </c>
      <c r="AB495" s="242"/>
      <c r="AC495" s="251"/>
      <c r="AD495" s="239"/>
      <c r="AE495" s="231"/>
      <c r="AF495" s="225"/>
      <c r="AG495" s="227"/>
      <c r="AH495" s="233"/>
      <c r="AI495" s="278">
        <f t="shared" si="542"/>
        <v>0</v>
      </c>
      <c r="AJ495" s="242"/>
      <c r="AK495" s="251"/>
      <c r="AL495" s="251"/>
      <c r="AM495" s="218"/>
      <c r="AN495" s="251"/>
      <c r="AO495" s="46"/>
      <c r="AP495" s="119" t="s">
        <v>127</v>
      </c>
      <c r="AQ495" s="119">
        <v>1</v>
      </c>
      <c r="AR495" s="161">
        <v>0</v>
      </c>
      <c r="AS495" s="162">
        <v>1</v>
      </c>
      <c r="AT495" s="163">
        <v>0</v>
      </c>
      <c r="AU495" s="251"/>
      <c r="AV495" s="251"/>
      <c r="AW495" s="251"/>
      <c r="AX495" s="138" t="s">
        <v>59</v>
      </c>
    </row>
    <row r="496" spans="1:50" s="77" customFormat="1" ht="36" customHeight="1" x14ac:dyDescent="0.25">
      <c r="A496" s="166"/>
      <c r="B496" s="115" t="s">
        <v>224</v>
      </c>
      <c r="C496" s="115" t="s">
        <v>193</v>
      </c>
      <c r="D496" s="117" t="s">
        <v>106</v>
      </c>
      <c r="E496" s="117" t="s">
        <v>70</v>
      </c>
      <c r="F496" s="272"/>
      <c r="G496" s="119" t="s">
        <v>227</v>
      </c>
      <c r="H496" s="251">
        <v>100</v>
      </c>
      <c r="I496" s="238">
        <v>0</v>
      </c>
      <c r="J496" s="230">
        <v>1</v>
      </c>
      <c r="K496" s="224">
        <v>6</v>
      </c>
      <c r="L496" s="226">
        <v>0</v>
      </c>
      <c r="M496" s="232">
        <v>0</v>
      </c>
      <c r="N496" s="278">
        <f t="shared" si="548"/>
        <v>7</v>
      </c>
      <c r="O496" s="242">
        <v>90</v>
      </c>
      <c r="P496" s="71"/>
      <c r="Q496" s="251"/>
      <c r="R496" s="251" t="s">
        <v>51</v>
      </c>
      <c r="S496" s="276" t="s">
        <v>379</v>
      </c>
      <c r="T496" s="251"/>
      <c r="U496" s="251">
        <v>150</v>
      </c>
      <c r="V496" s="238">
        <v>1</v>
      </c>
      <c r="W496" s="230">
        <v>1</v>
      </c>
      <c r="X496" s="224">
        <v>6</v>
      </c>
      <c r="Y496" s="226">
        <v>0</v>
      </c>
      <c r="Z496" s="232">
        <v>0</v>
      </c>
      <c r="AA496" s="278">
        <f t="shared" si="541"/>
        <v>8</v>
      </c>
      <c r="AB496" s="242">
        <v>140</v>
      </c>
      <c r="AC496" s="251">
        <v>15</v>
      </c>
      <c r="AD496" s="238">
        <v>1</v>
      </c>
      <c r="AE496" s="230">
        <v>1</v>
      </c>
      <c r="AF496" s="224">
        <v>2</v>
      </c>
      <c r="AG496" s="226">
        <v>0</v>
      </c>
      <c r="AH496" s="232">
        <v>0</v>
      </c>
      <c r="AI496" s="278">
        <f t="shared" si="542"/>
        <v>4</v>
      </c>
      <c r="AJ496" s="242">
        <v>10</v>
      </c>
      <c r="AK496" s="251"/>
      <c r="AL496" s="251"/>
      <c r="AM496" s="218"/>
      <c r="AN496" s="251"/>
      <c r="AO496" s="46"/>
      <c r="AP496" s="119" t="s">
        <v>58</v>
      </c>
      <c r="AQ496" s="119">
        <v>15</v>
      </c>
      <c r="AR496" s="161">
        <v>0</v>
      </c>
      <c r="AS496" s="162">
        <v>15</v>
      </c>
      <c r="AT496" s="163">
        <v>0</v>
      </c>
      <c r="AU496" s="251"/>
      <c r="AV496" s="251"/>
      <c r="AW496" s="251"/>
      <c r="AX496" s="138" t="s">
        <v>59</v>
      </c>
    </row>
    <row r="497" spans="1:286" s="77" customFormat="1" ht="36" x14ac:dyDescent="0.25">
      <c r="A497" s="166"/>
      <c r="B497" s="115" t="s">
        <v>224</v>
      </c>
      <c r="C497" s="115" t="s">
        <v>193</v>
      </c>
      <c r="D497" s="117" t="s">
        <v>106</v>
      </c>
      <c r="E497" s="117" t="s">
        <v>70</v>
      </c>
      <c r="F497" s="272"/>
      <c r="G497" s="119" t="s">
        <v>227</v>
      </c>
      <c r="H497" s="251"/>
      <c r="I497" s="239"/>
      <c r="J497" s="231"/>
      <c r="K497" s="225"/>
      <c r="L497" s="227"/>
      <c r="M497" s="233"/>
      <c r="N497" s="278">
        <f t="shared" si="548"/>
        <v>0</v>
      </c>
      <c r="O497" s="242"/>
      <c r="P497" s="71"/>
      <c r="Q497" s="251"/>
      <c r="R497" s="251"/>
      <c r="S497" s="276"/>
      <c r="T497" s="251"/>
      <c r="U497" s="251"/>
      <c r="V497" s="239"/>
      <c r="W497" s="231"/>
      <c r="X497" s="225"/>
      <c r="Y497" s="227"/>
      <c r="Z497" s="233"/>
      <c r="AA497" s="278">
        <f t="shared" si="541"/>
        <v>0</v>
      </c>
      <c r="AB497" s="242"/>
      <c r="AC497" s="251"/>
      <c r="AD497" s="239"/>
      <c r="AE497" s="231"/>
      <c r="AF497" s="225"/>
      <c r="AG497" s="227"/>
      <c r="AH497" s="233"/>
      <c r="AI497" s="278">
        <f t="shared" si="542"/>
        <v>0</v>
      </c>
      <c r="AJ497" s="242"/>
      <c r="AK497" s="251"/>
      <c r="AL497" s="251"/>
      <c r="AM497" s="218"/>
      <c r="AN497" s="251"/>
      <c r="AO497" s="46"/>
      <c r="AP497" s="119" t="s">
        <v>127</v>
      </c>
      <c r="AQ497" s="119">
        <v>1</v>
      </c>
      <c r="AR497" s="161">
        <v>0</v>
      </c>
      <c r="AS497" s="162">
        <v>1</v>
      </c>
      <c r="AT497" s="163">
        <v>0</v>
      </c>
      <c r="AU497" s="251"/>
      <c r="AV497" s="251"/>
      <c r="AW497" s="251"/>
      <c r="AX497" s="138" t="s">
        <v>59</v>
      </c>
    </row>
    <row r="498" spans="1:286" s="77" customFormat="1" ht="37.5" x14ac:dyDescent="0.25">
      <c r="A498" s="166"/>
      <c r="B498" s="115" t="s">
        <v>224</v>
      </c>
      <c r="C498" s="115" t="s">
        <v>193</v>
      </c>
      <c r="D498" s="117" t="s">
        <v>106</v>
      </c>
      <c r="E498" s="117" t="s">
        <v>70</v>
      </c>
      <c r="F498" s="272"/>
      <c r="G498" s="119" t="s">
        <v>228</v>
      </c>
      <c r="H498" s="119">
        <v>10</v>
      </c>
      <c r="I498" s="197">
        <v>0</v>
      </c>
      <c r="J498" s="90">
        <v>0</v>
      </c>
      <c r="K498" s="91">
        <v>0</v>
      </c>
      <c r="L498" s="92">
        <v>0</v>
      </c>
      <c r="M498" s="81">
        <v>0</v>
      </c>
      <c r="N498" s="133">
        <f t="shared" si="548"/>
        <v>0</v>
      </c>
      <c r="O498" s="71">
        <v>10</v>
      </c>
      <c r="P498" s="71"/>
      <c r="Q498" s="119"/>
      <c r="R498" s="119" t="s">
        <v>51</v>
      </c>
      <c r="S498" s="120" t="s">
        <v>379</v>
      </c>
      <c r="T498" s="251"/>
      <c r="U498" s="136">
        <v>20</v>
      </c>
      <c r="V498" s="197">
        <v>0</v>
      </c>
      <c r="W498" s="90">
        <v>0</v>
      </c>
      <c r="X498" s="91">
        <v>0</v>
      </c>
      <c r="Y498" s="92">
        <v>0</v>
      </c>
      <c r="Z498" s="81">
        <v>0</v>
      </c>
      <c r="AA498" s="133">
        <f t="shared" si="541"/>
        <v>0</v>
      </c>
      <c r="AB498" s="71">
        <v>20</v>
      </c>
      <c r="AC498" s="136">
        <v>0</v>
      </c>
      <c r="AD498" s="197">
        <v>0</v>
      </c>
      <c r="AE498" s="90">
        <v>0</v>
      </c>
      <c r="AF498" s="91">
        <v>0</v>
      </c>
      <c r="AG498" s="92">
        <v>0</v>
      </c>
      <c r="AH498" s="81">
        <v>0</v>
      </c>
      <c r="AI498" s="133">
        <f t="shared" si="542"/>
        <v>0</v>
      </c>
      <c r="AJ498" s="71">
        <v>0</v>
      </c>
      <c r="AK498" s="136"/>
      <c r="AL498" s="136"/>
      <c r="AM498" s="72"/>
      <c r="AN498" s="136"/>
      <c r="AO498" s="72"/>
      <c r="AP498" s="119"/>
      <c r="AQ498" s="119"/>
      <c r="AR498" s="161">
        <v>0</v>
      </c>
      <c r="AS498" s="162">
        <v>0</v>
      </c>
      <c r="AT498" s="163">
        <v>0</v>
      </c>
      <c r="AU498" s="119"/>
      <c r="AV498" s="136"/>
      <c r="AW498" s="119"/>
      <c r="AX498" s="138" t="s">
        <v>59</v>
      </c>
    </row>
    <row r="499" spans="1:286" s="77" customFormat="1" ht="37.5" x14ac:dyDescent="0.25">
      <c r="A499" s="166"/>
      <c r="B499" s="115" t="s">
        <v>224</v>
      </c>
      <c r="C499" s="115" t="s">
        <v>193</v>
      </c>
      <c r="D499" s="117" t="s">
        <v>106</v>
      </c>
      <c r="E499" s="117" t="s">
        <v>70</v>
      </c>
      <c r="F499" s="272"/>
      <c r="G499" s="119" t="s">
        <v>229</v>
      </c>
      <c r="H499" s="119">
        <v>5</v>
      </c>
      <c r="I499" s="197">
        <v>0</v>
      </c>
      <c r="J499" s="90">
        <v>1</v>
      </c>
      <c r="K499" s="91">
        <v>0</v>
      </c>
      <c r="L499" s="92">
        <v>1</v>
      </c>
      <c r="M499" s="81">
        <v>2</v>
      </c>
      <c r="N499" s="133">
        <f t="shared" si="548"/>
        <v>4</v>
      </c>
      <c r="O499" s="71">
        <v>0</v>
      </c>
      <c r="P499" s="71"/>
      <c r="Q499" s="119"/>
      <c r="R499" s="119" t="s">
        <v>51</v>
      </c>
      <c r="S499" s="120" t="s">
        <v>379</v>
      </c>
      <c r="T499" s="251"/>
      <c r="U499" s="136">
        <v>5</v>
      </c>
      <c r="V499" s="197">
        <v>1</v>
      </c>
      <c r="W499" s="90">
        <v>1</v>
      </c>
      <c r="X499" s="91">
        <v>0</v>
      </c>
      <c r="Y499" s="92">
        <v>1</v>
      </c>
      <c r="Z499" s="81">
        <v>2</v>
      </c>
      <c r="AA499" s="133">
        <f t="shared" si="541"/>
        <v>5</v>
      </c>
      <c r="AB499" s="71">
        <v>0</v>
      </c>
      <c r="AC499" s="136">
        <v>0</v>
      </c>
      <c r="AD499" s="197">
        <v>0</v>
      </c>
      <c r="AE499" s="90">
        <v>0</v>
      </c>
      <c r="AF499" s="91">
        <v>0</v>
      </c>
      <c r="AG499" s="92">
        <v>0</v>
      </c>
      <c r="AH499" s="81">
        <v>0</v>
      </c>
      <c r="AI499" s="133">
        <f t="shared" si="542"/>
        <v>0</v>
      </c>
      <c r="AJ499" s="71">
        <f>AC499/4*3</f>
        <v>0</v>
      </c>
      <c r="AK499" s="136"/>
      <c r="AL499" s="136"/>
      <c r="AM499" s="72"/>
      <c r="AN499" s="136"/>
      <c r="AO499" s="72"/>
      <c r="AP499" s="119"/>
      <c r="AQ499" s="119"/>
      <c r="AR499" s="161">
        <v>0</v>
      </c>
      <c r="AS499" s="162">
        <v>0</v>
      </c>
      <c r="AT499" s="163">
        <v>0</v>
      </c>
      <c r="AU499" s="119"/>
      <c r="AV499" s="136"/>
      <c r="AW499" s="119"/>
      <c r="AX499" s="138" t="s">
        <v>59</v>
      </c>
    </row>
    <row r="500" spans="1:286" s="77" customFormat="1" ht="37.5" x14ac:dyDescent="0.25">
      <c r="A500" s="166"/>
      <c r="B500" s="115" t="s">
        <v>224</v>
      </c>
      <c r="C500" s="115" t="s">
        <v>193</v>
      </c>
      <c r="D500" s="117" t="s">
        <v>106</v>
      </c>
      <c r="E500" s="117" t="s">
        <v>70</v>
      </c>
      <c r="F500" s="272"/>
      <c r="G500" s="119" t="s">
        <v>172</v>
      </c>
      <c r="H500" s="119">
        <v>10</v>
      </c>
      <c r="I500" s="197">
        <v>0</v>
      </c>
      <c r="J500" s="90">
        <v>0</v>
      </c>
      <c r="K500" s="91">
        <v>4</v>
      </c>
      <c r="L500" s="92">
        <v>1</v>
      </c>
      <c r="M500" s="81">
        <v>0</v>
      </c>
      <c r="N500" s="133">
        <f t="shared" si="548"/>
        <v>5</v>
      </c>
      <c r="O500" s="71">
        <v>5</v>
      </c>
      <c r="P500" s="71"/>
      <c r="Q500" s="119"/>
      <c r="R500" s="119" t="s">
        <v>51</v>
      </c>
      <c r="S500" s="120" t="s">
        <v>379</v>
      </c>
      <c r="T500" s="251"/>
      <c r="U500" s="136">
        <v>25</v>
      </c>
      <c r="V500" s="197">
        <v>0</v>
      </c>
      <c r="W500" s="90">
        <v>0</v>
      </c>
      <c r="X500" s="91">
        <v>4</v>
      </c>
      <c r="Y500" s="92">
        <v>1</v>
      </c>
      <c r="Z500" s="81">
        <v>0</v>
      </c>
      <c r="AA500" s="133">
        <f t="shared" si="541"/>
        <v>5</v>
      </c>
      <c r="AB500" s="71">
        <v>20</v>
      </c>
      <c r="AC500" s="136">
        <v>5</v>
      </c>
      <c r="AD500" s="197">
        <v>0</v>
      </c>
      <c r="AE500" s="90">
        <v>0</v>
      </c>
      <c r="AF500" s="91">
        <v>0</v>
      </c>
      <c r="AG500" s="92">
        <v>0</v>
      </c>
      <c r="AH500" s="81">
        <v>0</v>
      </c>
      <c r="AI500" s="133">
        <f t="shared" si="542"/>
        <v>0</v>
      </c>
      <c r="AJ500" s="71">
        <f>AC500/4*3</f>
        <v>3.75</v>
      </c>
      <c r="AK500" s="136"/>
      <c r="AL500" s="136"/>
      <c r="AM500" s="72"/>
      <c r="AN500" s="136"/>
      <c r="AO500" s="72"/>
      <c r="AP500" s="119" t="s">
        <v>380</v>
      </c>
      <c r="AQ500" s="119">
        <v>5</v>
      </c>
      <c r="AR500" s="161">
        <v>0</v>
      </c>
      <c r="AS500" s="162">
        <v>0</v>
      </c>
      <c r="AT500" s="163">
        <v>5</v>
      </c>
      <c r="AU500" s="119"/>
      <c r="AV500" s="136"/>
      <c r="AW500" s="119"/>
      <c r="AX500" s="138" t="s">
        <v>59</v>
      </c>
    </row>
    <row r="501" spans="1:286" s="77" customFormat="1" ht="36" x14ac:dyDescent="0.25">
      <c r="A501" s="166"/>
      <c r="B501" s="115" t="s">
        <v>224</v>
      </c>
      <c r="C501" s="115" t="s">
        <v>193</v>
      </c>
      <c r="D501" s="117" t="s">
        <v>106</v>
      </c>
      <c r="E501" s="117" t="s">
        <v>70</v>
      </c>
      <c r="F501" s="142" t="s">
        <v>61</v>
      </c>
      <c r="G501" s="155"/>
      <c r="H501" s="153">
        <f t="shared" ref="H501:O501" si="583">SUM(H494:H500)</f>
        <v>200</v>
      </c>
      <c r="I501" s="153">
        <f t="shared" si="583"/>
        <v>0</v>
      </c>
      <c r="J501" s="153">
        <f t="shared" si="583"/>
        <v>2</v>
      </c>
      <c r="K501" s="153">
        <f t="shared" si="583"/>
        <v>10</v>
      </c>
      <c r="L501" s="153">
        <f t="shared" si="583"/>
        <v>3</v>
      </c>
      <c r="M501" s="153">
        <f t="shared" si="583"/>
        <v>2</v>
      </c>
      <c r="N501" s="153">
        <f t="shared" si="548"/>
        <v>17</v>
      </c>
      <c r="O501" s="153">
        <f t="shared" si="583"/>
        <v>180</v>
      </c>
      <c r="P501" s="153"/>
      <c r="Q501" s="156"/>
      <c r="R501" s="129"/>
      <c r="S501" s="157"/>
      <c r="T501" s="158"/>
      <c r="U501" s="153">
        <f t="shared" ref="U501:AJ501" si="584">SUM(U494:U500)</f>
        <v>350</v>
      </c>
      <c r="V501" s="153">
        <f t="shared" si="584"/>
        <v>2</v>
      </c>
      <c r="W501" s="153">
        <f t="shared" si="584"/>
        <v>2</v>
      </c>
      <c r="X501" s="153">
        <f t="shared" si="584"/>
        <v>10</v>
      </c>
      <c r="Y501" s="153">
        <f t="shared" si="584"/>
        <v>3</v>
      </c>
      <c r="Z501" s="153">
        <f t="shared" si="584"/>
        <v>2</v>
      </c>
      <c r="AA501" s="153">
        <f t="shared" si="541"/>
        <v>19</v>
      </c>
      <c r="AB501" s="153">
        <f t="shared" si="584"/>
        <v>330</v>
      </c>
      <c r="AC501" s="153">
        <f t="shared" si="584"/>
        <v>40</v>
      </c>
      <c r="AD501" s="153">
        <f t="shared" si="584"/>
        <v>1</v>
      </c>
      <c r="AE501" s="153">
        <f t="shared" si="584"/>
        <v>1</v>
      </c>
      <c r="AF501" s="153">
        <f t="shared" si="584"/>
        <v>2</v>
      </c>
      <c r="AG501" s="153">
        <f t="shared" ref="AG501" si="585">SUM(AG494:AG500)</f>
        <v>0</v>
      </c>
      <c r="AH501" s="153">
        <f t="shared" si="584"/>
        <v>0</v>
      </c>
      <c r="AI501" s="153">
        <f t="shared" si="542"/>
        <v>4</v>
      </c>
      <c r="AJ501" s="153">
        <f t="shared" si="584"/>
        <v>33.75</v>
      </c>
      <c r="AK501" s="156"/>
      <c r="AL501" s="156"/>
      <c r="AM501" s="156"/>
      <c r="AN501" s="156"/>
      <c r="AO501" s="156"/>
      <c r="AP501" s="155"/>
      <c r="AQ501" s="153">
        <f>SUM(AQ494:AQ500)</f>
        <v>42</v>
      </c>
      <c r="AR501" s="153">
        <f>SUM(AR494:AR500)</f>
        <v>0</v>
      </c>
      <c r="AS501" s="153">
        <f>SUM(AS494:AS500)</f>
        <v>37</v>
      </c>
      <c r="AT501" s="153">
        <f>SUM(AT494:AT500)</f>
        <v>5</v>
      </c>
      <c r="AU501" s="129"/>
      <c r="AV501" s="156"/>
      <c r="AW501" s="155"/>
      <c r="AX501" s="155" t="s">
        <v>59</v>
      </c>
    </row>
    <row r="502" spans="1:286" s="77" customFormat="1" ht="72" x14ac:dyDescent="0.25">
      <c r="A502" s="166"/>
      <c r="B502" s="115" t="s">
        <v>224</v>
      </c>
      <c r="C502" s="115" t="s">
        <v>381</v>
      </c>
      <c r="D502" s="117" t="s">
        <v>106</v>
      </c>
      <c r="E502" s="117" t="s">
        <v>75</v>
      </c>
      <c r="F502" s="267"/>
      <c r="G502" s="147" t="s">
        <v>178</v>
      </c>
      <c r="H502" s="159">
        <v>5</v>
      </c>
      <c r="I502" s="197">
        <v>0</v>
      </c>
      <c r="J502" s="90">
        <v>0</v>
      </c>
      <c r="K502" s="91">
        <v>0</v>
      </c>
      <c r="L502" s="92">
        <v>0</v>
      </c>
      <c r="M502" s="81">
        <v>0</v>
      </c>
      <c r="N502" s="133">
        <f t="shared" si="548"/>
        <v>0</v>
      </c>
      <c r="O502" s="71">
        <v>5</v>
      </c>
      <c r="P502" s="71"/>
      <c r="Q502" s="159"/>
      <c r="R502" s="147" t="s">
        <v>51</v>
      </c>
      <c r="S502" s="160" t="s">
        <v>382</v>
      </c>
      <c r="T502" s="147" t="s">
        <v>77</v>
      </c>
      <c r="U502" s="159">
        <v>5</v>
      </c>
      <c r="V502" s="197">
        <v>0</v>
      </c>
      <c r="W502" s="90">
        <v>0</v>
      </c>
      <c r="X502" s="91">
        <v>0</v>
      </c>
      <c r="Y502" s="92">
        <v>0</v>
      </c>
      <c r="Z502" s="81">
        <v>0</v>
      </c>
      <c r="AA502" s="133">
        <f t="shared" si="541"/>
        <v>0</v>
      </c>
      <c r="AB502" s="71">
        <v>5</v>
      </c>
      <c r="AC502" s="159">
        <v>0</v>
      </c>
      <c r="AD502" s="197">
        <v>0</v>
      </c>
      <c r="AE502" s="90">
        <v>0</v>
      </c>
      <c r="AF502" s="91">
        <v>0</v>
      </c>
      <c r="AG502" s="92">
        <v>0</v>
      </c>
      <c r="AH502" s="81">
        <v>0</v>
      </c>
      <c r="AI502" s="133">
        <f t="shared" si="542"/>
        <v>0</v>
      </c>
      <c r="AJ502" s="71">
        <v>0</v>
      </c>
      <c r="AK502" s="159"/>
      <c r="AL502" s="159"/>
      <c r="AM502" s="72"/>
      <c r="AN502" s="159"/>
      <c r="AO502" s="72"/>
      <c r="AP502" s="147" t="s">
        <v>58</v>
      </c>
      <c r="AQ502" s="159">
        <v>0</v>
      </c>
      <c r="AR502" s="159">
        <v>0</v>
      </c>
      <c r="AS502" s="159">
        <v>0</v>
      </c>
      <c r="AT502" s="159">
        <v>0</v>
      </c>
      <c r="AU502" s="159"/>
      <c r="AV502" s="159"/>
      <c r="AW502" s="159"/>
      <c r="AX502" s="165" t="s">
        <v>108</v>
      </c>
    </row>
    <row r="503" spans="1:286" s="77" customFormat="1" ht="72" x14ac:dyDescent="0.25">
      <c r="A503" s="166"/>
      <c r="B503" s="115" t="s">
        <v>224</v>
      </c>
      <c r="C503" s="115" t="s">
        <v>381</v>
      </c>
      <c r="D503" s="117" t="s">
        <v>106</v>
      </c>
      <c r="E503" s="117" t="s">
        <v>75</v>
      </c>
      <c r="F503" s="268"/>
      <c r="G503" s="147" t="s">
        <v>227</v>
      </c>
      <c r="H503" s="159">
        <v>5</v>
      </c>
      <c r="I503" s="197">
        <v>0</v>
      </c>
      <c r="J503" s="90">
        <v>0</v>
      </c>
      <c r="K503" s="91">
        <v>0</v>
      </c>
      <c r="L503" s="92">
        <v>0</v>
      </c>
      <c r="M503" s="81">
        <v>0</v>
      </c>
      <c r="N503" s="133">
        <f t="shared" si="548"/>
        <v>0</v>
      </c>
      <c r="O503" s="71">
        <v>5</v>
      </c>
      <c r="P503" s="71"/>
      <c r="Q503" s="159"/>
      <c r="R503" s="147" t="s">
        <v>51</v>
      </c>
      <c r="S503" s="160" t="s">
        <v>382</v>
      </c>
      <c r="T503" s="147" t="s">
        <v>77</v>
      </c>
      <c r="U503" s="159">
        <v>5</v>
      </c>
      <c r="V503" s="197">
        <v>0</v>
      </c>
      <c r="W503" s="90">
        <v>0</v>
      </c>
      <c r="X503" s="91">
        <v>0</v>
      </c>
      <c r="Y503" s="92">
        <v>0</v>
      </c>
      <c r="Z503" s="81">
        <v>0</v>
      </c>
      <c r="AA503" s="133">
        <f t="shared" si="541"/>
        <v>0</v>
      </c>
      <c r="AB503" s="71">
        <v>5</v>
      </c>
      <c r="AC503" s="159">
        <v>0</v>
      </c>
      <c r="AD503" s="197">
        <v>0</v>
      </c>
      <c r="AE503" s="90">
        <v>0</v>
      </c>
      <c r="AF503" s="91">
        <v>0</v>
      </c>
      <c r="AG503" s="92">
        <v>0</v>
      </c>
      <c r="AH503" s="81">
        <v>0</v>
      </c>
      <c r="AI503" s="133">
        <f t="shared" si="542"/>
        <v>0</v>
      </c>
      <c r="AJ503" s="71">
        <v>0</v>
      </c>
      <c r="AK503" s="159"/>
      <c r="AL503" s="159"/>
      <c r="AM503" s="72"/>
      <c r="AN503" s="159"/>
      <c r="AO503" s="72"/>
      <c r="AP503" s="147"/>
      <c r="AQ503" s="159">
        <v>0</v>
      </c>
      <c r="AR503" s="159">
        <v>0</v>
      </c>
      <c r="AS503" s="159">
        <v>0</v>
      </c>
      <c r="AT503" s="159">
        <v>0</v>
      </c>
      <c r="AU503" s="159"/>
      <c r="AV503" s="159"/>
      <c r="AW503" s="159"/>
      <c r="AX503" s="165" t="s">
        <v>108</v>
      </c>
    </row>
    <row r="504" spans="1:286" s="77" customFormat="1" ht="72" x14ac:dyDescent="0.25">
      <c r="A504" s="166"/>
      <c r="B504" s="115" t="s">
        <v>224</v>
      </c>
      <c r="C504" s="115" t="s">
        <v>381</v>
      </c>
      <c r="D504" s="117" t="s">
        <v>106</v>
      </c>
      <c r="E504" s="117" t="s">
        <v>75</v>
      </c>
      <c r="F504" s="268"/>
      <c r="G504" s="147" t="s">
        <v>237</v>
      </c>
      <c r="H504" s="159">
        <v>5</v>
      </c>
      <c r="I504" s="197">
        <v>0</v>
      </c>
      <c r="J504" s="90">
        <v>0</v>
      </c>
      <c r="K504" s="91">
        <v>0</v>
      </c>
      <c r="L504" s="92">
        <v>0</v>
      </c>
      <c r="M504" s="81">
        <v>0</v>
      </c>
      <c r="N504" s="133">
        <f t="shared" si="548"/>
        <v>0</v>
      </c>
      <c r="O504" s="71">
        <v>5</v>
      </c>
      <c r="P504" s="71"/>
      <c r="Q504" s="159"/>
      <c r="R504" s="147" t="s">
        <v>51</v>
      </c>
      <c r="S504" s="160" t="s">
        <v>383</v>
      </c>
      <c r="T504" s="147" t="s">
        <v>77</v>
      </c>
      <c r="U504" s="159">
        <v>5</v>
      </c>
      <c r="V504" s="197">
        <v>0</v>
      </c>
      <c r="W504" s="90">
        <v>0</v>
      </c>
      <c r="X504" s="91">
        <v>0</v>
      </c>
      <c r="Y504" s="92">
        <v>0</v>
      </c>
      <c r="Z504" s="81">
        <v>0</v>
      </c>
      <c r="AA504" s="133">
        <f t="shared" si="541"/>
        <v>0</v>
      </c>
      <c r="AB504" s="71">
        <v>5</v>
      </c>
      <c r="AC504" s="159">
        <v>0</v>
      </c>
      <c r="AD504" s="197">
        <v>0</v>
      </c>
      <c r="AE504" s="90">
        <v>0</v>
      </c>
      <c r="AF504" s="91">
        <v>0</v>
      </c>
      <c r="AG504" s="92">
        <v>0</v>
      </c>
      <c r="AH504" s="81">
        <v>0</v>
      </c>
      <c r="AI504" s="133">
        <f t="shared" si="542"/>
        <v>0</v>
      </c>
      <c r="AJ504" s="71">
        <v>0</v>
      </c>
      <c r="AK504" s="159"/>
      <c r="AL504" s="159"/>
      <c r="AM504" s="72"/>
      <c r="AN504" s="159"/>
      <c r="AO504" s="72"/>
      <c r="AP504" s="147"/>
      <c r="AQ504" s="159">
        <v>0</v>
      </c>
      <c r="AR504" s="159">
        <v>0</v>
      </c>
      <c r="AS504" s="159">
        <v>0</v>
      </c>
      <c r="AT504" s="159">
        <v>0</v>
      </c>
      <c r="AU504" s="159"/>
      <c r="AV504" s="159"/>
      <c r="AW504" s="159"/>
      <c r="AX504" s="165" t="s">
        <v>108</v>
      </c>
    </row>
    <row r="505" spans="1:286" s="77" customFormat="1" ht="72" x14ac:dyDescent="0.25">
      <c r="A505" s="166"/>
      <c r="B505" s="115" t="s">
        <v>224</v>
      </c>
      <c r="C505" s="115" t="s">
        <v>381</v>
      </c>
      <c r="D505" s="117" t="s">
        <v>106</v>
      </c>
      <c r="E505" s="117" t="s">
        <v>75</v>
      </c>
      <c r="F505" s="269"/>
      <c r="G505" s="147" t="s">
        <v>228</v>
      </c>
      <c r="H505" s="159">
        <v>5</v>
      </c>
      <c r="I505" s="197">
        <v>0</v>
      </c>
      <c r="J505" s="90">
        <v>0</v>
      </c>
      <c r="K505" s="91">
        <v>0</v>
      </c>
      <c r="L505" s="92">
        <v>0</v>
      </c>
      <c r="M505" s="81">
        <v>0</v>
      </c>
      <c r="N505" s="133">
        <f t="shared" si="548"/>
        <v>0</v>
      </c>
      <c r="O505" s="71">
        <v>5</v>
      </c>
      <c r="P505" s="71"/>
      <c r="Q505" s="159"/>
      <c r="R505" s="147" t="s">
        <v>51</v>
      </c>
      <c r="S505" s="160" t="s">
        <v>383</v>
      </c>
      <c r="T505" s="147" t="s">
        <v>77</v>
      </c>
      <c r="U505" s="159">
        <v>5</v>
      </c>
      <c r="V505" s="197">
        <v>0</v>
      </c>
      <c r="W505" s="90">
        <v>0</v>
      </c>
      <c r="X505" s="91">
        <v>0</v>
      </c>
      <c r="Y505" s="92">
        <v>0</v>
      </c>
      <c r="Z505" s="81">
        <v>0</v>
      </c>
      <c r="AA505" s="133">
        <f t="shared" si="541"/>
        <v>0</v>
      </c>
      <c r="AB505" s="71">
        <v>5</v>
      </c>
      <c r="AC505" s="159">
        <v>0</v>
      </c>
      <c r="AD505" s="197">
        <v>0</v>
      </c>
      <c r="AE505" s="90">
        <v>0</v>
      </c>
      <c r="AF505" s="91">
        <v>0</v>
      </c>
      <c r="AG505" s="92">
        <v>0</v>
      </c>
      <c r="AH505" s="81">
        <v>0</v>
      </c>
      <c r="AI505" s="133">
        <f t="shared" si="542"/>
        <v>0</v>
      </c>
      <c r="AJ505" s="71">
        <v>0</v>
      </c>
      <c r="AK505" s="159"/>
      <c r="AL505" s="159"/>
      <c r="AM505" s="72"/>
      <c r="AN505" s="159"/>
      <c r="AO505" s="72"/>
      <c r="AP505" s="147"/>
      <c r="AQ505" s="159">
        <v>0</v>
      </c>
      <c r="AR505" s="159">
        <v>0</v>
      </c>
      <c r="AS505" s="159">
        <v>0</v>
      </c>
      <c r="AT505" s="159">
        <v>0</v>
      </c>
      <c r="AU505" s="159"/>
      <c r="AV505" s="159"/>
      <c r="AW505" s="159"/>
      <c r="AX505" s="165" t="s">
        <v>108</v>
      </c>
    </row>
    <row r="506" spans="1:286" s="77" customFormat="1" ht="36" x14ac:dyDescent="0.25">
      <c r="A506" s="166"/>
      <c r="B506" s="115" t="s">
        <v>224</v>
      </c>
      <c r="C506" s="115" t="s">
        <v>381</v>
      </c>
      <c r="D506" s="117" t="s">
        <v>106</v>
      </c>
      <c r="E506" s="117" t="s">
        <v>75</v>
      </c>
      <c r="F506" s="142" t="s">
        <v>61</v>
      </c>
      <c r="G506" s="155"/>
      <c r="H506" s="153">
        <f>SUBTOTAL(9,H502:H505)</f>
        <v>20</v>
      </c>
      <c r="I506" s="153">
        <f t="shared" ref="I506" si="586">SUBTOTAL(9,I502:I505)</f>
        <v>0</v>
      </c>
      <c r="J506" s="153">
        <f t="shared" ref="J506:O506" si="587">SUBTOTAL(9,J502:J505)</f>
        <v>0</v>
      </c>
      <c r="K506" s="153">
        <f t="shared" si="587"/>
        <v>0</v>
      </c>
      <c r="L506" s="153">
        <f t="shared" si="587"/>
        <v>0</v>
      </c>
      <c r="M506" s="153">
        <f t="shared" si="587"/>
        <v>0</v>
      </c>
      <c r="N506" s="153">
        <f t="shared" si="548"/>
        <v>0</v>
      </c>
      <c r="O506" s="153">
        <f t="shared" si="587"/>
        <v>20</v>
      </c>
      <c r="P506" s="153"/>
      <c r="Q506" s="156"/>
      <c r="R506" s="129"/>
      <c r="S506" s="157"/>
      <c r="T506" s="158"/>
      <c r="U506" s="153">
        <f>SUBTOTAL(9,U502:U505)</f>
        <v>20</v>
      </c>
      <c r="V506" s="153">
        <f t="shared" ref="V506" si="588">SUBTOTAL(9,V502:V505)</f>
        <v>0</v>
      </c>
      <c r="W506" s="153">
        <f t="shared" ref="W506:AJ506" si="589">SUBTOTAL(9,W502:W505)</f>
        <v>0</v>
      </c>
      <c r="X506" s="153">
        <f t="shared" si="589"/>
        <v>0</v>
      </c>
      <c r="Y506" s="153">
        <f t="shared" si="589"/>
        <v>0</v>
      </c>
      <c r="Z506" s="153">
        <f t="shared" si="589"/>
        <v>0</v>
      </c>
      <c r="AA506" s="153">
        <f t="shared" si="541"/>
        <v>0</v>
      </c>
      <c r="AB506" s="153">
        <f t="shared" si="589"/>
        <v>20</v>
      </c>
      <c r="AC506" s="153">
        <f t="shared" si="589"/>
        <v>0</v>
      </c>
      <c r="AD506" s="153">
        <f t="shared" si="589"/>
        <v>0</v>
      </c>
      <c r="AE506" s="153">
        <f t="shared" si="589"/>
        <v>0</v>
      </c>
      <c r="AF506" s="153">
        <f t="shared" si="589"/>
        <v>0</v>
      </c>
      <c r="AG506" s="153">
        <f t="shared" ref="AG506" si="590">SUBTOTAL(9,AG502:AG505)</f>
        <v>0</v>
      </c>
      <c r="AH506" s="153">
        <f t="shared" si="589"/>
        <v>0</v>
      </c>
      <c r="AI506" s="153">
        <f t="shared" si="542"/>
        <v>0</v>
      </c>
      <c r="AJ506" s="153">
        <f t="shared" si="589"/>
        <v>0</v>
      </c>
      <c r="AK506" s="156"/>
      <c r="AL506" s="156"/>
      <c r="AM506" s="156"/>
      <c r="AN506" s="156"/>
      <c r="AO506" s="156"/>
      <c r="AP506" s="155"/>
      <c r="AQ506" s="153"/>
      <c r="AR506" s="153"/>
      <c r="AS506" s="153"/>
      <c r="AT506" s="153"/>
      <c r="AU506" s="129"/>
      <c r="AV506" s="156"/>
      <c r="AW506" s="155"/>
      <c r="AX506" s="155" t="s">
        <v>108</v>
      </c>
    </row>
    <row r="507" spans="1:286" s="166" customFormat="1" ht="112.5" customHeight="1" x14ac:dyDescent="0.25">
      <c r="B507" s="115" t="s">
        <v>224</v>
      </c>
      <c r="C507" s="115" t="s">
        <v>384</v>
      </c>
      <c r="D507" s="117" t="s">
        <v>106</v>
      </c>
      <c r="E507" s="117" t="s">
        <v>64</v>
      </c>
      <c r="F507" s="159" t="s">
        <v>49</v>
      </c>
      <c r="G507" s="147" t="s">
        <v>172</v>
      </c>
      <c r="H507" s="159">
        <v>5</v>
      </c>
      <c r="I507" s="199">
        <v>0</v>
      </c>
      <c r="J507" s="103">
        <v>0</v>
      </c>
      <c r="K507" s="104">
        <v>2</v>
      </c>
      <c r="L507" s="105">
        <v>1</v>
      </c>
      <c r="M507" s="106">
        <v>2</v>
      </c>
      <c r="N507" s="133">
        <f t="shared" si="548"/>
        <v>5</v>
      </c>
      <c r="O507" s="71">
        <v>0</v>
      </c>
      <c r="P507" s="71"/>
      <c r="Q507" s="159"/>
      <c r="R507" s="147" t="s">
        <v>243</v>
      </c>
      <c r="S507" s="160" t="s">
        <v>385</v>
      </c>
      <c r="T507" s="147" t="s">
        <v>77</v>
      </c>
      <c r="U507" s="159">
        <v>5</v>
      </c>
      <c r="V507" s="199">
        <v>0</v>
      </c>
      <c r="W507" s="103">
        <v>0</v>
      </c>
      <c r="X507" s="104">
        <v>2</v>
      </c>
      <c r="Y507" s="105">
        <v>1</v>
      </c>
      <c r="Z507" s="106">
        <v>2</v>
      </c>
      <c r="AA507" s="133">
        <f t="shared" si="541"/>
        <v>5</v>
      </c>
      <c r="AB507" s="71">
        <v>0</v>
      </c>
      <c r="AC507" s="159">
        <v>5</v>
      </c>
      <c r="AD507" s="199">
        <v>0</v>
      </c>
      <c r="AE507" s="103">
        <v>0</v>
      </c>
      <c r="AF507" s="104">
        <v>2</v>
      </c>
      <c r="AG507" s="105">
        <v>0</v>
      </c>
      <c r="AH507" s="106">
        <v>2</v>
      </c>
      <c r="AI507" s="133">
        <f t="shared" si="542"/>
        <v>4</v>
      </c>
      <c r="AJ507" s="71">
        <v>0</v>
      </c>
      <c r="AK507" s="159"/>
      <c r="AL507" s="159"/>
      <c r="AM507" s="72"/>
      <c r="AN507" s="159"/>
      <c r="AO507" s="72"/>
      <c r="AP507" s="147" t="s">
        <v>58</v>
      </c>
      <c r="AQ507" s="159">
        <v>5</v>
      </c>
      <c r="AR507" s="161">
        <v>0</v>
      </c>
      <c r="AS507" s="162">
        <v>0</v>
      </c>
      <c r="AT507" s="163">
        <v>5</v>
      </c>
      <c r="AU507" s="159"/>
      <c r="AV507" s="159"/>
      <c r="AW507" s="159"/>
      <c r="AX507" s="165" t="s">
        <v>147</v>
      </c>
      <c r="AY507" s="77"/>
      <c r="AZ507" s="77"/>
      <c r="BA507" s="77"/>
      <c r="BB507" s="77"/>
      <c r="BC507" s="77"/>
      <c r="BD507" s="77"/>
      <c r="BE507" s="77"/>
      <c r="BF507" s="77"/>
      <c r="BG507" s="77"/>
      <c r="BH507" s="77"/>
      <c r="BI507" s="77"/>
      <c r="BJ507" s="77"/>
      <c r="BK507" s="77"/>
      <c r="BL507" s="77"/>
      <c r="BM507" s="77"/>
      <c r="BN507" s="77"/>
      <c r="BO507" s="77"/>
      <c r="BP507" s="77"/>
      <c r="BQ507" s="77"/>
      <c r="BR507" s="77"/>
      <c r="BS507" s="77"/>
      <c r="BT507" s="77"/>
      <c r="BU507" s="77"/>
      <c r="BV507" s="77"/>
      <c r="BW507" s="77"/>
      <c r="BX507" s="77"/>
      <c r="BY507" s="77"/>
      <c r="BZ507" s="77"/>
      <c r="CA507" s="77"/>
      <c r="CB507" s="77"/>
      <c r="CC507" s="77"/>
      <c r="CD507" s="77"/>
      <c r="CE507" s="77"/>
      <c r="CF507" s="77"/>
      <c r="CG507" s="77"/>
      <c r="CH507" s="77"/>
      <c r="CI507" s="77"/>
      <c r="CJ507" s="77"/>
      <c r="CK507" s="77"/>
      <c r="CL507" s="77"/>
      <c r="CM507" s="77"/>
      <c r="CN507" s="77"/>
      <c r="CO507" s="77"/>
      <c r="CP507" s="77"/>
      <c r="CQ507" s="77"/>
      <c r="CR507" s="77"/>
      <c r="CS507" s="77"/>
      <c r="CT507" s="77"/>
      <c r="CU507" s="77"/>
      <c r="CV507" s="77"/>
      <c r="CW507" s="77"/>
      <c r="CX507" s="77"/>
      <c r="CY507" s="77"/>
      <c r="CZ507" s="77"/>
      <c r="DA507" s="77"/>
      <c r="DB507" s="77"/>
      <c r="DC507" s="77"/>
      <c r="DD507" s="77"/>
      <c r="DE507" s="77"/>
      <c r="DF507" s="77"/>
      <c r="DG507" s="77"/>
      <c r="DH507" s="77"/>
      <c r="DI507" s="77"/>
      <c r="DJ507" s="77"/>
      <c r="DK507" s="77"/>
      <c r="DL507" s="77"/>
      <c r="DM507" s="77"/>
      <c r="DN507" s="77"/>
      <c r="DO507" s="77"/>
      <c r="DP507" s="77"/>
      <c r="DQ507" s="77"/>
      <c r="DR507" s="77"/>
      <c r="DS507" s="77"/>
      <c r="DT507" s="77"/>
      <c r="DU507" s="77"/>
      <c r="DV507" s="77"/>
      <c r="DW507" s="77"/>
      <c r="DX507" s="77"/>
      <c r="DY507" s="77"/>
      <c r="DZ507" s="77"/>
      <c r="EA507" s="77"/>
      <c r="EB507" s="77"/>
      <c r="EC507" s="77"/>
      <c r="ED507" s="77"/>
      <c r="EE507" s="77"/>
      <c r="EF507" s="77"/>
      <c r="EG507" s="77"/>
      <c r="EH507" s="77"/>
      <c r="EI507" s="77"/>
      <c r="EJ507" s="77"/>
      <c r="EK507" s="77"/>
      <c r="EL507" s="77"/>
      <c r="EM507" s="77"/>
      <c r="EN507" s="77"/>
      <c r="EO507" s="77"/>
      <c r="EP507" s="77"/>
      <c r="EQ507" s="77"/>
      <c r="ER507" s="77"/>
      <c r="ES507" s="77"/>
      <c r="ET507" s="77"/>
      <c r="EU507" s="77"/>
      <c r="EV507" s="77"/>
      <c r="EW507" s="77"/>
      <c r="EX507" s="77"/>
      <c r="EY507" s="77"/>
      <c r="EZ507" s="77"/>
      <c r="FA507" s="77"/>
      <c r="FB507" s="77"/>
      <c r="FC507" s="77"/>
      <c r="FD507" s="77"/>
      <c r="FE507" s="77"/>
      <c r="FF507" s="77"/>
      <c r="FG507" s="77"/>
      <c r="FH507" s="77"/>
      <c r="FI507" s="77"/>
      <c r="FJ507" s="77"/>
      <c r="FK507" s="77"/>
      <c r="FL507" s="77"/>
      <c r="FM507" s="77"/>
      <c r="FN507" s="77"/>
      <c r="FO507" s="77"/>
      <c r="FP507" s="77"/>
      <c r="FQ507" s="77"/>
      <c r="FR507" s="77"/>
      <c r="FS507" s="77"/>
      <c r="FT507" s="77"/>
      <c r="FU507" s="77"/>
      <c r="FV507" s="77"/>
      <c r="FW507" s="77"/>
      <c r="FX507" s="77"/>
      <c r="FY507" s="77"/>
      <c r="FZ507" s="77"/>
      <c r="GA507" s="77"/>
      <c r="GB507" s="77"/>
      <c r="GC507" s="77"/>
      <c r="GD507" s="77"/>
      <c r="GE507" s="77"/>
      <c r="GF507" s="77"/>
      <c r="GG507" s="77"/>
      <c r="GH507" s="77"/>
      <c r="GI507" s="77"/>
      <c r="GJ507" s="77"/>
      <c r="GK507" s="77"/>
      <c r="GL507" s="77"/>
      <c r="GM507" s="77"/>
      <c r="GN507" s="77"/>
      <c r="GO507" s="77"/>
      <c r="GP507" s="77"/>
      <c r="GQ507" s="77"/>
      <c r="GR507" s="77"/>
      <c r="GS507" s="77"/>
      <c r="GT507" s="77"/>
      <c r="GU507" s="77"/>
      <c r="GV507" s="77"/>
      <c r="GW507" s="77"/>
      <c r="GX507" s="77"/>
      <c r="GY507" s="77"/>
      <c r="GZ507" s="77"/>
      <c r="HA507" s="77"/>
      <c r="HB507" s="77"/>
      <c r="HC507" s="77"/>
      <c r="HD507" s="77"/>
      <c r="HE507" s="77"/>
      <c r="HF507" s="77"/>
      <c r="HG507" s="77"/>
      <c r="HH507" s="77"/>
      <c r="HI507" s="77"/>
      <c r="HJ507" s="77"/>
      <c r="HK507" s="77"/>
      <c r="HL507" s="77"/>
      <c r="HM507" s="77"/>
      <c r="HN507" s="77"/>
      <c r="HO507" s="77"/>
      <c r="HP507" s="77"/>
      <c r="HQ507" s="77"/>
      <c r="HR507" s="77"/>
      <c r="HS507" s="77"/>
      <c r="HT507" s="77"/>
      <c r="HU507" s="77"/>
      <c r="HV507" s="77"/>
      <c r="HW507" s="77"/>
      <c r="HX507" s="77"/>
      <c r="HY507" s="77"/>
      <c r="HZ507" s="77"/>
      <c r="IA507" s="77"/>
      <c r="IB507" s="77"/>
      <c r="IC507" s="77"/>
      <c r="ID507" s="77"/>
      <c r="IE507" s="77"/>
      <c r="IF507" s="77"/>
      <c r="IG507" s="77"/>
      <c r="IH507" s="77"/>
      <c r="II507" s="77"/>
      <c r="IJ507" s="77"/>
      <c r="IK507" s="77"/>
      <c r="IL507" s="77"/>
      <c r="IM507" s="77"/>
      <c r="IN507" s="77"/>
      <c r="IO507" s="77"/>
      <c r="IP507" s="77"/>
      <c r="IQ507" s="77"/>
      <c r="IR507" s="77"/>
      <c r="IS507" s="77"/>
      <c r="IT507" s="77"/>
      <c r="IU507" s="77"/>
      <c r="IV507" s="77"/>
      <c r="IW507" s="77"/>
      <c r="IX507" s="77"/>
      <c r="IY507" s="77"/>
      <c r="IZ507" s="77"/>
      <c r="JA507" s="77"/>
      <c r="JB507" s="77"/>
      <c r="JC507" s="77"/>
      <c r="JD507" s="77"/>
      <c r="JE507" s="77"/>
      <c r="JF507" s="77"/>
      <c r="JG507" s="77"/>
      <c r="JH507" s="77"/>
      <c r="JI507" s="77"/>
      <c r="JJ507" s="77"/>
      <c r="JK507" s="77"/>
      <c r="JL507" s="77"/>
      <c r="JM507" s="77"/>
      <c r="JN507" s="77"/>
      <c r="JO507" s="77"/>
      <c r="JP507" s="77"/>
      <c r="JQ507" s="77"/>
      <c r="JR507" s="77"/>
      <c r="JS507" s="77"/>
      <c r="JT507" s="77"/>
      <c r="JU507" s="77"/>
      <c r="JV507" s="77"/>
      <c r="JW507" s="77"/>
      <c r="JX507" s="77"/>
      <c r="JY507" s="77"/>
      <c r="JZ507" s="77"/>
    </row>
    <row r="508" spans="1:286" s="77" customFormat="1" ht="36" x14ac:dyDescent="0.25">
      <c r="A508" s="166"/>
      <c r="B508" s="115" t="s">
        <v>224</v>
      </c>
      <c r="C508" s="115" t="s">
        <v>384</v>
      </c>
      <c r="D508" s="117" t="s">
        <v>106</v>
      </c>
      <c r="E508" s="117" t="s">
        <v>64</v>
      </c>
      <c r="F508" s="142" t="s">
        <v>61</v>
      </c>
      <c r="G508" s="127"/>
      <c r="H508" s="153">
        <f t="shared" ref="H508:O508" si="591">SUM(H507)</f>
        <v>5</v>
      </c>
      <c r="I508" s="153">
        <f t="shared" si="591"/>
        <v>0</v>
      </c>
      <c r="J508" s="153">
        <f t="shared" si="591"/>
        <v>0</v>
      </c>
      <c r="K508" s="153">
        <f t="shared" si="591"/>
        <v>2</v>
      </c>
      <c r="L508" s="153">
        <f t="shared" si="591"/>
        <v>1</v>
      </c>
      <c r="M508" s="153">
        <f t="shared" si="591"/>
        <v>2</v>
      </c>
      <c r="N508" s="153">
        <f t="shared" si="548"/>
        <v>5</v>
      </c>
      <c r="O508" s="153">
        <f t="shared" si="591"/>
        <v>0</v>
      </c>
      <c r="P508" s="153"/>
      <c r="Q508" s="142"/>
      <c r="R508" s="129"/>
      <c r="S508" s="173"/>
      <c r="T508" s="130"/>
      <c r="U508" s="153">
        <f t="shared" ref="U508:AJ508" si="592">SUM(U507)</f>
        <v>5</v>
      </c>
      <c r="V508" s="153">
        <f t="shared" si="592"/>
        <v>0</v>
      </c>
      <c r="W508" s="153">
        <f t="shared" si="592"/>
        <v>0</v>
      </c>
      <c r="X508" s="153">
        <f t="shared" si="592"/>
        <v>2</v>
      </c>
      <c r="Y508" s="153">
        <f t="shared" ref="Y508" si="593">SUM(Y507)</f>
        <v>1</v>
      </c>
      <c r="Z508" s="153">
        <f t="shared" si="592"/>
        <v>2</v>
      </c>
      <c r="AA508" s="153">
        <f t="shared" si="541"/>
        <v>5</v>
      </c>
      <c r="AB508" s="153">
        <f t="shared" si="592"/>
        <v>0</v>
      </c>
      <c r="AC508" s="153">
        <f t="shared" si="592"/>
        <v>5</v>
      </c>
      <c r="AD508" s="153">
        <f t="shared" si="592"/>
        <v>0</v>
      </c>
      <c r="AE508" s="153">
        <f t="shared" si="592"/>
        <v>0</v>
      </c>
      <c r="AF508" s="153">
        <f t="shared" si="592"/>
        <v>2</v>
      </c>
      <c r="AG508" s="153">
        <f t="shared" ref="AG508" si="594">SUM(AG507)</f>
        <v>0</v>
      </c>
      <c r="AH508" s="153">
        <f t="shared" si="592"/>
        <v>2</v>
      </c>
      <c r="AI508" s="153">
        <f t="shared" si="542"/>
        <v>4</v>
      </c>
      <c r="AJ508" s="153">
        <f t="shared" si="592"/>
        <v>0</v>
      </c>
      <c r="AK508" s="156"/>
      <c r="AL508" s="156"/>
      <c r="AM508" s="156"/>
      <c r="AN508" s="156"/>
      <c r="AO508" s="156"/>
      <c r="AP508" s="155"/>
      <c r="AQ508" s="153">
        <f>SUM(AQ507)</f>
        <v>5</v>
      </c>
      <c r="AR508" s="153">
        <f>SUM(AR507)</f>
        <v>0</v>
      </c>
      <c r="AS508" s="153">
        <f>SUM(AS507)</f>
        <v>0</v>
      </c>
      <c r="AT508" s="153">
        <f>SUM(AT507)</f>
        <v>5</v>
      </c>
      <c r="AU508" s="129"/>
      <c r="AV508" s="142"/>
      <c r="AW508" s="127"/>
      <c r="AX508" s="127" t="s">
        <v>147</v>
      </c>
    </row>
    <row r="509" spans="1:286" s="77" customFormat="1" ht="396" x14ac:dyDescent="0.25">
      <c r="A509" s="166"/>
      <c r="B509" s="115" t="s">
        <v>224</v>
      </c>
      <c r="C509" s="115" t="s">
        <v>386</v>
      </c>
      <c r="D509" s="117" t="s">
        <v>356</v>
      </c>
      <c r="E509" s="117" t="s">
        <v>75</v>
      </c>
      <c r="F509" s="267"/>
      <c r="G509" s="147" t="s">
        <v>231</v>
      </c>
      <c r="H509" s="159">
        <v>5</v>
      </c>
      <c r="I509" s="199">
        <v>0</v>
      </c>
      <c r="J509" s="103">
        <v>0</v>
      </c>
      <c r="K509" s="104">
        <v>0</v>
      </c>
      <c r="L509" s="105">
        <v>0</v>
      </c>
      <c r="M509" s="106">
        <v>0</v>
      </c>
      <c r="N509" s="133">
        <f t="shared" si="548"/>
        <v>0</v>
      </c>
      <c r="O509" s="71">
        <v>5</v>
      </c>
      <c r="P509" s="71"/>
      <c r="Q509" s="159"/>
      <c r="R509" s="147" t="s">
        <v>173</v>
      </c>
      <c r="S509" s="160" t="s">
        <v>232</v>
      </c>
      <c r="T509" s="147" t="s">
        <v>358</v>
      </c>
      <c r="U509" s="159">
        <v>5</v>
      </c>
      <c r="V509" s="199">
        <v>0</v>
      </c>
      <c r="W509" s="103">
        <v>0</v>
      </c>
      <c r="X509" s="104">
        <v>0</v>
      </c>
      <c r="Y509" s="105">
        <v>0</v>
      </c>
      <c r="Z509" s="106">
        <v>0</v>
      </c>
      <c r="AA509" s="133">
        <f t="shared" si="541"/>
        <v>0</v>
      </c>
      <c r="AB509" s="71">
        <v>5</v>
      </c>
      <c r="AC509" s="159">
        <v>0</v>
      </c>
      <c r="AD509" s="199">
        <v>0</v>
      </c>
      <c r="AE509" s="103">
        <v>0</v>
      </c>
      <c r="AF509" s="104">
        <v>0</v>
      </c>
      <c r="AG509" s="105">
        <v>0</v>
      </c>
      <c r="AH509" s="106">
        <v>0</v>
      </c>
      <c r="AI509" s="133">
        <f t="shared" si="542"/>
        <v>0</v>
      </c>
      <c r="AJ509" s="71">
        <v>0</v>
      </c>
      <c r="AK509" s="159"/>
      <c r="AL509" s="159"/>
      <c r="AM509" s="72"/>
      <c r="AN509" s="159"/>
      <c r="AO509" s="72"/>
      <c r="AP509" s="147"/>
      <c r="AQ509" s="159">
        <v>0</v>
      </c>
      <c r="AR509" s="161">
        <v>0</v>
      </c>
      <c r="AS509" s="162">
        <v>0</v>
      </c>
      <c r="AT509" s="163">
        <v>0</v>
      </c>
      <c r="AU509" s="159"/>
      <c r="AV509" s="159"/>
      <c r="AW509" s="159"/>
      <c r="AX509" s="165" t="s">
        <v>214</v>
      </c>
    </row>
    <row r="510" spans="1:286" s="77" customFormat="1" ht="396" x14ac:dyDescent="0.25">
      <c r="A510" s="166"/>
      <c r="B510" s="115" t="s">
        <v>224</v>
      </c>
      <c r="C510" s="115" t="s">
        <v>386</v>
      </c>
      <c r="D510" s="117" t="s">
        <v>356</v>
      </c>
      <c r="E510" s="117" t="s">
        <v>75</v>
      </c>
      <c r="F510" s="268"/>
      <c r="G510" s="147" t="s">
        <v>227</v>
      </c>
      <c r="H510" s="159">
        <v>5</v>
      </c>
      <c r="I510" s="199">
        <v>0</v>
      </c>
      <c r="J510" s="103">
        <v>0</v>
      </c>
      <c r="K510" s="104">
        <v>0</v>
      </c>
      <c r="L510" s="105">
        <v>0</v>
      </c>
      <c r="M510" s="106">
        <v>0</v>
      </c>
      <c r="N510" s="133">
        <f t="shared" si="548"/>
        <v>0</v>
      </c>
      <c r="O510" s="71">
        <v>5</v>
      </c>
      <c r="P510" s="71"/>
      <c r="Q510" s="159"/>
      <c r="R510" s="147" t="s">
        <v>173</v>
      </c>
      <c r="S510" s="160" t="s">
        <v>232</v>
      </c>
      <c r="T510" s="147" t="s">
        <v>358</v>
      </c>
      <c r="U510" s="159">
        <v>5</v>
      </c>
      <c r="V510" s="199">
        <v>0</v>
      </c>
      <c r="W510" s="103">
        <v>0</v>
      </c>
      <c r="X510" s="104">
        <v>0</v>
      </c>
      <c r="Y510" s="105">
        <v>0</v>
      </c>
      <c r="Z510" s="106">
        <v>0</v>
      </c>
      <c r="AA510" s="133">
        <f t="shared" si="541"/>
        <v>0</v>
      </c>
      <c r="AB510" s="71">
        <v>5</v>
      </c>
      <c r="AC510" s="159">
        <v>0</v>
      </c>
      <c r="AD510" s="199">
        <v>0</v>
      </c>
      <c r="AE510" s="103">
        <v>0</v>
      </c>
      <c r="AF510" s="104">
        <v>0</v>
      </c>
      <c r="AG510" s="105">
        <v>0</v>
      </c>
      <c r="AH510" s="106">
        <v>0</v>
      </c>
      <c r="AI510" s="133">
        <f t="shared" si="542"/>
        <v>0</v>
      </c>
      <c r="AJ510" s="71">
        <v>0</v>
      </c>
      <c r="AK510" s="159"/>
      <c r="AL510" s="159"/>
      <c r="AM510" s="72"/>
      <c r="AN510" s="159"/>
      <c r="AO510" s="72"/>
      <c r="AP510" s="147"/>
      <c r="AQ510" s="159">
        <v>0</v>
      </c>
      <c r="AR510" s="161">
        <v>0</v>
      </c>
      <c r="AS510" s="162">
        <v>0</v>
      </c>
      <c r="AT510" s="163">
        <v>0</v>
      </c>
      <c r="AU510" s="159"/>
      <c r="AV510" s="159"/>
      <c r="AW510" s="159"/>
      <c r="AX510" s="165" t="s">
        <v>214</v>
      </c>
    </row>
    <row r="511" spans="1:286" s="77" customFormat="1" ht="396" x14ac:dyDescent="0.25">
      <c r="A511" s="166"/>
      <c r="B511" s="115" t="s">
        <v>224</v>
      </c>
      <c r="C511" s="115" t="s">
        <v>386</v>
      </c>
      <c r="D511" s="117" t="s">
        <v>356</v>
      </c>
      <c r="E511" s="117" t="s">
        <v>75</v>
      </c>
      <c r="F511" s="268"/>
      <c r="G511" s="147" t="s">
        <v>387</v>
      </c>
      <c r="H511" s="159">
        <v>1</v>
      </c>
      <c r="I511" s="199">
        <v>0</v>
      </c>
      <c r="J511" s="103">
        <v>0</v>
      </c>
      <c r="K511" s="104">
        <v>0</v>
      </c>
      <c r="L511" s="105">
        <v>0</v>
      </c>
      <c r="M511" s="106">
        <v>0</v>
      </c>
      <c r="N511" s="133">
        <f t="shared" si="548"/>
        <v>0</v>
      </c>
      <c r="O511" s="71">
        <v>0</v>
      </c>
      <c r="P511" s="71"/>
      <c r="Q511" s="159"/>
      <c r="R511" s="147" t="s">
        <v>173</v>
      </c>
      <c r="S511" s="160" t="s">
        <v>232</v>
      </c>
      <c r="T511" s="147" t="s">
        <v>77</v>
      </c>
      <c r="U511" s="159">
        <v>1</v>
      </c>
      <c r="V511" s="199">
        <v>0</v>
      </c>
      <c r="W511" s="103">
        <v>0</v>
      </c>
      <c r="X511" s="104">
        <v>0</v>
      </c>
      <c r="Y511" s="105">
        <v>0</v>
      </c>
      <c r="Z511" s="106">
        <v>0</v>
      </c>
      <c r="AA511" s="133">
        <f t="shared" si="541"/>
        <v>0</v>
      </c>
      <c r="AB511" s="71">
        <v>0</v>
      </c>
      <c r="AC511" s="159">
        <v>0</v>
      </c>
      <c r="AD511" s="199">
        <v>0</v>
      </c>
      <c r="AE511" s="103">
        <v>0</v>
      </c>
      <c r="AF511" s="104">
        <v>0</v>
      </c>
      <c r="AG511" s="105">
        <v>0</v>
      </c>
      <c r="AH511" s="106">
        <v>0</v>
      </c>
      <c r="AI511" s="133">
        <f t="shared" si="542"/>
        <v>0</v>
      </c>
      <c r="AJ511" s="71">
        <v>0</v>
      </c>
      <c r="AK511" s="159"/>
      <c r="AL511" s="159"/>
      <c r="AM511" s="72"/>
      <c r="AN511" s="159"/>
      <c r="AO511" s="72"/>
      <c r="AP511" s="147"/>
      <c r="AQ511" s="159">
        <v>0</v>
      </c>
      <c r="AR511" s="161">
        <v>0</v>
      </c>
      <c r="AS511" s="162">
        <v>0</v>
      </c>
      <c r="AT511" s="163">
        <v>0</v>
      </c>
      <c r="AU511" s="159"/>
      <c r="AV511" s="159"/>
      <c r="AW511" s="159"/>
      <c r="AX511" s="165" t="s">
        <v>214</v>
      </c>
    </row>
    <row r="512" spans="1:286" s="77" customFormat="1" ht="396" x14ac:dyDescent="0.25">
      <c r="A512" s="166"/>
      <c r="B512" s="115" t="s">
        <v>224</v>
      </c>
      <c r="C512" s="115" t="s">
        <v>386</v>
      </c>
      <c r="D512" s="117" t="s">
        <v>356</v>
      </c>
      <c r="E512" s="117" t="s">
        <v>75</v>
      </c>
      <c r="F512" s="268"/>
      <c r="G512" s="147" t="s">
        <v>311</v>
      </c>
      <c r="H512" s="159">
        <v>5</v>
      </c>
      <c r="I512" s="199">
        <v>0</v>
      </c>
      <c r="J512" s="103">
        <v>0</v>
      </c>
      <c r="K512" s="104">
        <v>0</v>
      </c>
      <c r="L512" s="105">
        <v>0</v>
      </c>
      <c r="M512" s="106">
        <v>0</v>
      </c>
      <c r="N512" s="133">
        <f t="shared" si="548"/>
        <v>0</v>
      </c>
      <c r="O512" s="71">
        <v>5</v>
      </c>
      <c r="P512" s="71"/>
      <c r="Q512" s="159"/>
      <c r="R512" s="147" t="s">
        <v>173</v>
      </c>
      <c r="S512" s="160" t="s">
        <v>232</v>
      </c>
      <c r="T512" s="147" t="s">
        <v>77</v>
      </c>
      <c r="U512" s="159">
        <v>5</v>
      </c>
      <c r="V512" s="199">
        <v>0</v>
      </c>
      <c r="W512" s="103">
        <v>0</v>
      </c>
      <c r="X512" s="104">
        <v>0</v>
      </c>
      <c r="Y512" s="105">
        <v>0</v>
      </c>
      <c r="Z512" s="106">
        <v>0</v>
      </c>
      <c r="AA512" s="133">
        <f t="shared" si="541"/>
        <v>0</v>
      </c>
      <c r="AB512" s="71">
        <v>5</v>
      </c>
      <c r="AC512" s="159">
        <v>0</v>
      </c>
      <c r="AD512" s="199">
        <v>0</v>
      </c>
      <c r="AE512" s="103">
        <v>0</v>
      </c>
      <c r="AF512" s="104">
        <v>0</v>
      </c>
      <c r="AG512" s="105">
        <v>0</v>
      </c>
      <c r="AH512" s="106">
        <v>0</v>
      </c>
      <c r="AI512" s="133">
        <f t="shared" si="542"/>
        <v>0</v>
      </c>
      <c r="AJ512" s="71">
        <v>0</v>
      </c>
      <c r="AK512" s="159"/>
      <c r="AL512" s="159"/>
      <c r="AM512" s="72"/>
      <c r="AN512" s="159"/>
      <c r="AO512" s="72"/>
      <c r="AP512" s="147"/>
      <c r="AQ512" s="159">
        <v>0</v>
      </c>
      <c r="AR512" s="161">
        <v>0</v>
      </c>
      <c r="AS512" s="162">
        <v>0</v>
      </c>
      <c r="AT512" s="163">
        <v>0</v>
      </c>
      <c r="AU512" s="159"/>
      <c r="AV512" s="159"/>
      <c r="AW512" s="159"/>
      <c r="AX512" s="165" t="s">
        <v>214</v>
      </c>
    </row>
    <row r="513" spans="1:50" s="77" customFormat="1" ht="396" x14ac:dyDescent="0.25">
      <c r="A513" s="166"/>
      <c r="B513" s="115" t="s">
        <v>224</v>
      </c>
      <c r="C513" s="115" t="s">
        <v>386</v>
      </c>
      <c r="D513" s="117" t="s">
        <v>356</v>
      </c>
      <c r="E513" s="117" t="s">
        <v>75</v>
      </c>
      <c r="F513" s="268"/>
      <c r="G513" s="147" t="s">
        <v>234</v>
      </c>
      <c r="H513" s="159">
        <v>5</v>
      </c>
      <c r="I513" s="199">
        <v>0</v>
      </c>
      <c r="J513" s="103">
        <v>0</v>
      </c>
      <c r="K513" s="104">
        <v>0</v>
      </c>
      <c r="L513" s="105">
        <v>0</v>
      </c>
      <c r="M513" s="106">
        <v>0</v>
      </c>
      <c r="N513" s="133">
        <f t="shared" si="548"/>
        <v>0</v>
      </c>
      <c r="O513" s="71">
        <v>5</v>
      </c>
      <c r="P513" s="71"/>
      <c r="Q513" s="159"/>
      <c r="R513" s="147" t="s">
        <v>173</v>
      </c>
      <c r="S513" s="160" t="s">
        <v>232</v>
      </c>
      <c r="T513" s="147" t="s">
        <v>77</v>
      </c>
      <c r="U513" s="159">
        <v>5</v>
      </c>
      <c r="V513" s="199">
        <v>0</v>
      </c>
      <c r="W513" s="103">
        <v>0</v>
      </c>
      <c r="X513" s="104">
        <v>0</v>
      </c>
      <c r="Y513" s="105">
        <v>0</v>
      </c>
      <c r="Z513" s="106">
        <v>0</v>
      </c>
      <c r="AA513" s="133">
        <f t="shared" si="541"/>
        <v>0</v>
      </c>
      <c r="AB513" s="71">
        <v>5</v>
      </c>
      <c r="AC513" s="159">
        <v>0</v>
      </c>
      <c r="AD513" s="199">
        <v>0</v>
      </c>
      <c r="AE513" s="103">
        <v>0</v>
      </c>
      <c r="AF513" s="104">
        <v>0</v>
      </c>
      <c r="AG513" s="105">
        <v>0</v>
      </c>
      <c r="AH513" s="106">
        <v>0</v>
      </c>
      <c r="AI513" s="133">
        <f t="shared" si="542"/>
        <v>0</v>
      </c>
      <c r="AJ513" s="71">
        <v>0</v>
      </c>
      <c r="AK513" s="159"/>
      <c r="AL513" s="159"/>
      <c r="AM513" s="72"/>
      <c r="AN513" s="159"/>
      <c r="AO513" s="72"/>
      <c r="AP513" s="147"/>
      <c r="AQ513" s="159">
        <v>0</v>
      </c>
      <c r="AR513" s="161">
        <v>0</v>
      </c>
      <c r="AS513" s="162">
        <v>0</v>
      </c>
      <c r="AT513" s="163">
        <v>0</v>
      </c>
      <c r="AU513" s="159"/>
      <c r="AV513" s="159"/>
      <c r="AW513" s="159"/>
      <c r="AX513" s="165" t="s">
        <v>214</v>
      </c>
    </row>
    <row r="514" spans="1:50" s="77" customFormat="1" ht="396" x14ac:dyDescent="0.25">
      <c r="A514" s="166"/>
      <c r="B514" s="115" t="s">
        <v>224</v>
      </c>
      <c r="C514" s="115" t="s">
        <v>386</v>
      </c>
      <c r="D514" s="117" t="s">
        <v>356</v>
      </c>
      <c r="E514" s="117" t="s">
        <v>75</v>
      </c>
      <c r="F514" s="268"/>
      <c r="G514" s="147" t="s">
        <v>172</v>
      </c>
      <c r="H514" s="159">
        <v>5</v>
      </c>
      <c r="I514" s="199">
        <v>0</v>
      </c>
      <c r="J514" s="103">
        <v>0</v>
      </c>
      <c r="K514" s="104">
        <v>0</v>
      </c>
      <c r="L514" s="105">
        <v>0</v>
      </c>
      <c r="M514" s="106">
        <v>0</v>
      </c>
      <c r="N514" s="133">
        <f t="shared" si="548"/>
        <v>0</v>
      </c>
      <c r="O514" s="71">
        <v>5</v>
      </c>
      <c r="P514" s="71"/>
      <c r="Q514" s="159"/>
      <c r="R514" s="147" t="s">
        <v>173</v>
      </c>
      <c r="S514" s="160" t="s">
        <v>232</v>
      </c>
      <c r="T514" s="147" t="s">
        <v>77</v>
      </c>
      <c r="U514" s="159">
        <v>5</v>
      </c>
      <c r="V514" s="199">
        <v>0</v>
      </c>
      <c r="W514" s="103">
        <v>0</v>
      </c>
      <c r="X514" s="104">
        <v>0</v>
      </c>
      <c r="Y514" s="105">
        <v>0</v>
      </c>
      <c r="Z514" s="106">
        <v>0</v>
      </c>
      <c r="AA514" s="133">
        <f t="shared" si="541"/>
        <v>0</v>
      </c>
      <c r="AB514" s="71">
        <v>5</v>
      </c>
      <c r="AC514" s="159">
        <v>0</v>
      </c>
      <c r="AD514" s="199">
        <v>0</v>
      </c>
      <c r="AE514" s="103">
        <v>0</v>
      </c>
      <c r="AF514" s="104">
        <v>0</v>
      </c>
      <c r="AG514" s="105">
        <v>0</v>
      </c>
      <c r="AH514" s="106">
        <v>0</v>
      </c>
      <c r="AI514" s="133">
        <f t="shared" si="542"/>
        <v>0</v>
      </c>
      <c r="AJ514" s="71">
        <v>0</v>
      </c>
      <c r="AK514" s="159"/>
      <c r="AL514" s="159"/>
      <c r="AM514" s="72"/>
      <c r="AN514" s="159"/>
      <c r="AO514" s="72"/>
      <c r="AP514" s="147"/>
      <c r="AQ514" s="159">
        <v>0</v>
      </c>
      <c r="AR514" s="161">
        <v>0</v>
      </c>
      <c r="AS514" s="162">
        <v>0</v>
      </c>
      <c r="AT514" s="163">
        <v>0</v>
      </c>
      <c r="AU514" s="159"/>
      <c r="AV514" s="159"/>
      <c r="AW514" s="159"/>
      <c r="AX514" s="165" t="s">
        <v>214</v>
      </c>
    </row>
    <row r="515" spans="1:50" s="77" customFormat="1" ht="396" x14ac:dyDescent="0.25">
      <c r="A515" s="166"/>
      <c r="B515" s="115" t="s">
        <v>224</v>
      </c>
      <c r="C515" s="115" t="s">
        <v>386</v>
      </c>
      <c r="D515" s="117" t="s">
        <v>356</v>
      </c>
      <c r="E515" s="117" t="s">
        <v>75</v>
      </c>
      <c r="F515" s="269"/>
      <c r="G515" s="147" t="s">
        <v>312</v>
      </c>
      <c r="H515" s="159">
        <v>5</v>
      </c>
      <c r="I515" s="199">
        <v>0</v>
      </c>
      <c r="J515" s="103">
        <v>0</v>
      </c>
      <c r="K515" s="104">
        <v>0</v>
      </c>
      <c r="L515" s="105">
        <v>0</v>
      </c>
      <c r="M515" s="106">
        <v>0</v>
      </c>
      <c r="N515" s="133">
        <f t="shared" si="548"/>
        <v>0</v>
      </c>
      <c r="O515" s="71">
        <v>5</v>
      </c>
      <c r="P515" s="71"/>
      <c r="Q515" s="159"/>
      <c r="R515" s="147" t="s">
        <v>173</v>
      </c>
      <c r="S515" s="160" t="s">
        <v>232</v>
      </c>
      <c r="T515" s="147" t="s">
        <v>77</v>
      </c>
      <c r="U515" s="159">
        <v>5</v>
      </c>
      <c r="V515" s="199">
        <v>0</v>
      </c>
      <c r="W515" s="103">
        <v>0</v>
      </c>
      <c r="X515" s="104">
        <v>0</v>
      </c>
      <c r="Y515" s="105">
        <v>0</v>
      </c>
      <c r="Z515" s="106">
        <v>0</v>
      </c>
      <c r="AA515" s="133">
        <f t="shared" si="541"/>
        <v>0</v>
      </c>
      <c r="AB515" s="71">
        <v>5</v>
      </c>
      <c r="AC515" s="159">
        <v>0</v>
      </c>
      <c r="AD515" s="199">
        <v>0</v>
      </c>
      <c r="AE515" s="103">
        <v>0</v>
      </c>
      <c r="AF515" s="104">
        <v>0</v>
      </c>
      <c r="AG515" s="105">
        <v>0</v>
      </c>
      <c r="AH515" s="106">
        <v>0</v>
      </c>
      <c r="AI515" s="133">
        <f t="shared" si="542"/>
        <v>0</v>
      </c>
      <c r="AJ515" s="71">
        <v>0</v>
      </c>
      <c r="AK515" s="159"/>
      <c r="AL515" s="159"/>
      <c r="AM515" s="72"/>
      <c r="AN515" s="159"/>
      <c r="AO515" s="72"/>
      <c r="AP515" s="147"/>
      <c r="AQ515" s="159">
        <v>0</v>
      </c>
      <c r="AR515" s="161">
        <v>0</v>
      </c>
      <c r="AS515" s="162">
        <v>0</v>
      </c>
      <c r="AT515" s="163">
        <v>0</v>
      </c>
      <c r="AU515" s="159"/>
      <c r="AV515" s="159"/>
      <c r="AW515" s="159"/>
      <c r="AX515" s="165" t="s">
        <v>214</v>
      </c>
    </row>
    <row r="516" spans="1:50" s="77" customFormat="1" ht="396" x14ac:dyDescent="0.25">
      <c r="A516" s="166"/>
      <c r="B516" s="115" t="s">
        <v>224</v>
      </c>
      <c r="C516" s="115" t="s">
        <v>386</v>
      </c>
      <c r="D516" s="117" t="s">
        <v>356</v>
      </c>
      <c r="E516" s="117" t="s">
        <v>75</v>
      </c>
      <c r="F516" s="142" t="s">
        <v>61</v>
      </c>
      <c r="G516" s="127"/>
      <c r="H516" s="153">
        <f>SUBTOTAL(9,H509:H515)</f>
        <v>31</v>
      </c>
      <c r="I516" s="153">
        <f t="shared" ref="I516" si="595">SUBTOTAL(9,I509:I515)</f>
        <v>0</v>
      </c>
      <c r="J516" s="153">
        <f t="shared" ref="J516:O516" si="596">SUBTOTAL(9,J509:J515)</f>
        <v>0</v>
      </c>
      <c r="K516" s="153">
        <f t="shared" si="596"/>
        <v>0</v>
      </c>
      <c r="L516" s="153">
        <f t="shared" si="596"/>
        <v>0</v>
      </c>
      <c r="M516" s="153">
        <f t="shared" si="596"/>
        <v>0</v>
      </c>
      <c r="N516" s="153">
        <f t="shared" si="548"/>
        <v>0</v>
      </c>
      <c r="O516" s="153">
        <f t="shared" si="596"/>
        <v>30</v>
      </c>
      <c r="P516" s="153"/>
      <c r="Q516" s="142"/>
      <c r="R516" s="129"/>
      <c r="S516" s="173"/>
      <c r="T516" s="130"/>
      <c r="U516" s="153">
        <f>SUBTOTAL(9,U509:U515)</f>
        <v>31</v>
      </c>
      <c r="V516" s="153">
        <f t="shared" ref="V516" si="597">SUBTOTAL(9,V509:V515)</f>
        <v>0</v>
      </c>
      <c r="W516" s="153">
        <f t="shared" ref="W516:AJ516" si="598">SUBTOTAL(9,W509:W515)</f>
        <v>0</v>
      </c>
      <c r="X516" s="153">
        <f t="shared" si="598"/>
        <v>0</v>
      </c>
      <c r="Y516" s="153">
        <f t="shared" si="598"/>
        <v>0</v>
      </c>
      <c r="Z516" s="153">
        <f t="shared" si="598"/>
        <v>0</v>
      </c>
      <c r="AA516" s="153">
        <f t="shared" ref="AA516:AA579" si="599">SUM(V516:Z516)</f>
        <v>0</v>
      </c>
      <c r="AB516" s="153">
        <f t="shared" si="598"/>
        <v>30</v>
      </c>
      <c r="AC516" s="153">
        <f t="shared" si="598"/>
        <v>0</v>
      </c>
      <c r="AD516" s="153">
        <f t="shared" si="598"/>
        <v>0</v>
      </c>
      <c r="AE516" s="153">
        <f t="shared" si="598"/>
        <v>0</v>
      </c>
      <c r="AF516" s="153">
        <f t="shared" si="598"/>
        <v>0</v>
      </c>
      <c r="AG516" s="153">
        <f t="shared" ref="AG516" si="600">SUBTOTAL(9,AG509:AG515)</f>
        <v>0</v>
      </c>
      <c r="AH516" s="153">
        <f t="shared" si="598"/>
        <v>0</v>
      </c>
      <c r="AI516" s="153">
        <f t="shared" ref="AI516:AI579" si="601">SUM(AD516:AH516)</f>
        <v>0</v>
      </c>
      <c r="AJ516" s="153">
        <f t="shared" si="598"/>
        <v>0</v>
      </c>
      <c r="AK516" s="156"/>
      <c r="AL516" s="156"/>
      <c r="AM516" s="156"/>
      <c r="AN516" s="156"/>
      <c r="AO516" s="156"/>
      <c r="AP516" s="155"/>
      <c r="AQ516" s="153">
        <f>SUBTOTAL(9,AQ509:AQ515)</f>
        <v>0</v>
      </c>
      <c r="AR516" s="153">
        <f t="shared" ref="AR516:AT516" si="602">SUBTOTAL(9,AR509:AR515)</f>
        <v>0</v>
      </c>
      <c r="AS516" s="153">
        <f t="shared" si="602"/>
        <v>0</v>
      </c>
      <c r="AT516" s="153">
        <f t="shared" si="602"/>
        <v>0</v>
      </c>
      <c r="AU516" s="129"/>
      <c r="AV516" s="142"/>
      <c r="AW516" s="127"/>
      <c r="AX516" s="127" t="s">
        <v>214</v>
      </c>
    </row>
    <row r="517" spans="1:50" s="77" customFormat="1" ht="198" customHeight="1" x14ac:dyDescent="0.25">
      <c r="A517" s="166"/>
      <c r="B517" s="115" t="s">
        <v>224</v>
      </c>
      <c r="C517" s="115" t="s">
        <v>388</v>
      </c>
      <c r="D517" s="117" t="s">
        <v>356</v>
      </c>
      <c r="E517" s="117" t="s">
        <v>75</v>
      </c>
      <c r="F517" s="138"/>
      <c r="G517" s="147" t="s">
        <v>178</v>
      </c>
      <c r="H517" s="159">
        <v>5</v>
      </c>
      <c r="I517" s="199">
        <v>0</v>
      </c>
      <c r="J517" s="103">
        <v>0</v>
      </c>
      <c r="K517" s="104">
        <v>0</v>
      </c>
      <c r="L517" s="105">
        <v>0</v>
      </c>
      <c r="M517" s="106">
        <v>0</v>
      </c>
      <c r="N517" s="133">
        <f t="shared" si="548"/>
        <v>0</v>
      </c>
      <c r="O517" s="71">
        <v>5</v>
      </c>
      <c r="P517" s="71"/>
      <c r="Q517" s="159"/>
      <c r="R517" s="147" t="s">
        <v>51</v>
      </c>
      <c r="S517" s="160" t="s">
        <v>316</v>
      </c>
      <c r="T517" s="147" t="s">
        <v>389</v>
      </c>
      <c r="U517" s="159">
        <v>5</v>
      </c>
      <c r="V517" s="199">
        <v>0</v>
      </c>
      <c r="W517" s="103">
        <v>0</v>
      </c>
      <c r="X517" s="104">
        <v>0</v>
      </c>
      <c r="Y517" s="105">
        <v>0</v>
      </c>
      <c r="Z517" s="106">
        <v>0</v>
      </c>
      <c r="AA517" s="133">
        <f t="shared" si="599"/>
        <v>0</v>
      </c>
      <c r="AB517" s="71">
        <v>5</v>
      </c>
      <c r="AC517" s="159">
        <v>0</v>
      </c>
      <c r="AD517" s="199">
        <v>0</v>
      </c>
      <c r="AE517" s="103">
        <v>0</v>
      </c>
      <c r="AF517" s="104">
        <v>0</v>
      </c>
      <c r="AG517" s="105">
        <v>0</v>
      </c>
      <c r="AH517" s="106">
        <v>0</v>
      </c>
      <c r="AI517" s="133">
        <f t="shared" si="601"/>
        <v>0</v>
      </c>
      <c r="AJ517" s="71">
        <v>0</v>
      </c>
      <c r="AK517" s="159"/>
      <c r="AL517" s="159"/>
      <c r="AM517" s="72"/>
      <c r="AN517" s="159"/>
      <c r="AO517" s="72"/>
      <c r="AP517" s="147"/>
      <c r="AQ517" s="159">
        <v>0</v>
      </c>
      <c r="AR517" s="161">
        <v>0</v>
      </c>
      <c r="AS517" s="162">
        <v>0</v>
      </c>
      <c r="AT517" s="163">
        <v>0</v>
      </c>
      <c r="AU517" s="159"/>
      <c r="AV517" s="159"/>
      <c r="AW517" s="159"/>
      <c r="AX517" s="165" t="s">
        <v>55</v>
      </c>
    </row>
    <row r="518" spans="1:50" s="77" customFormat="1" ht="198" customHeight="1" x14ac:dyDescent="0.25">
      <c r="A518" s="166"/>
      <c r="B518" s="115" t="s">
        <v>224</v>
      </c>
      <c r="C518" s="115" t="s">
        <v>388</v>
      </c>
      <c r="D518" s="117" t="s">
        <v>356</v>
      </c>
      <c r="E518" s="117" t="s">
        <v>75</v>
      </c>
      <c r="F518" s="142" t="s">
        <v>61</v>
      </c>
      <c r="G518" s="127"/>
      <c r="H518" s="153">
        <f>SUBTOTAL(9,H517)</f>
        <v>5</v>
      </c>
      <c r="I518" s="153">
        <f t="shared" ref="I518" si="603">SUBTOTAL(9,I517)</f>
        <v>0</v>
      </c>
      <c r="J518" s="153">
        <f t="shared" ref="J518:O518" si="604">SUBTOTAL(9,J517)</f>
        <v>0</v>
      </c>
      <c r="K518" s="153">
        <f t="shared" si="604"/>
        <v>0</v>
      </c>
      <c r="L518" s="153">
        <f t="shared" si="604"/>
        <v>0</v>
      </c>
      <c r="M518" s="153">
        <f t="shared" si="604"/>
        <v>0</v>
      </c>
      <c r="N518" s="153">
        <f t="shared" si="548"/>
        <v>0</v>
      </c>
      <c r="O518" s="153">
        <f t="shared" si="604"/>
        <v>5</v>
      </c>
      <c r="P518" s="153"/>
      <c r="Q518" s="142"/>
      <c r="R518" s="129"/>
      <c r="S518" s="173"/>
      <c r="T518" s="130"/>
      <c r="U518" s="153">
        <f>SUBTOTAL(9,U517)</f>
        <v>5</v>
      </c>
      <c r="V518" s="153">
        <f t="shared" ref="V518" si="605">SUBTOTAL(9,V517)</f>
        <v>0</v>
      </c>
      <c r="W518" s="153">
        <f t="shared" ref="W518:AJ518" si="606">SUBTOTAL(9,W517)</f>
        <v>0</v>
      </c>
      <c r="X518" s="153">
        <f t="shared" si="606"/>
        <v>0</v>
      </c>
      <c r="Y518" s="153">
        <f t="shared" si="606"/>
        <v>0</v>
      </c>
      <c r="Z518" s="153">
        <f t="shared" si="606"/>
        <v>0</v>
      </c>
      <c r="AA518" s="153">
        <f t="shared" si="599"/>
        <v>0</v>
      </c>
      <c r="AB518" s="153">
        <f t="shared" si="606"/>
        <v>5</v>
      </c>
      <c r="AC518" s="153">
        <f t="shared" si="606"/>
        <v>0</v>
      </c>
      <c r="AD518" s="153">
        <f t="shared" si="606"/>
        <v>0</v>
      </c>
      <c r="AE518" s="153">
        <f t="shared" si="606"/>
        <v>0</v>
      </c>
      <c r="AF518" s="153">
        <f t="shared" si="606"/>
        <v>0</v>
      </c>
      <c r="AG518" s="153">
        <f t="shared" ref="AG518" si="607">SUBTOTAL(9,AG517)</f>
        <v>0</v>
      </c>
      <c r="AH518" s="153">
        <f t="shared" si="606"/>
        <v>0</v>
      </c>
      <c r="AI518" s="153">
        <f t="shared" si="601"/>
        <v>0</v>
      </c>
      <c r="AJ518" s="153">
        <f t="shared" si="606"/>
        <v>0</v>
      </c>
      <c r="AK518" s="156"/>
      <c r="AL518" s="156"/>
      <c r="AM518" s="156"/>
      <c r="AN518" s="156"/>
      <c r="AO518" s="156"/>
      <c r="AP518" s="155"/>
      <c r="AQ518" s="153">
        <f>SUBTOTAL(9,AQ517)</f>
        <v>0</v>
      </c>
      <c r="AR518" s="153">
        <f t="shared" ref="AR518:AT518" si="608">SUBTOTAL(9,AR517)</f>
        <v>0</v>
      </c>
      <c r="AS518" s="153">
        <f t="shared" si="608"/>
        <v>0</v>
      </c>
      <c r="AT518" s="153">
        <f t="shared" si="608"/>
        <v>0</v>
      </c>
      <c r="AU518" s="129"/>
      <c r="AV518" s="142"/>
      <c r="AW518" s="127"/>
      <c r="AX518" s="127" t="s">
        <v>55</v>
      </c>
    </row>
    <row r="519" spans="1:50" s="77" customFormat="1" ht="342" customHeight="1" x14ac:dyDescent="0.25">
      <c r="A519" s="166"/>
      <c r="B519" s="115" t="s">
        <v>224</v>
      </c>
      <c r="C519" s="115" t="s">
        <v>390</v>
      </c>
      <c r="D519" s="117" t="s">
        <v>356</v>
      </c>
      <c r="E519" s="117" t="s">
        <v>75</v>
      </c>
      <c r="F519" s="145"/>
      <c r="G519" s="147" t="s">
        <v>178</v>
      </c>
      <c r="H519" s="159">
        <v>5</v>
      </c>
      <c r="I519" s="199">
        <v>0</v>
      </c>
      <c r="J519" s="103">
        <v>0</v>
      </c>
      <c r="K519" s="104">
        <v>0</v>
      </c>
      <c r="L519" s="105">
        <v>0</v>
      </c>
      <c r="M519" s="106">
        <v>0</v>
      </c>
      <c r="N519" s="133">
        <f t="shared" si="548"/>
        <v>0</v>
      </c>
      <c r="O519" s="71">
        <v>5</v>
      </c>
      <c r="P519" s="71"/>
      <c r="Q519" s="159"/>
      <c r="R519" s="147" t="s">
        <v>51</v>
      </c>
      <c r="S519" s="160" t="s">
        <v>391</v>
      </c>
      <c r="T519" s="147" t="s">
        <v>389</v>
      </c>
      <c r="U519" s="159">
        <v>5</v>
      </c>
      <c r="V519" s="199">
        <v>0</v>
      </c>
      <c r="W519" s="103">
        <v>0</v>
      </c>
      <c r="X519" s="104">
        <v>0</v>
      </c>
      <c r="Y519" s="105">
        <v>0</v>
      </c>
      <c r="Z519" s="106">
        <v>0</v>
      </c>
      <c r="AA519" s="133">
        <f t="shared" si="599"/>
        <v>0</v>
      </c>
      <c r="AB519" s="71">
        <v>5</v>
      </c>
      <c r="AC519" s="159">
        <v>0</v>
      </c>
      <c r="AD519" s="199">
        <v>0</v>
      </c>
      <c r="AE519" s="103">
        <v>0</v>
      </c>
      <c r="AF519" s="104">
        <v>0</v>
      </c>
      <c r="AG519" s="105">
        <v>0</v>
      </c>
      <c r="AH519" s="106">
        <v>0</v>
      </c>
      <c r="AI519" s="133">
        <f t="shared" si="601"/>
        <v>0</v>
      </c>
      <c r="AJ519" s="71">
        <v>0</v>
      </c>
      <c r="AK519" s="159"/>
      <c r="AL519" s="159"/>
      <c r="AM519" s="72"/>
      <c r="AN519" s="159"/>
      <c r="AO519" s="72"/>
      <c r="AP519" s="147"/>
      <c r="AQ519" s="159">
        <v>0</v>
      </c>
      <c r="AR519" s="161">
        <v>0</v>
      </c>
      <c r="AS519" s="162">
        <v>0</v>
      </c>
      <c r="AT519" s="163">
        <v>0</v>
      </c>
      <c r="AU519" s="159"/>
      <c r="AV519" s="159"/>
      <c r="AW519" s="159"/>
      <c r="AX519" s="165" t="s">
        <v>214</v>
      </c>
    </row>
    <row r="520" spans="1:50" s="77" customFormat="1" ht="342" customHeight="1" x14ac:dyDescent="0.25">
      <c r="A520" s="166"/>
      <c r="B520" s="115" t="s">
        <v>224</v>
      </c>
      <c r="C520" s="115" t="s">
        <v>390</v>
      </c>
      <c r="D520" s="117" t="s">
        <v>356</v>
      </c>
      <c r="E520" s="117" t="s">
        <v>75</v>
      </c>
      <c r="F520" s="174" t="s">
        <v>61</v>
      </c>
      <c r="G520" s="127"/>
      <c r="H520" s="153">
        <f>SUBTOTAL(9,H519)</f>
        <v>5</v>
      </c>
      <c r="I520" s="153">
        <f t="shared" ref="I520" si="609">SUBTOTAL(9,I519)</f>
        <v>0</v>
      </c>
      <c r="J520" s="153">
        <f t="shared" ref="J520:O520" si="610">SUBTOTAL(9,J519)</f>
        <v>0</v>
      </c>
      <c r="K520" s="153">
        <f t="shared" si="610"/>
        <v>0</v>
      </c>
      <c r="L520" s="153">
        <f t="shared" si="610"/>
        <v>0</v>
      </c>
      <c r="M520" s="153">
        <f t="shared" si="610"/>
        <v>0</v>
      </c>
      <c r="N520" s="153">
        <f t="shared" si="548"/>
        <v>0</v>
      </c>
      <c r="O520" s="153">
        <f t="shared" si="610"/>
        <v>5</v>
      </c>
      <c r="P520" s="153"/>
      <c r="Q520" s="142"/>
      <c r="R520" s="129"/>
      <c r="S520" s="173"/>
      <c r="T520" s="130"/>
      <c r="U520" s="153">
        <f>SUBTOTAL(9,U519)</f>
        <v>5</v>
      </c>
      <c r="V520" s="153">
        <f t="shared" ref="V520" si="611">SUBTOTAL(9,V519)</f>
        <v>0</v>
      </c>
      <c r="W520" s="153">
        <f t="shared" ref="W520:AJ520" si="612">SUBTOTAL(9,W519)</f>
        <v>0</v>
      </c>
      <c r="X520" s="153">
        <f t="shared" si="612"/>
        <v>0</v>
      </c>
      <c r="Y520" s="153">
        <f t="shared" si="612"/>
        <v>0</v>
      </c>
      <c r="Z520" s="153">
        <f t="shared" si="612"/>
        <v>0</v>
      </c>
      <c r="AA520" s="153">
        <f t="shared" si="599"/>
        <v>0</v>
      </c>
      <c r="AB520" s="153">
        <f t="shared" si="612"/>
        <v>5</v>
      </c>
      <c r="AC520" s="153">
        <f t="shared" si="612"/>
        <v>0</v>
      </c>
      <c r="AD520" s="153">
        <f t="shared" si="612"/>
        <v>0</v>
      </c>
      <c r="AE520" s="153">
        <f t="shared" si="612"/>
        <v>0</v>
      </c>
      <c r="AF520" s="153">
        <f t="shared" si="612"/>
        <v>0</v>
      </c>
      <c r="AG520" s="153">
        <f t="shared" ref="AG520" si="613">SUBTOTAL(9,AG519)</f>
        <v>0</v>
      </c>
      <c r="AH520" s="153">
        <f t="shared" si="612"/>
        <v>0</v>
      </c>
      <c r="AI520" s="153">
        <f t="shared" si="601"/>
        <v>0</v>
      </c>
      <c r="AJ520" s="153">
        <f t="shared" si="612"/>
        <v>0</v>
      </c>
      <c r="AK520" s="156"/>
      <c r="AL520" s="156"/>
      <c r="AM520" s="156"/>
      <c r="AN520" s="156"/>
      <c r="AO520" s="156"/>
      <c r="AP520" s="155"/>
      <c r="AQ520" s="153">
        <f>SUBTOTAL(9,AQ519)</f>
        <v>0</v>
      </c>
      <c r="AR520" s="153">
        <f t="shared" ref="AR520:AT520" si="614">SUBTOTAL(9,AR519)</f>
        <v>0</v>
      </c>
      <c r="AS520" s="153">
        <f t="shared" si="614"/>
        <v>0</v>
      </c>
      <c r="AT520" s="153">
        <f t="shared" si="614"/>
        <v>0</v>
      </c>
      <c r="AU520" s="129"/>
      <c r="AV520" s="142"/>
      <c r="AW520" s="127"/>
      <c r="AX520" s="127" t="s">
        <v>214</v>
      </c>
    </row>
    <row r="521" spans="1:50" s="77" customFormat="1" ht="72" x14ac:dyDescent="0.25">
      <c r="A521" s="166"/>
      <c r="B521" s="115" t="s">
        <v>224</v>
      </c>
      <c r="C521" s="115" t="s">
        <v>392</v>
      </c>
      <c r="D521" s="117" t="s">
        <v>197</v>
      </c>
      <c r="E521" s="117" t="s">
        <v>75</v>
      </c>
      <c r="F521" s="267"/>
      <c r="G521" s="147" t="s">
        <v>231</v>
      </c>
      <c r="H521" s="159">
        <v>5</v>
      </c>
      <c r="I521" s="199">
        <v>0</v>
      </c>
      <c r="J521" s="103">
        <v>0</v>
      </c>
      <c r="K521" s="104">
        <v>0</v>
      </c>
      <c r="L521" s="105">
        <v>0</v>
      </c>
      <c r="M521" s="106">
        <v>0</v>
      </c>
      <c r="N521" s="133">
        <f t="shared" ref="N521:N584" si="615">SUM(I521:M521)</f>
        <v>0</v>
      </c>
      <c r="O521" s="71">
        <v>0</v>
      </c>
      <c r="P521" s="71"/>
      <c r="Q521" s="159"/>
      <c r="R521" s="147" t="s">
        <v>393</v>
      </c>
      <c r="S521" s="160" t="s">
        <v>394</v>
      </c>
      <c r="T521" s="147" t="s">
        <v>77</v>
      </c>
      <c r="U521" s="159">
        <v>0</v>
      </c>
      <c r="V521" s="199">
        <v>0</v>
      </c>
      <c r="W521" s="103">
        <v>0</v>
      </c>
      <c r="X521" s="104">
        <v>0</v>
      </c>
      <c r="Y521" s="105">
        <v>0</v>
      </c>
      <c r="Z521" s="106">
        <v>0</v>
      </c>
      <c r="AA521" s="133">
        <f t="shared" si="599"/>
        <v>0</v>
      </c>
      <c r="AB521" s="71">
        <v>5</v>
      </c>
      <c r="AC521" s="159">
        <v>0</v>
      </c>
      <c r="AD521" s="199">
        <v>0</v>
      </c>
      <c r="AE521" s="103">
        <v>0</v>
      </c>
      <c r="AF521" s="104">
        <v>0</v>
      </c>
      <c r="AG521" s="105">
        <v>0</v>
      </c>
      <c r="AH521" s="106">
        <v>0</v>
      </c>
      <c r="AI521" s="133">
        <f t="shared" si="601"/>
        <v>0</v>
      </c>
      <c r="AJ521" s="71">
        <v>0</v>
      </c>
      <c r="AK521" s="159"/>
      <c r="AL521" s="159"/>
      <c r="AM521" s="72"/>
      <c r="AN521" s="159"/>
      <c r="AO521" s="72"/>
      <c r="AP521" s="147"/>
      <c r="AQ521" s="159">
        <v>0</v>
      </c>
      <c r="AR521" s="161">
        <v>0</v>
      </c>
      <c r="AS521" s="162">
        <v>0</v>
      </c>
      <c r="AT521" s="163">
        <v>0</v>
      </c>
      <c r="AU521" s="159"/>
      <c r="AV521" s="159"/>
      <c r="AW521" s="159"/>
      <c r="AX521" s="165" t="s">
        <v>395</v>
      </c>
    </row>
    <row r="522" spans="1:50" s="77" customFormat="1" ht="72" x14ac:dyDescent="0.25">
      <c r="A522" s="166"/>
      <c r="B522" s="115" t="s">
        <v>224</v>
      </c>
      <c r="C522" s="115" t="s">
        <v>392</v>
      </c>
      <c r="D522" s="117" t="s">
        <v>197</v>
      </c>
      <c r="E522" s="117" t="s">
        <v>75</v>
      </c>
      <c r="F522" s="268"/>
      <c r="G522" s="147" t="s">
        <v>178</v>
      </c>
      <c r="H522" s="159">
        <v>5</v>
      </c>
      <c r="I522" s="199">
        <v>0</v>
      </c>
      <c r="J522" s="103">
        <v>0</v>
      </c>
      <c r="K522" s="104">
        <v>0</v>
      </c>
      <c r="L522" s="105">
        <v>0</v>
      </c>
      <c r="M522" s="106">
        <v>0</v>
      </c>
      <c r="N522" s="133">
        <f t="shared" si="615"/>
        <v>0</v>
      </c>
      <c r="O522" s="71">
        <v>5</v>
      </c>
      <c r="P522" s="71"/>
      <c r="Q522" s="159"/>
      <c r="R522" s="147" t="s">
        <v>393</v>
      </c>
      <c r="S522" s="160" t="s">
        <v>394</v>
      </c>
      <c r="T522" s="147" t="s">
        <v>77</v>
      </c>
      <c r="U522" s="159">
        <v>5</v>
      </c>
      <c r="V522" s="199">
        <v>0</v>
      </c>
      <c r="W522" s="103">
        <v>0</v>
      </c>
      <c r="X522" s="104">
        <v>0</v>
      </c>
      <c r="Y522" s="105">
        <v>0</v>
      </c>
      <c r="Z522" s="106">
        <v>0</v>
      </c>
      <c r="AA522" s="133">
        <f t="shared" si="599"/>
        <v>0</v>
      </c>
      <c r="AB522" s="71">
        <v>5</v>
      </c>
      <c r="AC522" s="159">
        <v>3</v>
      </c>
      <c r="AD522" s="199">
        <v>0</v>
      </c>
      <c r="AE522" s="103">
        <v>0</v>
      </c>
      <c r="AF522" s="104">
        <v>0</v>
      </c>
      <c r="AG522" s="105">
        <v>0</v>
      </c>
      <c r="AH522" s="106">
        <v>0</v>
      </c>
      <c r="AI522" s="133">
        <f t="shared" si="601"/>
        <v>0</v>
      </c>
      <c r="AJ522" s="71">
        <v>3</v>
      </c>
      <c r="AK522" s="159"/>
      <c r="AL522" s="159"/>
      <c r="AM522" s="72"/>
      <c r="AN522" s="159"/>
      <c r="AO522" s="72"/>
      <c r="AP522" s="147" t="s">
        <v>154</v>
      </c>
      <c r="AQ522" s="159">
        <v>3</v>
      </c>
      <c r="AR522" s="161">
        <v>0</v>
      </c>
      <c r="AS522" s="162">
        <v>0</v>
      </c>
      <c r="AT522" s="163">
        <v>3</v>
      </c>
      <c r="AU522" s="159"/>
      <c r="AV522" s="159"/>
      <c r="AW522" s="159"/>
      <c r="AX522" s="165" t="s">
        <v>395</v>
      </c>
    </row>
    <row r="523" spans="1:50" s="77" customFormat="1" ht="72" x14ac:dyDescent="0.25">
      <c r="A523" s="166"/>
      <c r="B523" s="115" t="s">
        <v>224</v>
      </c>
      <c r="C523" s="115" t="s">
        <v>392</v>
      </c>
      <c r="D523" s="117" t="s">
        <v>197</v>
      </c>
      <c r="E523" s="117" t="s">
        <v>75</v>
      </c>
      <c r="F523" s="269"/>
      <c r="G523" s="147" t="s">
        <v>227</v>
      </c>
      <c r="H523" s="159">
        <v>5</v>
      </c>
      <c r="I523" s="199">
        <v>0</v>
      </c>
      <c r="J523" s="103">
        <v>0</v>
      </c>
      <c r="K523" s="104">
        <v>0</v>
      </c>
      <c r="L523" s="105">
        <v>0</v>
      </c>
      <c r="M523" s="106">
        <v>0</v>
      </c>
      <c r="N523" s="133">
        <f t="shared" si="615"/>
        <v>0</v>
      </c>
      <c r="O523" s="71">
        <v>5</v>
      </c>
      <c r="P523" s="71"/>
      <c r="Q523" s="159"/>
      <c r="R523" s="147" t="s">
        <v>393</v>
      </c>
      <c r="S523" s="160" t="s">
        <v>394</v>
      </c>
      <c r="T523" s="147" t="s">
        <v>77</v>
      </c>
      <c r="U523" s="159">
        <v>5</v>
      </c>
      <c r="V523" s="199">
        <v>0</v>
      </c>
      <c r="W523" s="103">
        <v>0</v>
      </c>
      <c r="X523" s="104">
        <v>0</v>
      </c>
      <c r="Y523" s="105">
        <v>0</v>
      </c>
      <c r="Z523" s="106">
        <v>0</v>
      </c>
      <c r="AA523" s="133">
        <f t="shared" si="599"/>
        <v>0</v>
      </c>
      <c r="AB523" s="71">
        <v>5</v>
      </c>
      <c r="AC523" s="159">
        <v>0</v>
      </c>
      <c r="AD523" s="199">
        <v>0</v>
      </c>
      <c r="AE523" s="103">
        <v>0</v>
      </c>
      <c r="AF523" s="104">
        <v>0</v>
      </c>
      <c r="AG523" s="105">
        <v>0</v>
      </c>
      <c r="AH523" s="106">
        <v>0</v>
      </c>
      <c r="AI523" s="133">
        <f t="shared" si="601"/>
        <v>0</v>
      </c>
      <c r="AJ523" s="71">
        <v>0</v>
      </c>
      <c r="AK523" s="159"/>
      <c r="AL523" s="159"/>
      <c r="AM523" s="72"/>
      <c r="AN523" s="159"/>
      <c r="AO523" s="72"/>
      <c r="AP523" s="147"/>
      <c r="AQ523" s="159">
        <v>0</v>
      </c>
      <c r="AR523" s="161">
        <v>0</v>
      </c>
      <c r="AS523" s="162">
        <v>0</v>
      </c>
      <c r="AT523" s="163">
        <v>0</v>
      </c>
      <c r="AU523" s="159"/>
      <c r="AV523" s="159"/>
      <c r="AW523" s="159"/>
      <c r="AX523" s="165" t="s">
        <v>395</v>
      </c>
    </row>
    <row r="524" spans="1:50" s="77" customFormat="1" ht="54" x14ac:dyDescent="0.25">
      <c r="A524" s="166"/>
      <c r="B524" s="115" t="s">
        <v>224</v>
      </c>
      <c r="C524" s="115" t="s">
        <v>392</v>
      </c>
      <c r="D524" s="117" t="s">
        <v>197</v>
      </c>
      <c r="E524" s="117" t="s">
        <v>75</v>
      </c>
      <c r="F524" s="142" t="s">
        <v>61</v>
      </c>
      <c r="G524" s="127"/>
      <c r="H524" s="153">
        <f>SUBTOTAL(9,H521:H523)</f>
        <v>15</v>
      </c>
      <c r="I524" s="153">
        <f t="shared" ref="I524" si="616">SUBTOTAL(9,I521:I523)</f>
        <v>0</v>
      </c>
      <c r="J524" s="153">
        <f t="shared" ref="J524:O524" si="617">SUBTOTAL(9,J521:J523)</f>
        <v>0</v>
      </c>
      <c r="K524" s="153">
        <f t="shared" si="617"/>
        <v>0</v>
      </c>
      <c r="L524" s="153">
        <f t="shared" si="617"/>
        <v>0</v>
      </c>
      <c r="M524" s="153">
        <f t="shared" si="617"/>
        <v>0</v>
      </c>
      <c r="N524" s="153">
        <f t="shared" si="615"/>
        <v>0</v>
      </c>
      <c r="O524" s="153">
        <f t="shared" si="617"/>
        <v>10</v>
      </c>
      <c r="P524" s="153"/>
      <c r="Q524" s="142"/>
      <c r="R524" s="129"/>
      <c r="S524" s="173"/>
      <c r="T524" s="130"/>
      <c r="U524" s="153">
        <f>SUBTOTAL(9,U521:U523)</f>
        <v>10</v>
      </c>
      <c r="V524" s="153">
        <f t="shared" ref="V524" si="618">SUBTOTAL(9,V521:V523)</f>
        <v>0</v>
      </c>
      <c r="W524" s="153">
        <f t="shared" ref="W524:AJ524" si="619">SUBTOTAL(9,W521:W523)</f>
        <v>0</v>
      </c>
      <c r="X524" s="153">
        <f t="shared" si="619"/>
        <v>0</v>
      </c>
      <c r="Y524" s="153">
        <f t="shared" si="619"/>
        <v>0</v>
      </c>
      <c r="Z524" s="153">
        <f t="shared" si="619"/>
        <v>0</v>
      </c>
      <c r="AA524" s="153">
        <f t="shared" si="599"/>
        <v>0</v>
      </c>
      <c r="AB524" s="153">
        <f t="shared" si="619"/>
        <v>15</v>
      </c>
      <c r="AC524" s="153">
        <f t="shared" si="619"/>
        <v>3</v>
      </c>
      <c r="AD524" s="153">
        <f t="shared" si="619"/>
        <v>0</v>
      </c>
      <c r="AE524" s="153">
        <f t="shared" si="619"/>
        <v>0</v>
      </c>
      <c r="AF524" s="153">
        <f t="shared" si="619"/>
        <v>0</v>
      </c>
      <c r="AG524" s="153">
        <f t="shared" ref="AG524" si="620">SUBTOTAL(9,AG521:AG523)</f>
        <v>0</v>
      </c>
      <c r="AH524" s="153">
        <f t="shared" si="619"/>
        <v>0</v>
      </c>
      <c r="AI524" s="153">
        <f t="shared" si="601"/>
        <v>0</v>
      </c>
      <c r="AJ524" s="153">
        <f t="shared" si="619"/>
        <v>3</v>
      </c>
      <c r="AK524" s="156"/>
      <c r="AL524" s="156"/>
      <c r="AM524" s="156"/>
      <c r="AN524" s="156"/>
      <c r="AO524" s="156"/>
      <c r="AP524" s="155"/>
      <c r="AQ524" s="153">
        <f>SUBTOTAL(9,AQ521:AQ523)</f>
        <v>3</v>
      </c>
      <c r="AR524" s="153">
        <f t="shared" ref="AR524:AT524" si="621">SUBTOTAL(9,AR521:AR523)</f>
        <v>0</v>
      </c>
      <c r="AS524" s="153">
        <f t="shared" si="621"/>
        <v>0</v>
      </c>
      <c r="AT524" s="153">
        <f t="shared" si="621"/>
        <v>3</v>
      </c>
      <c r="AU524" s="129"/>
      <c r="AV524" s="142"/>
      <c r="AW524" s="127"/>
      <c r="AX524" s="127" t="s">
        <v>395</v>
      </c>
    </row>
    <row r="525" spans="1:50" s="77" customFormat="1" ht="72" x14ac:dyDescent="0.25">
      <c r="A525" s="166"/>
      <c r="B525" s="115" t="s">
        <v>224</v>
      </c>
      <c r="C525" s="115" t="s">
        <v>396</v>
      </c>
      <c r="D525" s="117" t="s">
        <v>197</v>
      </c>
      <c r="E525" s="117" t="s">
        <v>75</v>
      </c>
      <c r="F525" s="267"/>
      <c r="G525" s="147" t="s">
        <v>231</v>
      </c>
      <c r="H525" s="159">
        <v>5</v>
      </c>
      <c r="I525" s="199">
        <v>0</v>
      </c>
      <c r="J525" s="103">
        <v>0</v>
      </c>
      <c r="K525" s="104">
        <v>0</v>
      </c>
      <c r="L525" s="105">
        <v>0</v>
      </c>
      <c r="M525" s="106">
        <v>0</v>
      </c>
      <c r="N525" s="133">
        <f t="shared" si="615"/>
        <v>0</v>
      </c>
      <c r="O525" s="71">
        <v>0</v>
      </c>
      <c r="P525" s="71"/>
      <c r="Q525" s="159"/>
      <c r="R525" s="147" t="s">
        <v>393</v>
      </c>
      <c r="S525" s="160" t="s">
        <v>397</v>
      </c>
      <c r="T525" s="147" t="s">
        <v>77</v>
      </c>
      <c r="U525" s="159">
        <v>0</v>
      </c>
      <c r="V525" s="199">
        <v>0</v>
      </c>
      <c r="W525" s="103">
        <v>0</v>
      </c>
      <c r="X525" s="104">
        <v>0</v>
      </c>
      <c r="Y525" s="105">
        <v>0</v>
      </c>
      <c r="Z525" s="106">
        <v>0</v>
      </c>
      <c r="AA525" s="133">
        <f t="shared" si="599"/>
        <v>0</v>
      </c>
      <c r="AB525" s="71">
        <v>5</v>
      </c>
      <c r="AC525" s="159">
        <v>0</v>
      </c>
      <c r="AD525" s="199">
        <v>0</v>
      </c>
      <c r="AE525" s="103">
        <v>0</v>
      </c>
      <c r="AF525" s="104">
        <v>0</v>
      </c>
      <c r="AG525" s="105">
        <v>0</v>
      </c>
      <c r="AH525" s="106">
        <v>0</v>
      </c>
      <c r="AI525" s="133">
        <f t="shared" si="601"/>
        <v>0</v>
      </c>
      <c r="AJ525" s="71">
        <v>0</v>
      </c>
      <c r="AK525" s="159"/>
      <c r="AL525" s="159"/>
      <c r="AM525" s="72"/>
      <c r="AN525" s="159"/>
      <c r="AO525" s="72"/>
      <c r="AP525" s="147"/>
      <c r="AQ525" s="159">
        <v>0</v>
      </c>
      <c r="AR525" s="161">
        <v>0</v>
      </c>
      <c r="AS525" s="162">
        <v>0</v>
      </c>
      <c r="AT525" s="163">
        <v>0</v>
      </c>
      <c r="AU525" s="159"/>
      <c r="AV525" s="159"/>
      <c r="AW525" s="159"/>
      <c r="AX525" s="165" t="s">
        <v>395</v>
      </c>
    </row>
    <row r="526" spans="1:50" s="77" customFormat="1" ht="72" x14ac:dyDescent="0.25">
      <c r="A526" s="166"/>
      <c r="B526" s="115" t="s">
        <v>224</v>
      </c>
      <c r="C526" s="115" t="s">
        <v>396</v>
      </c>
      <c r="D526" s="117" t="s">
        <v>197</v>
      </c>
      <c r="E526" s="117" t="s">
        <v>75</v>
      </c>
      <c r="F526" s="268"/>
      <c r="G526" s="147" t="s">
        <v>178</v>
      </c>
      <c r="H526" s="159">
        <v>5</v>
      </c>
      <c r="I526" s="199">
        <v>0</v>
      </c>
      <c r="J526" s="103">
        <v>0</v>
      </c>
      <c r="K526" s="104">
        <v>0</v>
      </c>
      <c r="L526" s="105">
        <v>0</v>
      </c>
      <c r="M526" s="106">
        <v>0</v>
      </c>
      <c r="N526" s="133">
        <f t="shared" si="615"/>
        <v>0</v>
      </c>
      <c r="O526" s="71">
        <v>5</v>
      </c>
      <c r="P526" s="71"/>
      <c r="Q526" s="159"/>
      <c r="R526" s="147" t="s">
        <v>393</v>
      </c>
      <c r="S526" s="160" t="s">
        <v>397</v>
      </c>
      <c r="T526" s="147" t="s">
        <v>77</v>
      </c>
      <c r="U526" s="159">
        <v>5</v>
      </c>
      <c r="V526" s="199">
        <v>0</v>
      </c>
      <c r="W526" s="103">
        <v>0</v>
      </c>
      <c r="X526" s="104">
        <v>0</v>
      </c>
      <c r="Y526" s="105">
        <v>0</v>
      </c>
      <c r="Z526" s="106">
        <v>0</v>
      </c>
      <c r="AA526" s="133">
        <f t="shared" si="599"/>
        <v>0</v>
      </c>
      <c r="AB526" s="71">
        <v>5</v>
      </c>
      <c r="AC526" s="159">
        <v>3</v>
      </c>
      <c r="AD526" s="199">
        <v>0</v>
      </c>
      <c r="AE526" s="103">
        <v>0</v>
      </c>
      <c r="AF526" s="104">
        <v>0</v>
      </c>
      <c r="AG526" s="105">
        <v>0</v>
      </c>
      <c r="AH526" s="106">
        <v>0</v>
      </c>
      <c r="AI526" s="133">
        <f t="shared" si="601"/>
        <v>0</v>
      </c>
      <c r="AJ526" s="71">
        <v>3</v>
      </c>
      <c r="AK526" s="159"/>
      <c r="AL526" s="159"/>
      <c r="AM526" s="72"/>
      <c r="AN526" s="159"/>
      <c r="AO526" s="72"/>
      <c r="AP526" s="147" t="s">
        <v>154</v>
      </c>
      <c r="AQ526" s="159">
        <v>3</v>
      </c>
      <c r="AR526" s="161">
        <v>0</v>
      </c>
      <c r="AS526" s="162">
        <v>0</v>
      </c>
      <c r="AT526" s="163">
        <v>3</v>
      </c>
      <c r="AU526" s="159"/>
      <c r="AV526" s="159"/>
      <c r="AW526" s="159"/>
      <c r="AX526" s="165" t="s">
        <v>395</v>
      </c>
    </row>
    <row r="527" spans="1:50" s="77" customFormat="1" ht="72" x14ac:dyDescent="0.25">
      <c r="A527" s="166"/>
      <c r="B527" s="115" t="s">
        <v>224</v>
      </c>
      <c r="C527" s="115" t="s">
        <v>396</v>
      </c>
      <c r="D527" s="117" t="s">
        <v>197</v>
      </c>
      <c r="E527" s="117" t="s">
        <v>75</v>
      </c>
      <c r="F527" s="269"/>
      <c r="G527" s="147" t="s">
        <v>227</v>
      </c>
      <c r="H527" s="159">
        <v>5</v>
      </c>
      <c r="I527" s="199">
        <v>0</v>
      </c>
      <c r="J527" s="103">
        <v>0</v>
      </c>
      <c r="K527" s="104">
        <v>0</v>
      </c>
      <c r="L527" s="105">
        <v>0</v>
      </c>
      <c r="M527" s="106">
        <v>0</v>
      </c>
      <c r="N527" s="133">
        <f t="shared" si="615"/>
        <v>0</v>
      </c>
      <c r="O527" s="71">
        <v>5</v>
      </c>
      <c r="P527" s="71"/>
      <c r="Q527" s="159"/>
      <c r="R527" s="147" t="s">
        <v>393</v>
      </c>
      <c r="S527" s="160" t="s">
        <v>397</v>
      </c>
      <c r="T527" s="147" t="s">
        <v>77</v>
      </c>
      <c r="U527" s="159">
        <v>5</v>
      </c>
      <c r="V527" s="199">
        <v>0</v>
      </c>
      <c r="W527" s="103">
        <v>0</v>
      </c>
      <c r="X527" s="104">
        <v>0</v>
      </c>
      <c r="Y527" s="105">
        <v>0</v>
      </c>
      <c r="Z527" s="106">
        <v>0</v>
      </c>
      <c r="AA527" s="133">
        <f t="shared" si="599"/>
        <v>0</v>
      </c>
      <c r="AB527" s="71">
        <v>5</v>
      </c>
      <c r="AC527" s="159">
        <v>0</v>
      </c>
      <c r="AD527" s="199">
        <v>0</v>
      </c>
      <c r="AE527" s="103">
        <v>0</v>
      </c>
      <c r="AF527" s="104">
        <v>0</v>
      </c>
      <c r="AG527" s="105">
        <v>0</v>
      </c>
      <c r="AH527" s="106">
        <v>0</v>
      </c>
      <c r="AI527" s="133">
        <f t="shared" si="601"/>
        <v>0</v>
      </c>
      <c r="AJ527" s="71">
        <v>0</v>
      </c>
      <c r="AK527" s="159"/>
      <c r="AL527" s="159"/>
      <c r="AM527" s="72"/>
      <c r="AN527" s="159"/>
      <c r="AO527" s="72"/>
      <c r="AP527" s="147"/>
      <c r="AQ527" s="159">
        <v>0</v>
      </c>
      <c r="AR527" s="161">
        <v>0</v>
      </c>
      <c r="AS527" s="162">
        <v>0</v>
      </c>
      <c r="AT527" s="163">
        <v>0</v>
      </c>
      <c r="AU527" s="159"/>
      <c r="AV527" s="159"/>
      <c r="AW527" s="159"/>
      <c r="AX527" s="165" t="s">
        <v>395</v>
      </c>
    </row>
    <row r="528" spans="1:50" s="77" customFormat="1" ht="36" x14ac:dyDescent="0.25">
      <c r="A528" s="166"/>
      <c r="B528" s="115" t="s">
        <v>224</v>
      </c>
      <c r="C528" s="115" t="s">
        <v>396</v>
      </c>
      <c r="D528" s="117" t="s">
        <v>197</v>
      </c>
      <c r="E528" s="117" t="s">
        <v>75</v>
      </c>
      <c r="F528" s="142" t="s">
        <v>61</v>
      </c>
      <c r="G528" s="127"/>
      <c r="H528" s="153">
        <f>SUBTOTAL(9,H525:H527)</f>
        <v>15</v>
      </c>
      <c r="I528" s="153">
        <f t="shared" ref="I528" si="622">SUBTOTAL(9,I525:I527)</f>
        <v>0</v>
      </c>
      <c r="J528" s="153">
        <f t="shared" ref="J528:O528" si="623">SUBTOTAL(9,J525:J527)</f>
        <v>0</v>
      </c>
      <c r="K528" s="153">
        <f t="shared" si="623"/>
        <v>0</v>
      </c>
      <c r="L528" s="153">
        <f t="shared" si="623"/>
        <v>0</v>
      </c>
      <c r="M528" s="153">
        <f t="shared" si="623"/>
        <v>0</v>
      </c>
      <c r="N528" s="153">
        <f t="shared" si="615"/>
        <v>0</v>
      </c>
      <c r="O528" s="153">
        <f t="shared" si="623"/>
        <v>10</v>
      </c>
      <c r="P528" s="153"/>
      <c r="Q528" s="142"/>
      <c r="R528" s="129"/>
      <c r="S528" s="173"/>
      <c r="T528" s="130"/>
      <c r="U528" s="153">
        <f>SUBTOTAL(9,U525:U527)</f>
        <v>10</v>
      </c>
      <c r="V528" s="153">
        <f t="shared" ref="V528" si="624">SUBTOTAL(9,V525:V527)</f>
        <v>0</v>
      </c>
      <c r="W528" s="153">
        <f t="shared" ref="W528:AJ528" si="625">SUBTOTAL(9,W525:W527)</f>
        <v>0</v>
      </c>
      <c r="X528" s="153">
        <f t="shared" si="625"/>
        <v>0</v>
      </c>
      <c r="Y528" s="153">
        <f t="shared" si="625"/>
        <v>0</v>
      </c>
      <c r="Z528" s="153">
        <f t="shared" si="625"/>
        <v>0</v>
      </c>
      <c r="AA528" s="153">
        <f t="shared" si="599"/>
        <v>0</v>
      </c>
      <c r="AB528" s="153">
        <f t="shared" si="625"/>
        <v>15</v>
      </c>
      <c r="AC528" s="153">
        <f t="shared" si="625"/>
        <v>3</v>
      </c>
      <c r="AD528" s="153">
        <f t="shared" si="625"/>
        <v>0</v>
      </c>
      <c r="AE528" s="153">
        <f t="shared" si="625"/>
        <v>0</v>
      </c>
      <c r="AF528" s="153">
        <f t="shared" si="625"/>
        <v>0</v>
      </c>
      <c r="AG528" s="153">
        <f t="shared" ref="AG528" si="626">SUBTOTAL(9,AG525:AG527)</f>
        <v>0</v>
      </c>
      <c r="AH528" s="153">
        <f t="shared" si="625"/>
        <v>0</v>
      </c>
      <c r="AI528" s="153">
        <f t="shared" si="601"/>
        <v>0</v>
      </c>
      <c r="AJ528" s="153">
        <f t="shared" si="625"/>
        <v>3</v>
      </c>
      <c r="AK528" s="156"/>
      <c r="AL528" s="156"/>
      <c r="AM528" s="156"/>
      <c r="AN528" s="156"/>
      <c r="AO528" s="156"/>
      <c r="AP528" s="155"/>
      <c r="AQ528" s="153">
        <f>SUBTOTAL(9,AQ525:AQ527)</f>
        <v>3</v>
      </c>
      <c r="AR528" s="153">
        <f t="shared" ref="AR528:AT528" si="627">SUBTOTAL(9,AR525:AR527)</f>
        <v>0</v>
      </c>
      <c r="AS528" s="153">
        <f t="shared" si="627"/>
        <v>0</v>
      </c>
      <c r="AT528" s="153">
        <f t="shared" si="627"/>
        <v>3</v>
      </c>
      <c r="AU528" s="129"/>
      <c r="AV528" s="142"/>
      <c r="AW528" s="127"/>
      <c r="AX528" s="127" t="s">
        <v>395</v>
      </c>
    </row>
    <row r="529" spans="1:50" s="77" customFormat="1" ht="75" x14ac:dyDescent="0.25">
      <c r="A529" s="166"/>
      <c r="B529" s="115" t="s">
        <v>266</v>
      </c>
      <c r="C529" s="115" t="s">
        <v>398</v>
      </c>
      <c r="D529" s="117" t="s">
        <v>106</v>
      </c>
      <c r="E529" s="138" t="s">
        <v>268</v>
      </c>
      <c r="F529" s="272" t="s">
        <v>49</v>
      </c>
      <c r="G529" s="119" t="s">
        <v>178</v>
      </c>
      <c r="H529" s="136">
        <v>20</v>
      </c>
      <c r="I529" s="199">
        <v>0</v>
      </c>
      <c r="J529" s="103">
        <v>0</v>
      </c>
      <c r="K529" s="104">
        <v>0</v>
      </c>
      <c r="L529" s="105">
        <v>0</v>
      </c>
      <c r="M529" s="106">
        <v>0</v>
      </c>
      <c r="N529" s="133">
        <f t="shared" si="615"/>
        <v>0</v>
      </c>
      <c r="O529" s="71">
        <v>20</v>
      </c>
      <c r="P529" s="71"/>
      <c r="Q529" s="136"/>
      <c r="R529" s="119" t="s">
        <v>179</v>
      </c>
      <c r="S529" s="120" t="s">
        <v>399</v>
      </c>
      <c r="T529" s="277" t="s">
        <v>211</v>
      </c>
      <c r="U529" s="136">
        <v>20</v>
      </c>
      <c r="V529" s="199">
        <v>0</v>
      </c>
      <c r="W529" s="103">
        <v>0</v>
      </c>
      <c r="X529" s="104">
        <v>0</v>
      </c>
      <c r="Y529" s="105">
        <v>0</v>
      </c>
      <c r="Z529" s="106">
        <v>0</v>
      </c>
      <c r="AA529" s="133">
        <f t="shared" si="599"/>
        <v>0</v>
      </c>
      <c r="AB529" s="71">
        <v>20</v>
      </c>
      <c r="AC529" s="159">
        <v>20</v>
      </c>
      <c r="AD529" s="199">
        <v>0</v>
      </c>
      <c r="AE529" s="103">
        <v>0</v>
      </c>
      <c r="AF529" s="104">
        <v>0</v>
      </c>
      <c r="AG529" s="105">
        <v>0</v>
      </c>
      <c r="AH529" s="106">
        <v>0</v>
      </c>
      <c r="AI529" s="133">
        <f t="shared" si="601"/>
        <v>0</v>
      </c>
      <c r="AJ529" s="71">
        <v>20</v>
      </c>
      <c r="AK529" s="136"/>
      <c r="AL529" s="136" t="s">
        <v>335</v>
      </c>
      <c r="AM529" s="72">
        <v>18</v>
      </c>
      <c r="AN529" s="136"/>
      <c r="AO529" s="72"/>
      <c r="AP529" s="119" t="s">
        <v>184</v>
      </c>
      <c r="AQ529" s="136">
        <v>30</v>
      </c>
      <c r="AR529" s="161">
        <v>0</v>
      </c>
      <c r="AS529" s="162">
        <v>0</v>
      </c>
      <c r="AT529" s="163">
        <v>30</v>
      </c>
      <c r="AU529" s="119"/>
      <c r="AV529" s="136"/>
      <c r="AW529" s="119"/>
      <c r="AX529" s="165" t="s">
        <v>147</v>
      </c>
    </row>
    <row r="530" spans="1:50" s="77" customFormat="1" ht="75" x14ac:dyDescent="0.25">
      <c r="A530" s="166"/>
      <c r="B530" s="115" t="s">
        <v>266</v>
      </c>
      <c r="C530" s="115" t="s">
        <v>398</v>
      </c>
      <c r="D530" s="117" t="s">
        <v>106</v>
      </c>
      <c r="E530" s="138" t="s">
        <v>268</v>
      </c>
      <c r="F530" s="272"/>
      <c r="G530" s="119" t="s">
        <v>172</v>
      </c>
      <c r="H530" s="136">
        <v>10</v>
      </c>
      <c r="I530" s="199">
        <v>0</v>
      </c>
      <c r="J530" s="103">
        <v>0</v>
      </c>
      <c r="K530" s="104">
        <v>0</v>
      </c>
      <c r="L530" s="105">
        <v>0</v>
      </c>
      <c r="M530" s="106">
        <v>0</v>
      </c>
      <c r="N530" s="133">
        <f t="shared" si="615"/>
        <v>0</v>
      </c>
      <c r="O530" s="71">
        <v>10</v>
      </c>
      <c r="P530" s="71"/>
      <c r="Q530" s="136"/>
      <c r="R530" s="119" t="s">
        <v>179</v>
      </c>
      <c r="S530" s="120" t="s">
        <v>399</v>
      </c>
      <c r="T530" s="277"/>
      <c r="U530" s="136">
        <v>10</v>
      </c>
      <c r="V530" s="199">
        <v>0</v>
      </c>
      <c r="W530" s="103">
        <v>0</v>
      </c>
      <c r="X530" s="104">
        <v>0</v>
      </c>
      <c r="Y530" s="105">
        <v>0</v>
      </c>
      <c r="Z530" s="106">
        <v>0</v>
      </c>
      <c r="AA530" s="133">
        <f t="shared" si="599"/>
        <v>0</v>
      </c>
      <c r="AB530" s="71">
        <v>10</v>
      </c>
      <c r="AC530" s="159">
        <v>10</v>
      </c>
      <c r="AD530" s="199">
        <v>0</v>
      </c>
      <c r="AE530" s="103">
        <v>0</v>
      </c>
      <c r="AF530" s="104">
        <v>0</v>
      </c>
      <c r="AG530" s="105">
        <v>0</v>
      </c>
      <c r="AH530" s="106">
        <v>0</v>
      </c>
      <c r="AI530" s="133">
        <f t="shared" si="601"/>
        <v>0</v>
      </c>
      <c r="AJ530" s="71">
        <v>10</v>
      </c>
      <c r="AK530" s="136"/>
      <c r="AL530" s="136"/>
      <c r="AM530" s="72"/>
      <c r="AN530" s="136"/>
      <c r="AO530" s="72"/>
      <c r="AP530" s="119" t="s">
        <v>184</v>
      </c>
      <c r="AQ530" s="136">
        <v>30</v>
      </c>
      <c r="AR530" s="161">
        <v>0</v>
      </c>
      <c r="AS530" s="162">
        <v>0</v>
      </c>
      <c r="AT530" s="163">
        <v>30</v>
      </c>
      <c r="AU530" s="119"/>
      <c r="AV530" s="136"/>
      <c r="AW530" s="119"/>
      <c r="AX530" s="165" t="s">
        <v>147</v>
      </c>
    </row>
    <row r="531" spans="1:50" s="77" customFormat="1" ht="36" x14ac:dyDescent="0.25">
      <c r="A531" s="166"/>
      <c r="B531" s="115" t="s">
        <v>266</v>
      </c>
      <c r="C531" s="115" t="s">
        <v>398</v>
      </c>
      <c r="D531" s="117" t="s">
        <v>106</v>
      </c>
      <c r="E531" s="138" t="s">
        <v>268</v>
      </c>
      <c r="F531" s="142" t="s">
        <v>61</v>
      </c>
      <c r="G531" s="127"/>
      <c r="H531" s="142">
        <f>SUM(H529:H530)</f>
        <v>30</v>
      </c>
      <c r="I531" s="142">
        <f t="shared" ref="I531" si="628">SUM(I529:I530)</f>
        <v>0</v>
      </c>
      <c r="J531" s="142">
        <f t="shared" ref="J531:M531" si="629">SUM(J529:J530)</f>
        <v>0</v>
      </c>
      <c r="K531" s="142">
        <f t="shared" si="629"/>
        <v>0</v>
      </c>
      <c r="L531" s="142">
        <f t="shared" si="629"/>
        <v>0</v>
      </c>
      <c r="M531" s="142">
        <f t="shared" si="629"/>
        <v>0</v>
      </c>
      <c r="N531" s="142">
        <f t="shared" si="615"/>
        <v>0</v>
      </c>
      <c r="O531" s="142">
        <f t="shared" ref="O531" si="630">SUM(O529:O530)</f>
        <v>30</v>
      </c>
      <c r="P531" s="142"/>
      <c r="Q531" s="142"/>
      <c r="R531" s="129"/>
      <c r="S531" s="173"/>
      <c r="T531" s="130"/>
      <c r="U531" s="142">
        <f>SUM(U529:U530)</f>
        <v>30</v>
      </c>
      <c r="V531" s="142">
        <f t="shared" ref="V531" si="631">SUM(V529:V530)</f>
        <v>0</v>
      </c>
      <c r="W531" s="142">
        <f t="shared" ref="W531:AJ531" si="632">SUM(W529:W530)</f>
        <v>0</v>
      </c>
      <c r="X531" s="142">
        <f t="shared" si="632"/>
        <v>0</v>
      </c>
      <c r="Y531" s="142">
        <f t="shared" si="632"/>
        <v>0</v>
      </c>
      <c r="Z531" s="142">
        <f t="shared" si="632"/>
        <v>0</v>
      </c>
      <c r="AA531" s="142">
        <f t="shared" si="599"/>
        <v>0</v>
      </c>
      <c r="AB531" s="142">
        <f t="shared" si="632"/>
        <v>30</v>
      </c>
      <c r="AC531" s="142">
        <f t="shared" si="632"/>
        <v>30</v>
      </c>
      <c r="AD531" s="142">
        <f t="shared" si="632"/>
        <v>0</v>
      </c>
      <c r="AE531" s="142">
        <f t="shared" si="632"/>
        <v>0</v>
      </c>
      <c r="AF531" s="142">
        <f t="shared" si="632"/>
        <v>0</v>
      </c>
      <c r="AG531" s="142">
        <f t="shared" ref="AG531" si="633">SUM(AG529:AG530)</f>
        <v>0</v>
      </c>
      <c r="AH531" s="142">
        <f t="shared" si="632"/>
        <v>0</v>
      </c>
      <c r="AI531" s="142">
        <f t="shared" si="601"/>
        <v>0</v>
      </c>
      <c r="AJ531" s="142">
        <f t="shared" si="632"/>
        <v>30</v>
      </c>
      <c r="AK531" s="142"/>
      <c r="AL531" s="142"/>
      <c r="AM531" s="142"/>
      <c r="AN531" s="142"/>
      <c r="AO531" s="142"/>
      <c r="AP531" s="127"/>
      <c r="AQ531" s="142">
        <f>SUM(AQ529:AQ530)</f>
        <v>60</v>
      </c>
      <c r="AR531" s="142">
        <f t="shared" ref="AR531:AT531" si="634">SUM(AR529:AR530)</f>
        <v>0</v>
      </c>
      <c r="AS531" s="142">
        <f t="shared" si="634"/>
        <v>0</v>
      </c>
      <c r="AT531" s="142">
        <f t="shared" si="634"/>
        <v>60</v>
      </c>
      <c r="AU531" s="129"/>
      <c r="AV531" s="142"/>
      <c r="AW531" s="127"/>
      <c r="AX531" s="127" t="s">
        <v>147</v>
      </c>
    </row>
    <row r="532" spans="1:50" s="77" customFormat="1" ht="37.5" x14ac:dyDescent="0.25">
      <c r="A532" s="166"/>
      <c r="B532" s="115" t="s">
        <v>266</v>
      </c>
      <c r="C532" s="115" t="s">
        <v>400</v>
      </c>
      <c r="D532" s="117" t="s">
        <v>106</v>
      </c>
      <c r="E532" s="138" t="s">
        <v>268</v>
      </c>
      <c r="F532" s="272" t="s">
        <v>49</v>
      </c>
      <c r="G532" s="119" t="s">
        <v>178</v>
      </c>
      <c r="H532" s="136">
        <v>20</v>
      </c>
      <c r="I532" s="199">
        <v>0</v>
      </c>
      <c r="J532" s="103">
        <v>0</v>
      </c>
      <c r="K532" s="104">
        <v>0</v>
      </c>
      <c r="L532" s="105">
        <v>0</v>
      </c>
      <c r="M532" s="106">
        <v>0</v>
      </c>
      <c r="N532" s="133">
        <f t="shared" si="615"/>
        <v>0</v>
      </c>
      <c r="O532" s="71">
        <v>20</v>
      </c>
      <c r="P532" s="71"/>
      <c r="Q532" s="136"/>
      <c r="R532" s="119" t="s">
        <v>179</v>
      </c>
      <c r="S532" s="120" t="s">
        <v>401</v>
      </c>
      <c r="T532" s="277" t="s">
        <v>211</v>
      </c>
      <c r="U532" s="136">
        <v>20</v>
      </c>
      <c r="V532" s="199">
        <v>0</v>
      </c>
      <c r="W532" s="103">
        <v>0</v>
      </c>
      <c r="X532" s="104">
        <v>0</v>
      </c>
      <c r="Y532" s="105">
        <v>0</v>
      </c>
      <c r="Z532" s="106">
        <v>0</v>
      </c>
      <c r="AA532" s="133">
        <f t="shared" si="599"/>
        <v>0</v>
      </c>
      <c r="AB532" s="71">
        <v>20</v>
      </c>
      <c r="AC532" s="159">
        <v>20</v>
      </c>
      <c r="AD532" s="199">
        <v>0</v>
      </c>
      <c r="AE532" s="103">
        <v>0</v>
      </c>
      <c r="AF532" s="104">
        <v>0</v>
      </c>
      <c r="AG532" s="105">
        <v>0</v>
      </c>
      <c r="AH532" s="106">
        <v>0</v>
      </c>
      <c r="AI532" s="133">
        <f t="shared" si="601"/>
        <v>0</v>
      </c>
      <c r="AJ532" s="71">
        <v>20</v>
      </c>
      <c r="AK532" s="136"/>
      <c r="AL532" s="136"/>
      <c r="AM532" s="72"/>
      <c r="AN532" s="136"/>
      <c r="AO532" s="72"/>
      <c r="AP532" s="119" t="s">
        <v>184</v>
      </c>
      <c r="AQ532" s="136">
        <v>30</v>
      </c>
      <c r="AR532" s="161">
        <v>0</v>
      </c>
      <c r="AS532" s="162">
        <v>0</v>
      </c>
      <c r="AT532" s="163">
        <v>30</v>
      </c>
      <c r="AU532" s="119"/>
      <c r="AV532" s="136"/>
      <c r="AW532" s="119"/>
      <c r="AX532" s="165" t="s">
        <v>147</v>
      </c>
    </row>
    <row r="533" spans="1:50" s="77" customFormat="1" ht="37.5" x14ac:dyDescent="0.25">
      <c r="A533" s="166"/>
      <c r="B533" s="115" t="s">
        <v>266</v>
      </c>
      <c r="C533" s="115" t="s">
        <v>400</v>
      </c>
      <c r="D533" s="117" t="s">
        <v>106</v>
      </c>
      <c r="E533" s="138" t="s">
        <v>268</v>
      </c>
      <c r="F533" s="272"/>
      <c r="G533" s="119" t="s">
        <v>172</v>
      </c>
      <c r="H533" s="136">
        <v>10</v>
      </c>
      <c r="I533" s="199">
        <v>0</v>
      </c>
      <c r="J533" s="103">
        <v>0</v>
      </c>
      <c r="K533" s="104">
        <v>0</v>
      </c>
      <c r="L533" s="105">
        <v>0</v>
      </c>
      <c r="M533" s="106">
        <v>0</v>
      </c>
      <c r="N533" s="133">
        <f t="shared" si="615"/>
        <v>0</v>
      </c>
      <c r="O533" s="71">
        <v>10</v>
      </c>
      <c r="P533" s="71"/>
      <c r="Q533" s="136"/>
      <c r="R533" s="119" t="s">
        <v>179</v>
      </c>
      <c r="S533" s="120" t="s">
        <v>402</v>
      </c>
      <c r="T533" s="277"/>
      <c r="U533" s="136">
        <v>10</v>
      </c>
      <c r="V533" s="199">
        <v>0</v>
      </c>
      <c r="W533" s="103">
        <v>0</v>
      </c>
      <c r="X533" s="104">
        <v>0</v>
      </c>
      <c r="Y533" s="105">
        <v>0</v>
      </c>
      <c r="Z533" s="106">
        <v>0</v>
      </c>
      <c r="AA533" s="133">
        <f t="shared" si="599"/>
        <v>0</v>
      </c>
      <c r="AB533" s="71">
        <v>10</v>
      </c>
      <c r="AC533" s="159">
        <v>10</v>
      </c>
      <c r="AD533" s="199">
        <v>0</v>
      </c>
      <c r="AE533" s="103">
        <v>0</v>
      </c>
      <c r="AF533" s="104">
        <v>0</v>
      </c>
      <c r="AG533" s="105">
        <v>0</v>
      </c>
      <c r="AH533" s="106">
        <v>0</v>
      </c>
      <c r="AI533" s="133">
        <f t="shared" si="601"/>
        <v>0</v>
      </c>
      <c r="AJ533" s="71">
        <v>10</v>
      </c>
      <c r="AK533" s="136"/>
      <c r="AL533" s="136"/>
      <c r="AM533" s="72"/>
      <c r="AN533" s="136"/>
      <c r="AO533" s="72"/>
      <c r="AP533" s="119" t="s">
        <v>184</v>
      </c>
      <c r="AQ533" s="136">
        <v>30</v>
      </c>
      <c r="AR533" s="161">
        <v>0</v>
      </c>
      <c r="AS533" s="162">
        <v>0</v>
      </c>
      <c r="AT533" s="163">
        <v>30</v>
      </c>
      <c r="AU533" s="119"/>
      <c r="AV533" s="136"/>
      <c r="AW533" s="119"/>
      <c r="AX533" s="165" t="s">
        <v>147</v>
      </c>
    </row>
    <row r="534" spans="1:50" s="77" customFormat="1" ht="18.75" customHeight="1" x14ac:dyDescent="0.25">
      <c r="A534" s="166"/>
      <c r="B534" s="115" t="s">
        <v>266</v>
      </c>
      <c r="C534" s="115" t="s">
        <v>400</v>
      </c>
      <c r="D534" s="117" t="s">
        <v>106</v>
      </c>
      <c r="E534" s="138" t="s">
        <v>268</v>
      </c>
      <c r="F534" s="142" t="s">
        <v>61</v>
      </c>
      <c r="G534" s="127"/>
      <c r="H534" s="142">
        <f>SUM(H532:H533)</f>
        <v>30</v>
      </c>
      <c r="I534" s="142">
        <f t="shared" ref="I534" si="635">SUM(I532:I533)</f>
        <v>0</v>
      </c>
      <c r="J534" s="142">
        <f t="shared" ref="J534:O534" si="636">SUM(J532:J533)</f>
        <v>0</v>
      </c>
      <c r="K534" s="142">
        <f t="shared" si="636"/>
        <v>0</v>
      </c>
      <c r="L534" s="142">
        <f t="shared" si="636"/>
        <v>0</v>
      </c>
      <c r="M534" s="142">
        <f t="shared" si="636"/>
        <v>0</v>
      </c>
      <c r="N534" s="142">
        <f t="shared" si="615"/>
        <v>0</v>
      </c>
      <c r="O534" s="142">
        <f t="shared" si="636"/>
        <v>30</v>
      </c>
      <c r="P534" s="142"/>
      <c r="Q534" s="142"/>
      <c r="R534" s="129"/>
      <c r="S534" s="173"/>
      <c r="T534" s="130"/>
      <c r="U534" s="142">
        <f>SUM(U532:U533)</f>
        <v>30</v>
      </c>
      <c r="V534" s="142">
        <f t="shared" ref="V534" si="637">SUM(V532:V533)</f>
        <v>0</v>
      </c>
      <c r="W534" s="142">
        <f t="shared" ref="W534:AJ534" si="638">SUM(W532:W533)</f>
        <v>0</v>
      </c>
      <c r="X534" s="142">
        <f t="shared" si="638"/>
        <v>0</v>
      </c>
      <c r="Y534" s="142">
        <f t="shared" si="638"/>
        <v>0</v>
      </c>
      <c r="Z534" s="142">
        <f t="shared" si="638"/>
        <v>0</v>
      </c>
      <c r="AA534" s="142">
        <f t="shared" si="599"/>
        <v>0</v>
      </c>
      <c r="AB534" s="142">
        <f t="shared" si="638"/>
        <v>30</v>
      </c>
      <c r="AC534" s="142">
        <f t="shared" si="638"/>
        <v>30</v>
      </c>
      <c r="AD534" s="142">
        <f t="shared" si="638"/>
        <v>0</v>
      </c>
      <c r="AE534" s="142">
        <f t="shared" si="638"/>
        <v>0</v>
      </c>
      <c r="AF534" s="142">
        <f t="shared" si="638"/>
        <v>0</v>
      </c>
      <c r="AG534" s="142">
        <f t="shared" ref="AG534" si="639">SUM(AG532:AG533)</f>
        <v>0</v>
      </c>
      <c r="AH534" s="142">
        <f t="shared" si="638"/>
        <v>0</v>
      </c>
      <c r="AI534" s="142">
        <f t="shared" si="601"/>
        <v>0</v>
      </c>
      <c r="AJ534" s="142">
        <f t="shared" si="638"/>
        <v>30</v>
      </c>
      <c r="AK534" s="142"/>
      <c r="AL534" s="142"/>
      <c r="AM534" s="142"/>
      <c r="AN534" s="142"/>
      <c r="AO534" s="142"/>
      <c r="AP534" s="127"/>
      <c r="AQ534" s="142">
        <f>SUM(AQ532:AQ533)</f>
        <v>60</v>
      </c>
      <c r="AR534" s="142">
        <f t="shared" ref="AR534:AT534" si="640">SUM(AR532:AR533)</f>
        <v>0</v>
      </c>
      <c r="AS534" s="142">
        <f t="shared" si="640"/>
        <v>0</v>
      </c>
      <c r="AT534" s="142">
        <f t="shared" si="640"/>
        <v>60</v>
      </c>
      <c r="AU534" s="129"/>
      <c r="AV534" s="142"/>
      <c r="AW534" s="127"/>
      <c r="AX534" s="127" t="s">
        <v>147</v>
      </c>
    </row>
    <row r="535" spans="1:50" ht="54" x14ac:dyDescent="0.25">
      <c r="A535" s="166"/>
      <c r="B535" s="115" t="s">
        <v>266</v>
      </c>
      <c r="C535" s="115" t="s">
        <v>403</v>
      </c>
      <c r="D535" s="117" t="s">
        <v>106</v>
      </c>
      <c r="E535" s="138" t="s">
        <v>268</v>
      </c>
      <c r="F535" s="272" t="s">
        <v>49</v>
      </c>
      <c r="G535" s="119" t="s">
        <v>231</v>
      </c>
      <c r="H535" s="256">
        <v>5</v>
      </c>
      <c r="I535" s="238">
        <v>0</v>
      </c>
      <c r="J535" s="230">
        <v>0</v>
      </c>
      <c r="K535" s="224">
        <v>0</v>
      </c>
      <c r="L535" s="226">
        <v>0</v>
      </c>
      <c r="M535" s="232">
        <v>0</v>
      </c>
      <c r="N535" s="278">
        <f t="shared" si="615"/>
        <v>0</v>
      </c>
      <c r="O535" s="216">
        <v>5</v>
      </c>
      <c r="P535" s="216"/>
      <c r="Q535" s="136"/>
      <c r="R535" s="119" t="s">
        <v>51</v>
      </c>
      <c r="S535" s="119" t="s">
        <v>404</v>
      </c>
      <c r="T535" s="251" t="s">
        <v>405</v>
      </c>
      <c r="U535" s="256" t="s">
        <v>85</v>
      </c>
      <c r="V535" s="238">
        <v>0</v>
      </c>
      <c r="W535" s="230">
        <v>0</v>
      </c>
      <c r="X535" s="224">
        <v>0</v>
      </c>
      <c r="Y535" s="226">
        <v>0</v>
      </c>
      <c r="Z535" s="232">
        <v>0</v>
      </c>
      <c r="AA535" s="278">
        <f t="shared" si="599"/>
        <v>0</v>
      </c>
      <c r="AB535" s="216" t="s">
        <v>85</v>
      </c>
      <c r="AC535" s="256" t="s">
        <v>85</v>
      </c>
      <c r="AD535" s="238">
        <v>0</v>
      </c>
      <c r="AE535" s="230">
        <v>0</v>
      </c>
      <c r="AF535" s="224">
        <v>0</v>
      </c>
      <c r="AG535" s="105">
        <v>0</v>
      </c>
      <c r="AH535" s="232">
        <v>0</v>
      </c>
      <c r="AI535" s="278">
        <f t="shared" si="601"/>
        <v>0</v>
      </c>
      <c r="AJ535" s="216" t="s">
        <v>85</v>
      </c>
      <c r="AK535" s="119"/>
      <c r="AL535" s="251" t="s">
        <v>256</v>
      </c>
      <c r="AM535" s="216">
        <v>5</v>
      </c>
      <c r="AN535" s="251">
        <v>5</v>
      </c>
      <c r="AO535" s="35"/>
      <c r="AP535" s="119" t="s">
        <v>58</v>
      </c>
      <c r="AQ535" s="121">
        <v>15</v>
      </c>
      <c r="AR535" s="122">
        <v>0</v>
      </c>
      <c r="AS535" s="123">
        <v>0</v>
      </c>
      <c r="AT535" s="124">
        <v>15</v>
      </c>
      <c r="AU535" s="119"/>
      <c r="AV535" s="119"/>
      <c r="AW535" s="119"/>
      <c r="AX535" s="117" t="s">
        <v>126</v>
      </c>
    </row>
    <row r="536" spans="1:50" ht="54" x14ac:dyDescent="0.25">
      <c r="A536" s="166"/>
      <c r="B536" s="115" t="s">
        <v>266</v>
      </c>
      <c r="C536" s="115" t="s">
        <v>403</v>
      </c>
      <c r="D536" s="117" t="s">
        <v>106</v>
      </c>
      <c r="E536" s="138" t="s">
        <v>268</v>
      </c>
      <c r="F536" s="272"/>
      <c r="G536" s="119" t="s">
        <v>231</v>
      </c>
      <c r="H536" s="256"/>
      <c r="I536" s="239"/>
      <c r="J536" s="231"/>
      <c r="K536" s="225"/>
      <c r="L536" s="227"/>
      <c r="M536" s="233"/>
      <c r="N536" s="278">
        <f t="shared" si="615"/>
        <v>0</v>
      </c>
      <c r="O536" s="216"/>
      <c r="P536" s="216"/>
      <c r="Q536" s="136"/>
      <c r="R536" s="119" t="s">
        <v>51</v>
      </c>
      <c r="S536" s="119" t="s">
        <v>404</v>
      </c>
      <c r="T536" s="251"/>
      <c r="U536" s="256"/>
      <c r="V536" s="239">
        <v>0</v>
      </c>
      <c r="W536" s="231">
        <v>0</v>
      </c>
      <c r="X536" s="225">
        <v>0</v>
      </c>
      <c r="Y536" s="227"/>
      <c r="Z536" s="233">
        <v>0</v>
      </c>
      <c r="AA536" s="278">
        <f t="shared" si="599"/>
        <v>0</v>
      </c>
      <c r="AB536" s="216"/>
      <c r="AC536" s="256"/>
      <c r="AD536" s="239">
        <v>0</v>
      </c>
      <c r="AE536" s="231">
        <v>0</v>
      </c>
      <c r="AF536" s="225">
        <v>0</v>
      </c>
      <c r="AG536" s="69">
        <v>0</v>
      </c>
      <c r="AH536" s="233">
        <v>0</v>
      </c>
      <c r="AI536" s="278">
        <f t="shared" si="601"/>
        <v>0</v>
      </c>
      <c r="AJ536" s="216"/>
      <c r="AK536" s="119"/>
      <c r="AL536" s="251"/>
      <c r="AM536" s="216"/>
      <c r="AN536" s="251"/>
      <c r="AO536" s="35"/>
      <c r="AP536" s="119" t="s">
        <v>127</v>
      </c>
      <c r="AQ536" s="121">
        <v>8</v>
      </c>
      <c r="AR536" s="122">
        <v>0</v>
      </c>
      <c r="AS536" s="123">
        <v>0</v>
      </c>
      <c r="AT536" s="124">
        <v>8</v>
      </c>
      <c r="AU536" s="119"/>
      <c r="AV536" s="119"/>
      <c r="AW536" s="119"/>
      <c r="AX536" s="117" t="s">
        <v>126</v>
      </c>
    </row>
    <row r="537" spans="1:50" ht="72" x14ac:dyDescent="0.25">
      <c r="A537" s="166"/>
      <c r="B537" s="115" t="s">
        <v>266</v>
      </c>
      <c r="C537" s="115" t="s">
        <v>403</v>
      </c>
      <c r="D537" s="117" t="s">
        <v>106</v>
      </c>
      <c r="E537" s="138" t="s">
        <v>268</v>
      </c>
      <c r="F537" s="272"/>
      <c r="G537" s="119" t="s">
        <v>178</v>
      </c>
      <c r="H537" s="256">
        <v>20</v>
      </c>
      <c r="I537" s="238">
        <v>0</v>
      </c>
      <c r="J537" s="230">
        <v>0</v>
      </c>
      <c r="K537" s="224">
        <v>0</v>
      </c>
      <c r="L537" s="105">
        <v>0</v>
      </c>
      <c r="M537" s="232">
        <v>0</v>
      </c>
      <c r="N537" s="278">
        <f t="shared" si="615"/>
        <v>0</v>
      </c>
      <c r="O537" s="216">
        <v>20</v>
      </c>
      <c r="P537" s="216"/>
      <c r="Q537" s="136"/>
      <c r="R537" s="119" t="s">
        <v>51</v>
      </c>
      <c r="S537" s="119" t="s">
        <v>406</v>
      </c>
      <c r="T537" s="251"/>
      <c r="U537" s="256" t="s">
        <v>85</v>
      </c>
      <c r="V537" s="238">
        <v>0</v>
      </c>
      <c r="W537" s="230">
        <v>0</v>
      </c>
      <c r="X537" s="224">
        <v>0</v>
      </c>
      <c r="Y537" s="105">
        <v>0</v>
      </c>
      <c r="Z537" s="232">
        <v>0</v>
      </c>
      <c r="AA537" s="278">
        <f t="shared" si="599"/>
        <v>0</v>
      </c>
      <c r="AB537" s="216" t="s">
        <v>85</v>
      </c>
      <c r="AC537" s="256" t="s">
        <v>85</v>
      </c>
      <c r="AD537" s="238">
        <v>0</v>
      </c>
      <c r="AE537" s="230">
        <v>0</v>
      </c>
      <c r="AF537" s="224">
        <v>0</v>
      </c>
      <c r="AG537" s="105">
        <v>0</v>
      </c>
      <c r="AH537" s="232">
        <v>0</v>
      </c>
      <c r="AI537" s="278">
        <f t="shared" si="601"/>
        <v>0</v>
      </c>
      <c r="AJ537" s="216" t="s">
        <v>85</v>
      </c>
      <c r="AK537" s="119"/>
      <c r="AL537" s="251" t="s">
        <v>256</v>
      </c>
      <c r="AM537" s="216">
        <v>20</v>
      </c>
      <c r="AN537" s="251">
        <v>20</v>
      </c>
      <c r="AO537" s="35"/>
      <c r="AP537" s="119" t="s">
        <v>58</v>
      </c>
      <c r="AQ537" s="121">
        <v>60</v>
      </c>
      <c r="AR537" s="122">
        <v>0</v>
      </c>
      <c r="AS537" s="123">
        <v>0</v>
      </c>
      <c r="AT537" s="124">
        <v>60</v>
      </c>
      <c r="AU537" s="119"/>
      <c r="AV537" s="119"/>
      <c r="AW537" s="119"/>
      <c r="AX537" s="117" t="s">
        <v>126</v>
      </c>
    </row>
    <row r="538" spans="1:50" ht="72" x14ac:dyDescent="0.25">
      <c r="A538" s="166"/>
      <c r="B538" s="115" t="s">
        <v>266</v>
      </c>
      <c r="C538" s="115" t="s">
        <v>403</v>
      </c>
      <c r="D538" s="117" t="s">
        <v>106</v>
      </c>
      <c r="E538" s="138" t="s">
        <v>268</v>
      </c>
      <c r="F538" s="272"/>
      <c r="G538" s="119" t="s">
        <v>178</v>
      </c>
      <c r="H538" s="256"/>
      <c r="I538" s="239">
        <v>0</v>
      </c>
      <c r="J538" s="231">
        <v>0</v>
      </c>
      <c r="K538" s="225">
        <v>0</v>
      </c>
      <c r="L538" s="69">
        <v>0</v>
      </c>
      <c r="M538" s="233">
        <v>0</v>
      </c>
      <c r="N538" s="278">
        <f t="shared" si="615"/>
        <v>0</v>
      </c>
      <c r="O538" s="216"/>
      <c r="P538" s="216"/>
      <c r="Q538" s="136"/>
      <c r="R538" s="119" t="s">
        <v>51</v>
      </c>
      <c r="S538" s="119" t="s">
        <v>406</v>
      </c>
      <c r="T538" s="251"/>
      <c r="U538" s="256"/>
      <c r="V538" s="239">
        <v>0</v>
      </c>
      <c r="W538" s="231">
        <v>0</v>
      </c>
      <c r="X538" s="225">
        <v>0</v>
      </c>
      <c r="Y538" s="69">
        <v>0</v>
      </c>
      <c r="Z538" s="233">
        <v>0</v>
      </c>
      <c r="AA538" s="278">
        <f t="shared" si="599"/>
        <v>0</v>
      </c>
      <c r="AB538" s="216"/>
      <c r="AC538" s="256"/>
      <c r="AD538" s="239">
        <v>0</v>
      </c>
      <c r="AE538" s="231">
        <v>0</v>
      </c>
      <c r="AF538" s="225">
        <v>0</v>
      </c>
      <c r="AG538" s="69">
        <v>0</v>
      </c>
      <c r="AH538" s="233">
        <v>0</v>
      </c>
      <c r="AI538" s="278">
        <f t="shared" si="601"/>
        <v>0</v>
      </c>
      <c r="AJ538" s="216"/>
      <c r="AK538" s="119"/>
      <c r="AL538" s="251"/>
      <c r="AM538" s="216"/>
      <c r="AN538" s="251"/>
      <c r="AO538" s="35"/>
      <c r="AP538" s="119" t="s">
        <v>127</v>
      </c>
      <c r="AQ538" s="121">
        <v>30</v>
      </c>
      <c r="AR538" s="122">
        <v>0</v>
      </c>
      <c r="AS538" s="123">
        <v>0</v>
      </c>
      <c r="AT538" s="124">
        <v>30</v>
      </c>
      <c r="AU538" s="119"/>
      <c r="AV538" s="119"/>
      <c r="AW538" s="119"/>
      <c r="AX538" s="117" t="s">
        <v>126</v>
      </c>
    </row>
    <row r="539" spans="1:50" ht="108" x14ac:dyDescent="0.25">
      <c r="A539" s="166"/>
      <c r="B539" s="115" t="s">
        <v>266</v>
      </c>
      <c r="C539" s="115" t="s">
        <v>403</v>
      </c>
      <c r="D539" s="117" t="s">
        <v>106</v>
      </c>
      <c r="E539" s="138" t="s">
        <v>268</v>
      </c>
      <c r="F539" s="272"/>
      <c r="G539" s="119" t="s">
        <v>227</v>
      </c>
      <c r="H539" s="256">
        <v>20</v>
      </c>
      <c r="I539" s="238">
        <v>0</v>
      </c>
      <c r="J539" s="230">
        <v>0</v>
      </c>
      <c r="K539" s="224">
        <v>0</v>
      </c>
      <c r="L539" s="105">
        <v>0</v>
      </c>
      <c r="M539" s="232">
        <v>0</v>
      </c>
      <c r="N539" s="278">
        <f t="shared" si="615"/>
        <v>0</v>
      </c>
      <c r="O539" s="216">
        <v>20</v>
      </c>
      <c r="P539" s="216"/>
      <c r="Q539" s="136"/>
      <c r="R539" s="119" t="s">
        <v>51</v>
      </c>
      <c r="S539" s="119" t="s">
        <v>407</v>
      </c>
      <c r="T539" s="251"/>
      <c r="U539" s="256" t="s">
        <v>85</v>
      </c>
      <c r="V539" s="238">
        <v>0</v>
      </c>
      <c r="W539" s="230">
        <v>0</v>
      </c>
      <c r="X539" s="224">
        <v>0</v>
      </c>
      <c r="Y539" s="105">
        <v>0</v>
      </c>
      <c r="Z539" s="232">
        <v>0</v>
      </c>
      <c r="AA539" s="278">
        <f t="shared" si="599"/>
        <v>0</v>
      </c>
      <c r="AB539" s="216" t="s">
        <v>85</v>
      </c>
      <c r="AC539" s="256" t="s">
        <v>85</v>
      </c>
      <c r="AD539" s="238">
        <v>0</v>
      </c>
      <c r="AE539" s="230">
        <v>0</v>
      </c>
      <c r="AF539" s="224">
        <v>0</v>
      </c>
      <c r="AG539" s="105">
        <v>0</v>
      </c>
      <c r="AH539" s="232">
        <v>0</v>
      </c>
      <c r="AI539" s="278">
        <f t="shared" si="601"/>
        <v>0</v>
      </c>
      <c r="AJ539" s="216" t="s">
        <v>85</v>
      </c>
      <c r="AK539" s="119"/>
      <c r="AL539" s="251" t="s">
        <v>256</v>
      </c>
      <c r="AM539" s="216">
        <v>20</v>
      </c>
      <c r="AN539" s="251">
        <v>20</v>
      </c>
      <c r="AO539" s="35"/>
      <c r="AP539" s="119" t="s">
        <v>58</v>
      </c>
      <c r="AQ539" s="121">
        <v>60</v>
      </c>
      <c r="AR539" s="122">
        <v>0</v>
      </c>
      <c r="AS539" s="123">
        <v>0</v>
      </c>
      <c r="AT539" s="124">
        <v>60</v>
      </c>
      <c r="AU539" s="119"/>
      <c r="AV539" s="119"/>
      <c r="AW539" s="119"/>
      <c r="AX539" s="117" t="s">
        <v>126</v>
      </c>
    </row>
    <row r="540" spans="1:50" ht="108" x14ac:dyDescent="0.25">
      <c r="A540" s="166"/>
      <c r="B540" s="115" t="s">
        <v>266</v>
      </c>
      <c r="C540" s="115" t="s">
        <v>403</v>
      </c>
      <c r="D540" s="117" t="s">
        <v>106</v>
      </c>
      <c r="E540" s="138" t="s">
        <v>268</v>
      </c>
      <c r="F540" s="272"/>
      <c r="G540" s="119" t="s">
        <v>227</v>
      </c>
      <c r="H540" s="256"/>
      <c r="I540" s="239">
        <v>0</v>
      </c>
      <c r="J540" s="231">
        <v>0</v>
      </c>
      <c r="K540" s="225">
        <v>0</v>
      </c>
      <c r="L540" s="69">
        <v>0</v>
      </c>
      <c r="M540" s="233">
        <v>0</v>
      </c>
      <c r="N540" s="278">
        <f t="shared" si="615"/>
        <v>0</v>
      </c>
      <c r="O540" s="216"/>
      <c r="P540" s="216"/>
      <c r="Q540" s="136"/>
      <c r="R540" s="119" t="s">
        <v>51</v>
      </c>
      <c r="S540" s="119" t="s">
        <v>407</v>
      </c>
      <c r="T540" s="251"/>
      <c r="U540" s="256"/>
      <c r="V540" s="239">
        <v>0</v>
      </c>
      <c r="W540" s="231">
        <v>0</v>
      </c>
      <c r="X540" s="225">
        <v>0</v>
      </c>
      <c r="Y540" s="69">
        <v>0</v>
      </c>
      <c r="Z540" s="233">
        <v>0</v>
      </c>
      <c r="AA540" s="278">
        <f t="shared" si="599"/>
        <v>0</v>
      </c>
      <c r="AB540" s="216"/>
      <c r="AC540" s="256"/>
      <c r="AD540" s="239">
        <v>0</v>
      </c>
      <c r="AE540" s="231">
        <v>0</v>
      </c>
      <c r="AF540" s="225">
        <v>0</v>
      </c>
      <c r="AG540" s="69">
        <v>0</v>
      </c>
      <c r="AH540" s="233">
        <v>0</v>
      </c>
      <c r="AI540" s="278">
        <f t="shared" si="601"/>
        <v>0</v>
      </c>
      <c r="AJ540" s="216"/>
      <c r="AK540" s="119"/>
      <c r="AL540" s="251"/>
      <c r="AM540" s="216"/>
      <c r="AN540" s="251"/>
      <c r="AO540" s="35"/>
      <c r="AP540" s="119" t="s">
        <v>127</v>
      </c>
      <c r="AQ540" s="121">
        <v>30</v>
      </c>
      <c r="AR540" s="122">
        <v>0</v>
      </c>
      <c r="AS540" s="123">
        <v>0</v>
      </c>
      <c r="AT540" s="124">
        <v>30</v>
      </c>
      <c r="AU540" s="119"/>
      <c r="AV540" s="119"/>
      <c r="AW540" s="119"/>
      <c r="AX540" s="117" t="s">
        <v>126</v>
      </c>
    </row>
    <row r="541" spans="1:50" ht="54" x14ac:dyDescent="0.25">
      <c r="A541" s="166"/>
      <c r="B541" s="115" t="s">
        <v>266</v>
      </c>
      <c r="C541" s="115" t="s">
        <v>403</v>
      </c>
      <c r="D541" s="117" t="s">
        <v>106</v>
      </c>
      <c r="E541" s="138" t="s">
        <v>268</v>
      </c>
      <c r="F541" s="272"/>
      <c r="G541" s="119" t="s">
        <v>228</v>
      </c>
      <c r="H541" s="256">
        <v>5</v>
      </c>
      <c r="I541" s="238">
        <v>0</v>
      </c>
      <c r="J541" s="230">
        <v>0</v>
      </c>
      <c r="K541" s="224">
        <v>0</v>
      </c>
      <c r="L541" s="105">
        <v>0</v>
      </c>
      <c r="M541" s="232">
        <v>0</v>
      </c>
      <c r="N541" s="278">
        <f t="shared" si="615"/>
        <v>0</v>
      </c>
      <c r="O541" s="216">
        <v>5</v>
      </c>
      <c r="P541" s="216"/>
      <c r="Q541" s="136"/>
      <c r="R541" s="119" t="s">
        <v>51</v>
      </c>
      <c r="S541" s="119" t="s">
        <v>259</v>
      </c>
      <c r="T541" s="251"/>
      <c r="U541" s="256" t="s">
        <v>85</v>
      </c>
      <c r="V541" s="238">
        <v>0</v>
      </c>
      <c r="W541" s="230">
        <v>0</v>
      </c>
      <c r="X541" s="224">
        <v>0</v>
      </c>
      <c r="Y541" s="105">
        <v>0</v>
      </c>
      <c r="Z541" s="232">
        <v>0</v>
      </c>
      <c r="AA541" s="278">
        <f t="shared" si="599"/>
        <v>0</v>
      </c>
      <c r="AB541" s="216" t="s">
        <v>85</v>
      </c>
      <c r="AC541" s="256" t="s">
        <v>85</v>
      </c>
      <c r="AD541" s="238">
        <v>0</v>
      </c>
      <c r="AE541" s="230">
        <v>0</v>
      </c>
      <c r="AF541" s="224">
        <v>0</v>
      </c>
      <c r="AG541" s="105">
        <v>0</v>
      </c>
      <c r="AH541" s="232">
        <v>0</v>
      </c>
      <c r="AI541" s="278">
        <f t="shared" si="601"/>
        <v>0</v>
      </c>
      <c r="AJ541" s="216" t="s">
        <v>85</v>
      </c>
      <c r="AK541" s="119"/>
      <c r="AL541" s="251" t="s">
        <v>256</v>
      </c>
      <c r="AM541" s="216">
        <v>5</v>
      </c>
      <c r="AN541" s="251">
        <v>5</v>
      </c>
      <c r="AO541" s="35"/>
      <c r="AP541" s="119" t="s">
        <v>58</v>
      </c>
      <c r="AQ541" s="121">
        <v>15</v>
      </c>
      <c r="AR541" s="122">
        <v>0</v>
      </c>
      <c r="AS541" s="123">
        <v>0</v>
      </c>
      <c r="AT541" s="124">
        <v>15</v>
      </c>
      <c r="AU541" s="119"/>
      <c r="AV541" s="119"/>
      <c r="AW541" s="119"/>
      <c r="AX541" s="117" t="s">
        <v>126</v>
      </c>
    </row>
    <row r="542" spans="1:50" ht="54" x14ac:dyDescent="0.25">
      <c r="A542" s="166"/>
      <c r="B542" s="115" t="s">
        <v>266</v>
      </c>
      <c r="C542" s="115" t="s">
        <v>403</v>
      </c>
      <c r="D542" s="117" t="s">
        <v>106</v>
      </c>
      <c r="E542" s="138" t="s">
        <v>268</v>
      </c>
      <c r="F542" s="272"/>
      <c r="G542" s="119" t="s">
        <v>228</v>
      </c>
      <c r="H542" s="256"/>
      <c r="I542" s="239">
        <v>0</v>
      </c>
      <c r="J542" s="231">
        <v>0</v>
      </c>
      <c r="K542" s="225">
        <v>0</v>
      </c>
      <c r="L542" s="69">
        <v>0</v>
      </c>
      <c r="M542" s="233">
        <v>0</v>
      </c>
      <c r="N542" s="278">
        <f t="shared" si="615"/>
        <v>0</v>
      </c>
      <c r="O542" s="216"/>
      <c r="P542" s="216"/>
      <c r="Q542" s="136"/>
      <c r="R542" s="119" t="s">
        <v>51</v>
      </c>
      <c r="S542" s="119" t="s">
        <v>259</v>
      </c>
      <c r="T542" s="251"/>
      <c r="U542" s="256"/>
      <c r="V542" s="239">
        <v>0</v>
      </c>
      <c r="W542" s="231">
        <v>0</v>
      </c>
      <c r="X542" s="225">
        <v>0</v>
      </c>
      <c r="Y542" s="69">
        <v>0</v>
      </c>
      <c r="Z542" s="233">
        <v>0</v>
      </c>
      <c r="AA542" s="278">
        <f t="shared" si="599"/>
        <v>0</v>
      </c>
      <c r="AB542" s="216"/>
      <c r="AC542" s="256"/>
      <c r="AD542" s="239">
        <v>0</v>
      </c>
      <c r="AE542" s="231">
        <v>0</v>
      </c>
      <c r="AF542" s="225">
        <v>0</v>
      </c>
      <c r="AG542" s="69">
        <v>0</v>
      </c>
      <c r="AH542" s="233">
        <v>0</v>
      </c>
      <c r="AI542" s="278">
        <f t="shared" si="601"/>
        <v>0</v>
      </c>
      <c r="AJ542" s="216"/>
      <c r="AK542" s="119"/>
      <c r="AL542" s="251"/>
      <c r="AM542" s="216"/>
      <c r="AN542" s="251"/>
      <c r="AO542" s="35"/>
      <c r="AP542" s="119" t="s">
        <v>127</v>
      </c>
      <c r="AQ542" s="121">
        <v>8</v>
      </c>
      <c r="AR542" s="122">
        <v>0</v>
      </c>
      <c r="AS542" s="123">
        <v>0</v>
      </c>
      <c r="AT542" s="124">
        <v>8</v>
      </c>
      <c r="AU542" s="119"/>
      <c r="AV542" s="119"/>
      <c r="AW542" s="119"/>
      <c r="AX542" s="117" t="s">
        <v>126</v>
      </c>
    </row>
    <row r="543" spans="1:50" ht="54" x14ac:dyDescent="0.25">
      <c r="A543" s="166"/>
      <c r="B543" s="115" t="s">
        <v>266</v>
      </c>
      <c r="C543" s="115" t="s">
        <v>403</v>
      </c>
      <c r="D543" s="117" t="s">
        <v>106</v>
      </c>
      <c r="E543" s="138" t="s">
        <v>268</v>
      </c>
      <c r="F543" s="272"/>
      <c r="G543" s="119" t="s">
        <v>260</v>
      </c>
      <c r="H543" s="256">
        <v>5</v>
      </c>
      <c r="I543" s="238">
        <v>0</v>
      </c>
      <c r="J543" s="230">
        <v>0</v>
      </c>
      <c r="K543" s="224">
        <v>0</v>
      </c>
      <c r="L543" s="105">
        <v>0</v>
      </c>
      <c r="M543" s="232">
        <v>0</v>
      </c>
      <c r="N543" s="278">
        <f t="shared" si="615"/>
        <v>0</v>
      </c>
      <c r="O543" s="216">
        <v>5</v>
      </c>
      <c r="P543" s="216"/>
      <c r="Q543" s="136"/>
      <c r="R543" s="119" t="s">
        <v>51</v>
      </c>
      <c r="S543" s="119" t="s">
        <v>259</v>
      </c>
      <c r="T543" s="251"/>
      <c r="U543" s="256" t="s">
        <v>85</v>
      </c>
      <c r="V543" s="238">
        <v>0</v>
      </c>
      <c r="W543" s="230">
        <v>0</v>
      </c>
      <c r="X543" s="224">
        <v>0</v>
      </c>
      <c r="Y543" s="105">
        <v>0</v>
      </c>
      <c r="Z543" s="232">
        <v>0</v>
      </c>
      <c r="AA543" s="278">
        <f t="shared" si="599"/>
        <v>0</v>
      </c>
      <c r="AB543" s="216" t="s">
        <v>85</v>
      </c>
      <c r="AC543" s="256" t="s">
        <v>85</v>
      </c>
      <c r="AD543" s="238">
        <v>0</v>
      </c>
      <c r="AE543" s="230">
        <v>0</v>
      </c>
      <c r="AF543" s="224">
        <v>0</v>
      </c>
      <c r="AG543" s="105">
        <v>0</v>
      </c>
      <c r="AH543" s="232">
        <v>0</v>
      </c>
      <c r="AI543" s="278">
        <f t="shared" si="601"/>
        <v>0</v>
      </c>
      <c r="AJ543" s="216" t="s">
        <v>85</v>
      </c>
      <c r="AK543" s="119"/>
      <c r="AL543" s="251" t="s">
        <v>256</v>
      </c>
      <c r="AM543" s="216">
        <v>5</v>
      </c>
      <c r="AN543" s="251">
        <v>5</v>
      </c>
      <c r="AO543" s="35"/>
      <c r="AP543" s="119" t="s">
        <v>58</v>
      </c>
      <c r="AQ543" s="121">
        <v>15</v>
      </c>
      <c r="AR543" s="122">
        <v>0</v>
      </c>
      <c r="AS543" s="123">
        <v>0</v>
      </c>
      <c r="AT543" s="124">
        <v>15</v>
      </c>
      <c r="AU543" s="119"/>
      <c r="AV543" s="119"/>
      <c r="AW543" s="119"/>
      <c r="AX543" s="117" t="s">
        <v>126</v>
      </c>
    </row>
    <row r="544" spans="1:50" ht="54" x14ac:dyDescent="0.25">
      <c r="A544" s="166"/>
      <c r="B544" s="115" t="s">
        <v>266</v>
      </c>
      <c r="C544" s="115" t="s">
        <v>403</v>
      </c>
      <c r="D544" s="117" t="s">
        <v>106</v>
      </c>
      <c r="E544" s="138" t="s">
        <v>268</v>
      </c>
      <c r="F544" s="272"/>
      <c r="G544" s="119" t="s">
        <v>260</v>
      </c>
      <c r="H544" s="256"/>
      <c r="I544" s="239">
        <v>0</v>
      </c>
      <c r="J544" s="231">
        <v>0</v>
      </c>
      <c r="K544" s="225">
        <v>0</v>
      </c>
      <c r="L544" s="69">
        <v>0</v>
      </c>
      <c r="M544" s="233">
        <v>0</v>
      </c>
      <c r="N544" s="278">
        <f t="shared" si="615"/>
        <v>0</v>
      </c>
      <c r="O544" s="216"/>
      <c r="P544" s="216"/>
      <c r="Q544" s="136"/>
      <c r="R544" s="119" t="s">
        <v>51</v>
      </c>
      <c r="S544" s="119" t="s">
        <v>259</v>
      </c>
      <c r="T544" s="251"/>
      <c r="U544" s="256"/>
      <c r="V544" s="239">
        <v>0</v>
      </c>
      <c r="W544" s="231">
        <v>0</v>
      </c>
      <c r="X544" s="225">
        <v>0</v>
      </c>
      <c r="Y544" s="69">
        <v>0</v>
      </c>
      <c r="Z544" s="233">
        <v>0</v>
      </c>
      <c r="AA544" s="278">
        <f t="shared" si="599"/>
        <v>0</v>
      </c>
      <c r="AB544" s="216"/>
      <c r="AC544" s="256"/>
      <c r="AD544" s="239">
        <v>0</v>
      </c>
      <c r="AE544" s="231">
        <v>0</v>
      </c>
      <c r="AF544" s="225">
        <v>0</v>
      </c>
      <c r="AG544" s="69">
        <v>0</v>
      </c>
      <c r="AH544" s="233">
        <v>0</v>
      </c>
      <c r="AI544" s="278">
        <f t="shared" si="601"/>
        <v>0</v>
      </c>
      <c r="AJ544" s="216"/>
      <c r="AK544" s="119"/>
      <c r="AL544" s="251"/>
      <c r="AM544" s="216"/>
      <c r="AN544" s="251"/>
      <c r="AO544" s="35"/>
      <c r="AP544" s="119" t="s">
        <v>127</v>
      </c>
      <c r="AQ544" s="121">
        <v>8</v>
      </c>
      <c r="AR544" s="122">
        <v>0</v>
      </c>
      <c r="AS544" s="123">
        <v>0</v>
      </c>
      <c r="AT544" s="124">
        <v>8</v>
      </c>
      <c r="AU544" s="119"/>
      <c r="AV544" s="119"/>
      <c r="AW544" s="119"/>
      <c r="AX544" s="117" t="s">
        <v>126</v>
      </c>
    </row>
    <row r="545" spans="1:50" ht="54" x14ac:dyDescent="0.25">
      <c r="A545" s="166"/>
      <c r="B545" s="115" t="s">
        <v>266</v>
      </c>
      <c r="C545" s="115" t="s">
        <v>403</v>
      </c>
      <c r="D545" s="117" t="s">
        <v>106</v>
      </c>
      <c r="E545" s="138" t="s">
        <v>268</v>
      </c>
      <c r="F545" s="272"/>
      <c r="G545" s="119" t="s">
        <v>262</v>
      </c>
      <c r="H545" s="256">
        <v>10</v>
      </c>
      <c r="I545" s="238">
        <v>0</v>
      </c>
      <c r="J545" s="230">
        <v>0</v>
      </c>
      <c r="K545" s="224">
        <v>0</v>
      </c>
      <c r="L545" s="105">
        <v>0</v>
      </c>
      <c r="M545" s="232">
        <v>0</v>
      </c>
      <c r="N545" s="278">
        <f t="shared" si="615"/>
        <v>0</v>
      </c>
      <c r="O545" s="216">
        <v>10</v>
      </c>
      <c r="P545" s="216"/>
      <c r="Q545" s="136"/>
      <c r="R545" s="119" t="s">
        <v>51</v>
      </c>
      <c r="S545" s="119" t="s">
        <v>259</v>
      </c>
      <c r="T545" s="251"/>
      <c r="U545" s="256" t="s">
        <v>85</v>
      </c>
      <c r="V545" s="238">
        <v>0</v>
      </c>
      <c r="W545" s="230">
        <v>0</v>
      </c>
      <c r="X545" s="224">
        <v>0</v>
      </c>
      <c r="Y545" s="105">
        <v>0</v>
      </c>
      <c r="Z545" s="232">
        <v>0</v>
      </c>
      <c r="AA545" s="278">
        <f t="shared" si="599"/>
        <v>0</v>
      </c>
      <c r="AB545" s="216" t="s">
        <v>85</v>
      </c>
      <c r="AC545" s="256" t="s">
        <v>85</v>
      </c>
      <c r="AD545" s="238">
        <v>0</v>
      </c>
      <c r="AE545" s="230">
        <v>0</v>
      </c>
      <c r="AF545" s="224">
        <v>0</v>
      </c>
      <c r="AG545" s="105">
        <v>0</v>
      </c>
      <c r="AH545" s="232">
        <v>0</v>
      </c>
      <c r="AI545" s="278">
        <f t="shared" si="601"/>
        <v>0</v>
      </c>
      <c r="AJ545" s="216" t="s">
        <v>85</v>
      </c>
      <c r="AK545" s="119"/>
      <c r="AL545" s="251" t="s">
        <v>256</v>
      </c>
      <c r="AM545" s="216">
        <v>10</v>
      </c>
      <c r="AN545" s="251">
        <v>10</v>
      </c>
      <c r="AO545" s="35"/>
      <c r="AP545" s="119" t="s">
        <v>58</v>
      </c>
      <c r="AQ545" s="121">
        <v>30</v>
      </c>
      <c r="AR545" s="122">
        <v>0</v>
      </c>
      <c r="AS545" s="123">
        <v>0</v>
      </c>
      <c r="AT545" s="124">
        <v>30</v>
      </c>
      <c r="AU545" s="119"/>
      <c r="AV545" s="119"/>
      <c r="AW545" s="119"/>
      <c r="AX545" s="117" t="s">
        <v>126</v>
      </c>
    </row>
    <row r="546" spans="1:50" ht="54" x14ac:dyDescent="0.25">
      <c r="A546" s="166"/>
      <c r="B546" s="115" t="s">
        <v>266</v>
      </c>
      <c r="C546" s="115" t="s">
        <v>403</v>
      </c>
      <c r="D546" s="117" t="s">
        <v>106</v>
      </c>
      <c r="E546" s="138" t="s">
        <v>268</v>
      </c>
      <c r="F546" s="272"/>
      <c r="G546" s="119" t="s">
        <v>262</v>
      </c>
      <c r="H546" s="256"/>
      <c r="I546" s="239">
        <v>0</v>
      </c>
      <c r="J546" s="231">
        <v>0</v>
      </c>
      <c r="K546" s="225">
        <v>0</v>
      </c>
      <c r="L546" s="69">
        <v>0</v>
      </c>
      <c r="M546" s="233">
        <v>0</v>
      </c>
      <c r="N546" s="278">
        <f t="shared" si="615"/>
        <v>0</v>
      </c>
      <c r="O546" s="216"/>
      <c r="P546" s="216"/>
      <c r="Q546" s="136"/>
      <c r="R546" s="119" t="s">
        <v>51</v>
      </c>
      <c r="S546" s="119" t="s">
        <v>259</v>
      </c>
      <c r="T546" s="251"/>
      <c r="U546" s="256"/>
      <c r="V546" s="239">
        <v>0</v>
      </c>
      <c r="W546" s="231">
        <v>0</v>
      </c>
      <c r="X546" s="225">
        <v>0</v>
      </c>
      <c r="Y546" s="69">
        <v>0</v>
      </c>
      <c r="Z546" s="233">
        <v>0</v>
      </c>
      <c r="AA546" s="278">
        <f t="shared" si="599"/>
        <v>0</v>
      </c>
      <c r="AB546" s="216"/>
      <c r="AC546" s="256"/>
      <c r="AD546" s="239">
        <v>0</v>
      </c>
      <c r="AE546" s="231">
        <v>0</v>
      </c>
      <c r="AF546" s="225">
        <v>0</v>
      </c>
      <c r="AG546" s="69">
        <v>0</v>
      </c>
      <c r="AH546" s="233">
        <v>0</v>
      </c>
      <c r="AI546" s="278">
        <f t="shared" si="601"/>
        <v>0</v>
      </c>
      <c r="AJ546" s="216"/>
      <c r="AK546" s="119"/>
      <c r="AL546" s="251"/>
      <c r="AM546" s="216"/>
      <c r="AN546" s="251"/>
      <c r="AO546" s="35"/>
      <c r="AP546" s="119" t="s">
        <v>127</v>
      </c>
      <c r="AQ546" s="121">
        <v>15</v>
      </c>
      <c r="AR546" s="122">
        <v>0</v>
      </c>
      <c r="AS546" s="123">
        <v>0</v>
      </c>
      <c r="AT546" s="124">
        <v>15</v>
      </c>
      <c r="AU546" s="119"/>
      <c r="AV546" s="119"/>
      <c r="AW546" s="119"/>
      <c r="AX546" s="117" t="s">
        <v>126</v>
      </c>
    </row>
    <row r="547" spans="1:50" s="77" customFormat="1" ht="45.75" customHeight="1" x14ac:dyDescent="0.25">
      <c r="A547" s="166"/>
      <c r="B547" s="115" t="s">
        <v>266</v>
      </c>
      <c r="C547" s="115" t="s">
        <v>403</v>
      </c>
      <c r="D547" s="117" t="s">
        <v>106</v>
      </c>
      <c r="E547" s="138" t="s">
        <v>268</v>
      </c>
      <c r="F547" s="142" t="s">
        <v>61</v>
      </c>
      <c r="G547" s="127"/>
      <c r="H547" s="143">
        <f>SUM(H535:H546)</f>
        <v>65</v>
      </c>
      <c r="I547" s="143">
        <f t="shared" ref="I547" si="641">SUM(I535:I546)</f>
        <v>0</v>
      </c>
      <c r="J547" s="143">
        <f t="shared" ref="J547:O547" si="642">SUM(J535:J546)</f>
        <v>0</v>
      </c>
      <c r="K547" s="143">
        <f t="shared" si="642"/>
        <v>0</v>
      </c>
      <c r="L547" s="143">
        <f t="shared" si="642"/>
        <v>0</v>
      </c>
      <c r="M547" s="143">
        <f t="shared" si="642"/>
        <v>0</v>
      </c>
      <c r="N547" s="143">
        <f t="shared" si="615"/>
        <v>0</v>
      </c>
      <c r="O547" s="143">
        <f t="shared" si="642"/>
        <v>65</v>
      </c>
      <c r="P547" s="142"/>
      <c r="Q547" s="142"/>
      <c r="R547" s="129"/>
      <c r="S547" s="173"/>
      <c r="T547" s="130"/>
      <c r="U547" s="142">
        <f t="shared" ref="U547:AJ547" si="643">SUM(U535:U546)</f>
        <v>0</v>
      </c>
      <c r="V547" s="142">
        <f t="shared" si="643"/>
        <v>0</v>
      </c>
      <c r="W547" s="142">
        <f t="shared" si="643"/>
        <v>0</v>
      </c>
      <c r="X547" s="142">
        <f t="shared" si="643"/>
        <v>0</v>
      </c>
      <c r="Y547" s="143">
        <f t="shared" si="643"/>
        <v>0</v>
      </c>
      <c r="Z547" s="142">
        <f t="shared" si="643"/>
        <v>0</v>
      </c>
      <c r="AA547" s="142">
        <f t="shared" si="599"/>
        <v>0</v>
      </c>
      <c r="AB547" s="142">
        <f t="shared" si="643"/>
        <v>0</v>
      </c>
      <c r="AC547" s="142">
        <f t="shared" si="643"/>
        <v>0</v>
      </c>
      <c r="AD547" s="142">
        <f t="shared" si="643"/>
        <v>0</v>
      </c>
      <c r="AE547" s="142">
        <f t="shared" si="643"/>
        <v>0</v>
      </c>
      <c r="AF547" s="142">
        <f t="shared" si="643"/>
        <v>0</v>
      </c>
      <c r="AG547" s="142">
        <f t="shared" ref="AG547" si="644">SUM(AG535:AG546)</f>
        <v>0</v>
      </c>
      <c r="AH547" s="142">
        <f t="shared" si="643"/>
        <v>0</v>
      </c>
      <c r="AI547" s="142">
        <f t="shared" si="601"/>
        <v>0</v>
      </c>
      <c r="AJ547" s="142">
        <f t="shared" si="643"/>
        <v>0</v>
      </c>
      <c r="AK547" s="142"/>
      <c r="AL547" s="142"/>
      <c r="AM547" s="142"/>
      <c r="AN547" s="142"/>
      <c r="AO547" s="142"/>
      <c r="AP547" s="127"/>
      <c r="AQ547" s="142">
        <f>SUM(AQ535:AQ546)</f>
        <v>294</v>
      </c>
      <c r="AR547" s="142">
        <f>SUM(AR535:AR546)</f>
        <v>0</v>
      </c>
      <c r="AS547" s="142">
        <f>SUM(AS535:AS546)</f>
        <v>0</v>
      </c>
      <c r="AT547" s="142">
        <f>SUM(AT535:AT546)</f>
        <v>294</v>
      </c>
      <c r="AU547" s="129"/>
      <c r="AV547" s="142"/>
      <c r="AW547" s="127"/>
      <c r="AX547" s="127" t="s">
        <v>147</v>
      </c>
    </row>
    <row r="548" spans="1:50" s="77" customFormat="1" ht="53.25" customHeight="1" x14ac:dyDescent="0.25">
      <c r="A548" s="166"/>
      <c r="B548" s="115" t="s">
        <v>266</v>
      </c>
      <c r="C548" s="115" t="s">
        <v>408</v>
      </c>
      <c r="D548" s="117" t="s">
        <v>106</v>
      </c>
      <c r="E548" s="138" t="s">
        <v>268</v>
      </c>
      <c r="F548" s="136" t="s">
        <v>49</v>
      </c>
      <c r="G548" s="119" t="s">
        <v>178</v>
      </c>
      <c r="H548" s="136">
        <v>15</v>
      </c>
      <c r="I548" s="199">
        <v>0</v>
      </c>
      <c r="J548" s="103">
        <v>0</v>
      </c>
      <c r="K548" s="104">
        <v>0</v>
      </c>
      <c r="L548" s="105">
        <v>0</v>
      </c>
      <c r="M548" s="106"/>
      <c r="N548" s="133">
        <f t="shared" si="615"/>
        <v>0</v>
      </c>
      <c r="O548" s="71">
        <v>15</v>
      </c>
      <c r="P548" s="71"/>
      <c r="Q548" s="136"/>
      <c r="R548" s="119" t="s">
        <v>179</v>
      </c>
      <c r="S548" s="120" t="s">
        <v>210</v>
      </c>
      <c r="T548" s="135" t="s">
        <v>73</v>
      </c>
      <c r="U548" s="136">
        <v>15</v>
      </c>
      <c r="V548" s="199">
        <v>0</v>
      </c>
      <c r="W548" s="103">
        <v>0</v>
      </c>
      <c r="X548" s="104">
        <v>0</v>
      </c>
      <c r="Y548" s="105">
        <v>0</v>
      </c>
      <c r="Z548" s="106">
        <v>0</v>
      </c>
      <c r="AA548" s="133">
        <f t="shared" si="599"/>
        <v>0</v>
      </c>
      <c r="AB548" s="71">
        <v>0</v>
      </c>
      <c r="AC548" s="159">
        <v>15</v>
      </c>
      <c r="AD548" s="199">
        <v>0</v>
      </c>
      <c r="AE548" s="103">
        <v>0</v>
      </c>
      <c r="AF548" s="104">
        <v>0</v>
      </c>
      <c r="AG548" s="105">
        <v>0</v>
      </c>
      <c r="AH548" s="106">
        <v>0</v>
      </c>
      <c r="AI548" s="133">
        <f t="shared" si="601"/>
        <v>0</v>
      </c>
      <c r="AJ548" s="71">
        <v>15</v>
      </c>
      <c r="AK548" s="136"/>
      <c r="AL548" s="136" t="s">
        <v>335</v>
      </c>
      <c r="AM548" s="72">
        <v>15</v>
      </c>
      <c r="AN548" s="136">
        <v>15</v>
      </c>
      <c r="AO548" s="72"/>
      <c r="AP548" s="119" t="s">
        <v>58</v>
      </c>
      <c r="AQ548" s="136" t="s">
        <v>409</v>
      </c>
      <c r="AR548" s="161">
        <v>0</v>
      </c>
      <c r="AS548" s="162">
        <v>0</v>
      </c>
      <c r="AT548" s="163" t="s">
        <v>409</v>
      </c>
      <c r="AU548" s="119"/>
      <c r="AV548" s="136"/>
      <c r="AW548" s="119"/>
      <c r="AX548" s="165" t="s">
        <v>147</v>
      </c>
    </row>
    <row r="549" spans="1:50" s="77" customFormat="1" ht="36" x14ac:dyDescent="0.25">
      <c r="A549" s="166"/>
      <c r="B549" s="115" t="s">
        <v>266</v>
      </c>
      <c r="C549" s="115" t="s">
        <v>408</v>
      </c>
      <c r="D549" s="117" t="s">
        <v>106</v>
      </c>
      <c r="E549" s="138" t="s">
        <v>268</v>
      </c>
      <c r="F549" s="142" t="s">
        <v>61</v>
      </c>
      <c r="G549" s="127"/>
      <c r="H549" s="142">
        <f>SUM(H548)</f>
        <v>15</v>
      </c>
      <c r="I549" s="142">
        <f t="shared" ref="I549" si="645">SUM(I548)</f>
        <v>0</v>
      </c>
      <c r="J549" s="142">
        <f t="shared" ref="J549:M549" si="646">SUM(J548)</f>
        <v>0</v>
      </c>
      <c r="K549" s="142">
        <f t="shared" si="646"/>
        <v>0</v>
      </c>
      <c r="L549" s="142">
        <f t="shared" si="646"/>
        <v>0</v>
      </c>
      <c r="M549" s="142">
        <f t="shared" si="646"/>
        <v>0</v>
      </c>
      <c r="N549" s="142">
        <f t="shared" si="615"/>
        <v>0</v>
      </c>
      <c r="O549" s="142">
        <f t="shared" ref="O549" si="647">SUM(O548)</f>
        <v>15</v>
      </c>
      <c r="P549" s="142"/>
      <c r="Q549" s="142"/>
      <c r="R549" s="129"/>
      <c r="S549" s="173"/>
      <c r="T549" s="130"/>
      <c r="U549" s="142">
        <f t="shared" ref="U549:AJ549" si="648">SUM(U548:U548)</f>
        <v>15</v>
      </c>
      <c r="V549" s="142">
        <f t="shared" si="648"/>
        <v>0</v>
      </c>
      <c r="W549" s="142">
        <f t="shared" si="648"/>
        <v>0</v>
      </c>
      <c r="X549" s="142">
        <f t="shared" si="648"/>
        <v>0</v>
      </c>
      <c r="Y549" s="142">
        <f t="shared" ref="Y549" si="649">SUM(Y548)</f>
        <v>0</v>
      </c>
      <c r="Z549" s="142">
        <f t="shared" si="648"/>
        <v>0</v>
      </c>
      <c r="AA549" s="142">
        <f t="shared" si="599"/>
        <v>0</v>
      </c>
      <c r="AB549" s="142">
        <f t="shared" si="648"/>
        <v>0</v>
      </c>
      <c r="AC549" s="142">
        <f t="shared" si="648"/>
        <v>15</v>
      </c>
      <c r="AD549" s="142">
        <f t="shared" si="648"/>
        <v>0</v>
      </c>
      <c r="AE549" s="142">
        <f t="shared" si="648"/>
        <v>0</v>
      </c>
      <c r="AF549" s="142">
        <f t="shared" si="648"/>
        <v>0</v>
      </c>
      <c r="AG549" s="142">
        <f t="shared" ref="AG549" si="650">SUM(AG548:AG548)</f>
        <v>0</v>
      </c>
      <c r="AH549" s="142">
        <f t="shared" si="648"/>
        <v>0</v>
      </c>
      <c r="AI549" s="142">
        <f t="shared" si="601"/>
        <v>0</v>
      </c>
      <c r="AJ549" s="142">
        <f t="shared" si="648"/>
        <v>15</v>
      </c>
      <c r="AK549" s="142"/>
      <c r="AL549" s="142"/>
      <c r="AM549" s="142"/>
      <c r="AN549" s="142"/>
      <c r="AO549" s="142"/>
      <c r="AP549" s="127"/>
      <c r="AQ549" s="142">
        <f>SUM(AQ548:AQ548)</f>
        <v>0</v>
      </c>
      <c r="AR549" s="142">
        <f>SUM(AR548:AR548)</f>
        <v>0</v>
      </c>
      <c r="AS549" s="142">
        <f>SUM(AS548:AS548)</f>
        <v>0</v>
      </c>
      <c r="AT549" s="142">
        <f>SUM(AT548:AT548)</f>
        <v>0</v>
      </c>
      <c r="AU549" s="129"/>
      <c r="AV549" s="142"/>
      <c r="AW549" s="127"/>
      <c r="AX549" s="127" t="s">
        <v>147</v>
      </c>
    </row>
    <row r="550" spans="1:50" s="77" customFormat="1" ht="54" customHeight="1" x14ac:dyDescent="0.25">
      <c r="A550" s="166"/>
      <c r="B550" s="115" t="s">
        <v>266</v>
      </c>
      <c r="C550" s="115" t="s">
        <v>410</v>
      </c>
      <c r="D550" s="117" t="s">
        <v>106</v>
      </c>
      <c r="E550" s="138" t="s">
        <v>268</v>
      </c>
      <c r="F550" s="136" t="s">
        <v>49</v>
      </c>
      <c r="G550" s="119" t="s">
        <v>262</v>
      </c>
      <c r="H550" s="136">
        <v>3</v>
      </c>
      <c r="I550" s="199">
        <v>0</v>
      </c>
      <c r="J550" s="103">
        <v>0</v>
      </c>
      <c r="K550" s="104">
        <v>0</v>
      </c>
      <c r="L550" s="105">
        <v>0</v>
      </c>
      <c r="M550" s="106"/>
      <c r="N550" s="133">
        <f t="shared" si="615"/>
        <v>0</v>
      </c>
      <c r="O550" s="71">
        <v>3</v>
      </c>
      <c r="P550" s="71"/>
      <c r="Q550" s="136"/>
      <c r="R550" s="119" t="s">
        <v>179</v>
      </c>
      <c r="S550" s="120" t="s">
        <v>411</v>
      </c>
      <c r="T550" s="135" t="s">
        <v>322</v>
      </c>
      <c r="U550" s="136">
        <v>14</v>
      </c>
      <c r="V550" s="197">
        <v>0</v>
      </c>
      <c r="W550" s="90">
        <v>0</v>
      </c>
      <c r="X550" s="91">
        <v>0</v>
      </c>
      <c r="Y550" s="105">
        <v>0</v>
      </c>
      <c r="Z550" s="81">
        <v>0</v>
      </c>
      <c r="AA550" s="133">
        <f t="shared" si="599"/>
        <v>0</v>
      </c>
      <c r="AB550" s="71">
        <v>14</v>
      </c>
      <c r="AC550" s="136"/>
      <c r="AD550" s="197">
        <v>0</v>
      </c>
      <c r="AE550" s="90">
        <v>0</v>
      </c>
      <c r="AF550" s="91">
        <v>0</v>
      </c>
      <c r="AG550" s="92">
        <v>0</v>
      </c>
      <c r="AH550" s="81">
        <v>0</v>
      </c>
      <c r="AI550" s="133">
        <f t="shared" si="601"/>
        <v>0</v>
      </c>
      <c r="AJ550" s="71" t="s">
        <v>409</v>
      </c>
      <c r="AK550" s="136"/>
      <c r="AL550" s="136"/>
      <c r="AM550" s="72"/>
      <c r="AN550" s="136"/>
      <c r="AO550" s="72"/>
      <c r="AP550" s="119" t="s">
        <v>412</v>
      </c>
      <c r="AQ550" s="136" t="s">
        <v>409</v>
      </c>
      <c r="AR550" s="161">
        <v>0</v>
      </c>
      <c r="AS550" s="162">
        <v>0</v>
      </c>
      <c r="AT550" s="163" t="s">
        <v>409</v>
      </c>
      <c r="AU550" s="119"/>
      <c r="AV550" s="136"/>
      <c r="AW550" s="119"/>
      <c r="AX550" s="117" t="s">
        <v>413</v>
      </c>
    </row>
    <row r="551" spans="1:50" s="77" customFormat="1" ht="45.75" customHeight="1" x14ac:dyDescent="0.25">
      <c r="A551" s="166"/>
      <c r="B551" s="115" t="s">
        <v>266</v>
      </c>
      <c r="C551" s="115" t="s">
        <v>410</v>
      </c>
      <c r="D551" s="117" t="s">
        <v>106</v>
      </c>
      <c r="E551" s="138" t="s">
        <v>268</v>
      </c>
      <c r="F551" s="142" t="s">
        <v>61</v>
      </c>
      <c r="G551" s="127"/>
      <c r="H551" s="142">
        <f t="shared" ref="H551:M551" si="651">SUM(H550:H550)</f>
        <v>3</v>
      </c>
      <c r="I551" s="142">
        <f t="shared" si="651"/>
        <v>0</v>
      </c>
      <c r="J551" s="142">
        <f t="shared" si="651"/>
        <v>0</v>
      </c>
      <c r="K551" s="142">
        <f t="shared" si="651"/>
        <v>0</v>
      </c>
      <c r="L551" s="142">
        <f t="shared" si="651"/>
        <v>0</v>
      </c>
      <c r="M551" s="142">
        <f t="shared" si="651"/>
        <v>0</v>
      </c>
      <c r="N551" s="142">
        <f t="shared" si="615"/>
        <v>0</v>
      </c>
      <c r="O551" s="142">
        <f>SUM(O550:O550)</f>
        <v>3</v>
      </c>
      <c r="P551" s="142"/>
      <c r="Q551" s="142"/>
      <c r="R551" s="129"/>
      <c r="S551" s="173"/>
      <c r="T551" s="130"/>
      <c r="U551" s="142">
        <f t="shared" ref="U551:AB551" si="652">SUM(U550:U550)</f>
        <v>14</v>
      </c>
      <c r="V551" s="142">
        <f t="shared" si="652"/>
        <v>0</v>
      </c>
      <c r="W551" s="142">
        <f t="shared" si="652"/>
        <v>0</v>
      </c>
      <c r="X551" s="142">
        <f t="shared" si="652"/>
        <v>0</v>
      </c>
      <c r="Y551" s="142">
        <f t="shared" si="652"/>
        <v>0</v>
      </c>
      <c r="Z551" s="142">
        <f t="shared" si="652"/>
        <v>0</v>
      </c>
      <c r="AA551" s="142">
        <f t="shared" si="599"/>
        <v>0</v>
      </c>
      <c r="AB551" s="142">
        <f t="shared" si="652"/>
        <v>14</v>
      </c>
      <c r="AC551" s="142"/>
      <c r="AD551" s="142">
        <f t="shared" ref="AD551" si="653">SUM(AD550:AD550)</f>
        <v>0</v>
      </c>
      <c r="AE551" s="142">
        <f t="shared" ref="AE551:AH551" si="654">SUM(AE550:AE550)</f>
        <v>0</v>
      </c>
      <c r="AF551" s="142">
        <f t="shared" si="654"/>
        <v>0</v>
      </c>
      <c r="AG551" s="142">
        <f t="shared" si="654"/>
        <v>0</v>
      </c>
      <c r="AH551" s="142">
        <f t="shared" si="654"/>
        <v>0</v>
      </c>
      <c r="AI551" s="142">
        <f t="shared" si="601"/>
        <v>0</v>
      </c>
      <c r="AJ551" s="142" t="s">
        <v>409</v>
      </c>
      <c r="AK551" s="142"/>
      <c r="AL551" s="142"/>
      <c r="AM551" s="142"/>
      <c r="AN551" s="142"/>
      <c r="AO551" s="142"/>
      <c r="AP551" s="127"/>
      <c r="AQ551" s="142" t="s">
        <v>409</v>
      </c>
      <c r="AR551" s="142">
        <f>SUM(AR550:AR550)</f>
        <v>0</v>
      </c>
      <c r="AS551" s="142">
        <f>SUM(AS550:AS550)</f>
        <v>0</v>
      </c>
      <c r="AT551" s="142" t="s">
        <v>409</v>
      </c>
      <c r="AU551" s="129"/>
      <c r="AV551" s="142"/>
      <c r="AW551" s="127"/>
      <c r="AX551" s="127" t="s">
        <v>413</v>
      </c>
    </row>
    <row r="552" spans="1:50" s="77" customFormat="1" ht="45.75" customHeight="1" x14ac:dyDescent="0.25">
      <c r="A552" s="166"/>
      <c r="B552" s="115" t="s">
        <v>266</v>
      </c>
      <c r="C552" s="115" t="s">
        <v>414</v>
      </c>
      <c r="D552" s="117" t="s">
        <v>106</v>
      </c>
      <c r="E552" s="138" t="s">
        <v>268</v>
      </c>
      <c r="F552" s="272" t="s">
        <v>49</v>
      </c>
      <c r="G552" s="119" t="s">
        <v>228</v>
      </c>
      <c r="H552" s="136">
        <v>2</v>
      </c>
      <c r="I552" s="199">
        <v>0</v>
      </c>
      <c r="J552" s="103">
        <v>0</v>
      </c>
      <c r="K552" s="104">
        <v>0</v>
      </c>
      <c r="L552" s="105">
        <v>0</v>
      </c>
      <c r="M552" s="106"/>
      <c r="N552" s="133">
        <f t="shared" si="615"/>
        <v>0</v>
      </c>
      <c r="O552" s="71">
        <v>2</v>
      </c>
      <c r="P552" s="71"/>
      <c r="Q552" s="136"/>
      <c r="R552" s="119" t="s">
        <v>179</v>
      </c>
      <c r="S552" s="276" t="s">
        <v>415</v>
      </c>
      <c r="T552" s="277" t="s">
        <v>322</v>
      </c>
      <c r="U552" s="136">
        <v>64</v>
      </c>
      <c r="V552" s="197">
        <v>0</v>
      </c>
      <c r="W552" s="90">
        <v>0</v>
      </c>
      <c r="X552" s="91">
        <v>0</v>
      </c>
      <c r="Y552" s="105">
        <v>0</v>
      </c>
      <c r="Z552" s="81">
        <v>0</v>
      </c>
      <c r="AA552" s="133">
        <f t="shared" si="599"/>
        <v>0</v>
      </c>
      <c r="AB552" s="71">
        <v>64</v>
      </c>
      <c r="AC552" s="136"/>
      <c r="AD552" s="197">
        <v>0</v>
      </c>
      <c r="AE552" s="90">
        <v>0</v>
      </c>
      <c r="AF552" s="91">
        <v>0</v>
      </c>
      <c r="AG552" s="92">
        <v>0</v>
      </c>
      <c r="AH552" s="81">
        <v>0</v>
      </c>
      <c r="AI552" s="133">
        <f t="shared" si="601"/>
        <v>0</v>
      </c>
      <c r="AJ552" s="71" t="s">
        <v>409</v>
      </c>
      <c r="AK552" s="136"/>
      <c r="AL552" s="136" t="s">
        <v>335</v>
      </c>
      <c r="AM552" s="72">
        <v>4</v>
      </c>
      <c r="AN552" s="136"/>
      <c r="AO552" s="72"/>
      <c r="AP552" s="119" t="s">
        <v>412</v>
      </c>
      <c r="AQ552" s="136" t="s">
        <v>409</v>
      </c>
      <c r="AR552" s="161">
        <v>0</v>
      </c>
      <c r="AS552" s="162">
        <v>0</v>
      </c>
      <c r="AT552" s="163" t="s">
        <v>409</v>
      </c>
      <c r="AU552" s="119"/>
      <c r="AV552" s="136"/>
      <c r="AW552" s="119"/>
      <c r="AX552" s="117" t="s">
        <v>413</v>
      </c>
    </row>
    <row r="553" spans="1:50" s="77" customFormat="1" ht="70.5" customHeight="1" x14ac:dyDescent="0.25">
      <c r="A553" s="166"/>
      <c r="B553" s="115" t="s">
        <v>266</v>
      </c>
      <c r="C553" s="115" t="s">
        <v>414</v>
      </c>
      <c r="D553" s="117" t="s">
        <v>106</v>
      </c>
      <c r="E553" s="138" t="s">
        <v>268</v>
      </c>
      <c r="F553" s="272"/>
      <c r="G553" s="119" t="s">
        <v>262</v>
      </c>
      <c r="H553" s="136">
        <v>13</v>
      </c>
      <c r="I553" s="199">
        <v>0</v>
      </c>
      <c r="J553" s="103">
        <v>0</v>
      </c>
      <c r="K553" s="104">
        <v>0</v>
      </c>
      <c r="L553" s="105">
        <v>0</v>
      </c>
      <c r="M553" s="106"/>
      <c r="N553" s="133">
        <f t="shared" si="615"/>
        <v>0</v>
      </c>
      <c r="O553" s="71">
        <v>13</v>
      </c>
      <c r="P553" s="71"/>
      <c r="Q553" s="136"/>
      <c r="R553" s="119" t="s">
        <v>179</v>
      </c>
      <c r="S553" s="276"/>
      <c r="T553" s="277"/>
      <c r="U553" s="136">
        <v>416</v>
      </c>
      <c r="V553" s="197">
        <v>0</v>
      </c>
      <c r="W553" s="90">
        <v>0</v>
      </c>
      <c r="X553" s="91">
        <v>0</v>
      </c>
      <c r="Y553" s="105">
        <v>0</v>
      </c>
      <c r="Z553" s="81">
        <v>0</v>
      </c>
      <c r="AA553" s="133">
        <f t="shared" si="599"/>
        <v>0</v>
      </c>
      <c r="AB553" s="71">
        <f>13*32</f>
        <v>416</v>
      </c>
      <c r="AC553" s="136"/>
      <c r="AD553" s="197">
        <v>0</v>
      </c>
      <c r="AE553" s="90">
        <v>0</v>
      </c>
      <c r="AF553" s="91">
        <v>0</v>
      </c>
      <c r="AG553" s="92">
        <v>0</v>
      </c>
      <c r="AH553" s="81">
        <v>0</v>
      </c>
      <c r="AI553" s="133">
        <f t="shared" si="601"/>
        <v>0</v>
      </c>
      <c r="AJ553" s="71" t="s">
        <v>409</v>
      </c>
      <c r="AK553" s="136"/>
      <c r="AL553" s="136" t="s">
        <v>335</v>
      </c>
      <c r="AM553" s="72">
        <v>26</v>
      </c>
      <c r="AN553" s="136"/>
      <c r="AO553" s="72"/>
      <c r="AP553" s="119" t="s">
        <v>412</v>
      </c>
      <c r="AQ553" s="136" t="s">
        <v>409</v>
      </c>
      <c r="AR553" s="161">
        <v>0</v>
      </c>
      <c r="AS553" s="162">
        <v>0</v>
      </c>
      <c r="AT553" s="163" t="s">
        <v>409</v>
      </c>
      <c r="AU553" s="119"/>
      <c r="AV553" s="136"/>
      <c r="AW553" s="119"/>
      <c r="AX553" s="117" t="s">
        <v>413</v>
      </c>
    </row>
    <row r="554" spans="1:50" s="77" customFormat="1" ht="18.75" customHeight="1" x14ac:dyDescent="0.25">
      <c r="A554" s="166"/>
      <c r="B554" s="115" t="s">
        <v>266</v>
      </c>
      <c r="C554" s="115" t="s">
        <v>414</v>
      </c>
      <c r="D554" s="117" t="s">
        <v>106</v>
      </c>
      <c r="E554" s="138" t="s">
        <v>268</v>
      </c>
      <c r="F554" s="142" t="s">
        <v>61</v>
      </c>
      <c r="G554" s="127"/>
      <c r="H554" s="143">
        <f>SUM(H552:H553)</f>
        <v>15</v>
      </c>
      <c r="I554" s="143">
        <f t="shared" ref="I554" si="655">SUM(I552:I553)</f>
        <v>0</v>
      </c>
      <c r="J554" s="143">
        <f t="shared" ref="J554:O554" si="656">SUM(J552:J553)</f>
        <v>0</v>
      </c>
      <c r="K554" s="143">
        <f t="shared" si="656"/>
        <v>0</v>
      </c>
      <c r="L554" s="143">
        <f t="shared" si="656"/>
        <v>0</v>
      </c>
      <c r="M554" s="143">
        <f t="shared" si="656"/>
        <v>0</v>
      </c>
      <c r="N554" s="143">
        <f t="shared" si="615"/>
        <v>0</v>
      </c>
      <c r="O554" s="143">
        <f t="shared" si="656"/>
        <v>15</v>
      </c>
      <c r="P554" s="143"/>
      <c r="Q554" s="142"/>
      <c r="R554" s="129"/>
      <c r="S554" s="173"/>
      <c r="T554" s="130"/>
      <c r="U554" s="142">
        <f>SUM(U552:U553)</f>
        <v>480</v>
      </c>
      <c r="V554" s="142">
        <f t="shared" ref="V554" si="657">SUM(V552:V553)</f>
        <v>0</v>
      </c>
      <c r="W554" s="142">
        <f t="shared" ref="W554:AB554" si="658">SUM(W552:W553)</f>
        <v>0</v>
      </c>
      <c r="X554" s="142">
        <f t="shared" si="658"/>
        <v>0</v>
      </c>
      <c r="Y554" s="143">
        <f t="shared" si="658"/>
        <v>0</v>
      </c>
      <c r="Z554" s="142">
        <f t="shared" si="658"/>
        <v>0</v>
      </c>
      <c r="AA554" s="142">
        <f t="shared" si="599"/>
        <v>0</v>
      </c>
      <c r="AB554" s="142">
        <f t="shared" si="658"/>
        <v>480</v>
      </c>
      <c r="AC554" s="142"/>
      <c r="AD554" s="142">
        <f t="shared" ref="AD554" si="659">SUM(AD552:AD553)</f>
        <v>0</v>
      </c>
      <c r="AE554" s="142">
        <f t="shared" ref="AE554:AH554" si="660">SUM(AE552:AE553)</f>
        <v>0</v>
      </c>
      <c r="AF554" s="142">
        <f t="shared" si="660"/>
        <v>0</v>
      </c>
      <c r="AG554" s="142">
        <f t="shared" si="660"/>
        <v>0</v>
      </c>
      <c r="AH554" s="142">
        <f t="shared" si="660"/>
        <v>0</v>
      </c>
      <c r="AI554" s="142">
        <f t="shared" si="601"/>
        <v>0</v>
      </c>
      <c r="AJ554" s="142" t="s">
        <v>409</v>
      </c>
      <c r="AK554" s="142"/>
      <c r="AL554" s="142"/>
      <c r="AM554" s="142"/>
      <c r="AN554" s="142"/>
      <c r="AO554" s="142"/>
      <c r="AP554" s="142"/>
      <c r="AQ554" s="142" t="s">
        <v>409</v>
      </c>
      <c r="AR554" s="142">
        <f>SUM(AR552:AR553)</f>
        <v>0</v>
      </c>
      <c r="AS554" s="142">
        <f>SUM(AS552:AS553)</f>
        <v>0</v>
      </c>
      <c r="AT554" s="142" t="s">
        <v>409</v>
      </c>
      <c r="AU554" s="129"/>
      <c r="AV554" s="142"/>
      <c r="AW554" s="127"/>
      <c r="AX554" s="127" t="s">
        <v>413</v>
      </c>
    </row>
    <row r="555" spans="1:50" s="77" customFormat="1" ht="57" customHeight="1" x14ac:dyDescent="0.25">
      <c r="A555" s="166"/>
      <c r="B555" s="115" t="s">
        <v>266</v>
      </c>
      <c r="C555" s="115" t="s">
        <v>416</v>
      </c>
      <c r="D555" s="117" t="s">
        <v>106</v>
      </c>
      <c r="E555" s="138" t="s">
        <v>268</v>
      </c>
      <c r="F555" s="272" t="s">
        <v>49</v>
      </c>
      <c r="G555" s="119" t="s">
        <v>417</v>
      </c>
      <c r="H555" s="136">
        <v>5</v>
      </c>
      <c r="I555" s="199">
        <v>0</v>
      </c>
      <c r="J555" s="103">
        <v>0</v>
      </c>
      <c r="K555" s="104">
        <v>0</v>
      </c>
      <c r="L555" s="105">
        <v>0</v>
      </c>
      <c r="M555" s="106"/>
      <c r="N555" s="133">
        <f t="shared" si="615"/>
        <v>0</v>
      </c>
      <c r="O555" s="72">
        <v>5</v>
      </c>
      <c r="P555" s="72"/>
      <c r="Q555" s="136"/>
      <c r="R555" s="119" t="s">
        <v>51</v>
      </c>
      <c r="S555" s="120" t="s">
        <v>418</v>
      </c>
      <c r="T555" s="135"/>
      <c r="U555" s="136">
        <v>5</v>
      </c>
      <c r="V555" s="197">
        <v>0</v>
      </c>
      <c r="W555" s="90">
        <v>0</v>
      </c>
      <c r="X555" s="91">
        <v>0</v>
      </c>
      <c r="Y555" s="105">
        <v>0</v>
      </c>
      <c r="Z555" s="81">
        <v>0</v>
      </c>
      <c r="AA555" s="133">
        <f t="shared" si="599"/>
        <v>0</v>
      </c>
      <c r="AB555" s="72">
        <v>5</v>
      </c>
      <c r="AC555" s="136">
        <v>1</v>
      </c>
      <c r="AD555" s="199">
        <v>0</v>
      </c>
      <c r="AE555" s="103">
        <v>0</v>
      </c>
      <c r="AF555" s="104">
        <v>0</v>
      </c>
      <c r="AG555" s="92">
        <v>0</v>
      </c>
      <c r="AH555" s="106">
        <v>0</v>
      </c>
      <c r="AI555" s="133">
        <f t="shared" si="601"/>
        <v>0</v>
      </c>
      <c r="AJ555" s="72">
        <v>1</v>
      </c>
      <c r="AK555" s="136"/>
      <c r="AL555" s="136"/>
      <c r="AM555" s="72"/>
      <c r="AN555" s="136"/>
      <c r="AO555" s="72"/>
      <c r="AP555" s="119" t="s">
        <v>58</v>
      </c>
      <c r="AQ555" s="136">
        <v>1</v>
      </c>
      <c r="AR555" s="122">
        <v>0</v>
      </c>
      <c r="AS555" s="123">
        <v>1</v>
      </c>
      <c r="AT555" s="124">
        <v>0</v>
      </c>
      <c r="AU555" s="119"/>
      <c r="AV555" s="136"/>
      <c r="AW555" s="119"/>
      <c r="AX555" s="117" t="s">
        <v>419</v>
      </c>
    </row>
    <row r="556" spans="1:50" s="77" customFormat="1" ht="56.25" x14ac:dyDescent="0.25">
      <c r="A556" s="166"/>
      <c r="B556" s="115" t="s">
        <v>266</v>
      </c>
      <c r="C556" s="115" t="s">
        <v>416</v>
      </c>
      <c r="D556" s="117" t="s">
        <v>106</v>
      </c>
      <c r="E556" s="138" t="s">
        <v>268</v>
      </c>
      <c r="F556" s="272"/>
      <c r="G556" s="119" t="s">
        <v>228</v>
      </c>
      <c r="H556" s="136">
        <v>5</v>
      </c>
      <c r="I556" s="199">
        <v>0</v>
      </c>
      <c r="J556" s="103">
        <v>0</v>
      </c>
      <c r="K556" s="104">
        <v>0</v>
      </c>
      <c r="L556" s="105">
        <v>0</v>
      </c>
      <c r="M556" s="106"/>
      <c r="N556" s="133">
        <f t="shared" si="615"/>
        <v>0</v>
      </c>
      <c r="O556" s="72">
        <v>5</v>
      </c>
      <c r="P556" s="72"/>
      <c r="Q556" s="136"/>
      <c r="R556" s="119" t="s">
        <v>51</v>
      </c>
      <c r="S556" s="120" t="s">
        <v>418</v>
      </c>
      <c r="T556" s="135"/>
      <c r="U556" s="136">
        <v>5</v>
      </c>
      <c r="V556" s="197">
        <v>0</v>
      </c>
      <c r="W556" s="90">
        <v>0</v>
      </c>
      <c r="X556" s="91">
        <v>0</v>
      </c>
      <c r="Y556" s="105">
        <v>0</v>
      </c>
      <c r="Z556" s="81">
        <v>0</v>
      </c>
      <c r="AA556" s="133">
        <f t="shared" si="599"/>
        <v>0</v>
      </c>
      <c r="AB556" s="72">
        <v>5</v>
      </c>
      <c r="AC556" s="136">
        <v>1</v>
      </c>
      <c r="AD556" s="199"/>
      <c r="AE556" s="103"/>
      <c r="AF556" s="104"/>
      <c r="AG556" s="92">
        <v>0</v>
      </c>
      <c r="AH556" s="106"/>
      <c r="AI556" s="133">
        <f t="shared" si="601"/>
        <v>0</v>
      </c>
      <c r="AJ556" s="72">
        <v>1</v>
      </c>
      <c r="AK556" s="136"/>
      <c r="AL556" s="136"/>
      <c r="AM556" s="72"/>
      <c r="AN556" s="136"/>
      <c r="AO556" s="72"/>
      <c r="AP556" s="119" t="s">
        <v>58</v>
      </c>
      <c r="AQ556" s="136">
        <v>1</v>
      </c>
      <c r="AR556" s="122">
        <v>0</v>
      </c>
      <c r="AS556" s="123">
        <v>1</v>
      </c>
      <c r="AT556" s="124">
        <v>0</v>
      </c>
      <c r="AU556" s="119"/>
      <c r="AV556" s="136"/>
      <c r="AW556" s="119"/>
      <c r="AX556" s="117" t="s">
        <v>419</v>
      </c>
    </row>
    <row r="557" spans="1:50" s="77" customFormat="1" ht="56.25" x14ac:dyDescent="0.25">
      <c r="A557" s="166"/>
      <c r="B557" s="115" t="s">
        <v>266</v>
      </c>
      <c r="C557" s="115" t="s">
        <v>416</v>
      </c>
      <c r="D557" s="117" t="s">
        <v>106</v>
      </c>
      <c r="E557" s="138" t="s">
        <v>268</v>
      </c>
      <c r="F557" s="272"/>
      <c r="G557" s="119" t="s">
        <v>420</v>
      </c>
      <c r="H557" s="136">
        <v>5</v>
      </c>
      <c r="I557" s="199">
        <v>0</v>
      </c>
      <c r="J557" s="103">
        <v>0</v>
      </c>
      <c r="K557" s="104">
        <v>0</v>
      </c>
      <c r="L557" s="105">
        <v>0</v>
      </c>
      <c r="M557" s="106"/>
      <c r="N557" s="133">
        <f t="shared" si="615"/>
        <v>0</v>
      </c>
      <c r="O557" s="72">
        <v>5</v>
      </c>
      <c r="P557" s="72"/>
      <c r="Q557" s="136"/>
      <c r="R557" s="119" t="s">
        <v>279</v>
      </c>
      <c r="S557" s="120" t="s">
        <v>418</v>
      </c>
      <c r="T557" s="135"/>
      <c r="U557" s="136">
        <v>5</v>
      </c>
      <c r="V557" s="197">
        <v>0</v>
      </c>
      <c r="W557" s="90">
        <v>0</v>
      </c>
      <c r="X557" s="91">
        <v>0</v>
      </c>
      <c r="Y557" s="105">
        <v>0</v>
      </c>
      <c r="Z557" s="81">
        <v>0</v>
      </c>
      <c r="AA557" s="133">
        <f t="shared" si="599"/>
        <v>0</v>
      </c>
      <c r="AB557" s="72">
        <v>5</v>
      </c>
      <c r="AC557" s="136">
        <v>1</v>
      </c>
      <c r="AD557" s="199">
        <v>0</v>
      </c>
      <c r="AE557" s="103">
        <v>0</v>
      </c>
      <c r="AF557" s="104">
        <v>0</v>
      </c>
      <c r="AG557" s="92">
        <v>0</v>
      </c>
      <c r="AH557" s="106">
        <v>0</v>
      </c>
      <c r="AI557" s="133">
        <f t="shared" si="601"/>
        <v>0</v>
      </c>
      <c r="AJ557" s="72">
        <v>1</v>
      </c>
      <c r="AK557" s="136"/>
      <c r="AL557" s="136"/>
      <c r="AM557" s="72"/>
      <c r="AN557" s="136"/>
      <c r="AO557" s="72"/>
      <c r="AP557" s="119" t="s">
        <v>58</v>
      </c>
      <c r="AQ557" s="136">
        <v>1</v>
      </c>
      <c r="AR557" s="122">
        <v>0</v>
      </c>
      <c r="AS557" s="123">
        <v>1</v>
      </c>
      <c r="AT557" s="124">
        <v>0</v>
      </c>
      <c r="AU557" s="119"/>
      <c r="AV557" s="136"/>
      <c r="AW557" s="119"/>
      <c r="AX557" s="117" t="s">
        <v>419</v>
      </c>
    </row>
    <row r="558" spans="1:50" s="77" customFormat="1" ht="44.25" customHeight="1" x14ac:dyDescent="0.25">
      <c r="A558" s="166"/>
      <c r="B558" s="115" t="s">
        <v>266</v>
      </c>
      <c r="C558" s="115" t="s">
        <v>416</v>
      </c>
      <c r="D558" s="117" t="s">
        <v>106</v>
      </c>
      <c r="E558" s="138" t="s">
        <v>268</v>
      </c>
      <c r="F558" s="142" t="s">
        <v>61</v>
      </c>
      <c r="G558" s="127"/>
      <c r="H558" s="142">
        <f>SUM(H555:H557)</f>
        <v>15</v>
      </c>
      <c r="I558" s="142">
        <f t="shared" ref="I558" si="661">SUM(I555:I557)</f>
        <v>0</v>
      </c>
      <c r="J558" s="142">
        <f t="shared" ref="J558:O558" si="662">SUM(J555:J557)</f>
        <v>0</v>
      </c>
      <c r="K558" s="142">
        <f t="shared" si="662"/>
        <v>0</v>
      </c>
      <c r="L558" s="142">
        <f t="shared" si="662"/>
        <v>0</v>
      </c>
      <c r="M558" s="142">
        <f t="shared" si="662"/>
        <v>0</v>
      </c>
      <c r="N558" s="142">
        <f t="shared" si="615"/>
        <v>0</v>
      </c>
      <c r="O558" s="142">
        <f t="shared" si="662"/>
        <v>15</v>
      </c>
      <c r="P558" s="142"/>
      <c r="Q558" s="142"/>
      <c r="R558" s="129"/>
      <c r="S558" s="173"/>
      <c r="T558" s="130"/>
      <c r="U558" s="142">
        <f>SUBTOTAL(9,U555:U557)</f>
        <v>15</v>
      </c>
      <c r="V558" s="142">
        <f t="shared" ref="V558" si="663">SUBTOTAL(9,V555:V557)</f>
        <v>0</v>
      </c>
      <c r="W558" s="142">
        <f t="shared" ref="W558:AJ558" si="664">SUBTOTAL(9,W555:W557)</f>
        <v>0</v>
      </c>
      <c r="X558" s="142">
        <f t="shared" si="664"/>
        <v>0</v>
      </c>
      <c r="Y558" s="142">
        <f t="shared" ref="Y558" si="665">SUM(Y555:Y557)</f>
        <v>0</v>
      </c>
      <c r="Z558" s="142">
        <f t="shared" si="664"/>
        <v>0</v>
      </c>
      <c r="AA558" s="142">
        <f t="shared" si="599"/>
        <v>0</v>
      </c>
      <c r="AB558" s="142">
        <f t="shared" si="664"/>
        <v>15</v>
      </c>
      <c r="AC558" s="142">
        <f t="shared" si="664"/>
        <v>3</v>
      </c>
      <c r="AD558" s="142">
        <f t="shared" si="664"/>
        <v>0</v>
      </c>
      <c r="AE558" s="142">
        <f t="shared" si="664"/>
        <v>0</v>
      </c>
      <c r="AF558" s="142">
        <f t="shared" si="664"/>
        <v>0</v>
      </c>
      <c r="AG558" s="142">
        <f t="shared" ref="AG558" si="666">SUBTOTAL(9,AG555:AG557)</f>
        <v>0</v>
      </c>
      <c r="AH558" s="142">
        <f t="shared" si="664"/>
        <v>0</v>
      </c>
      <c r="AI558" s="142">
        <f t="shared" si="601"/>
        <v>0</v>
      </c>
      <c r="AJ558" s="142">
        <f t="shared" si="664"/>
        <v>3</v>
      </c>
      <c r="AK558" s="142"/>
      <c r="AL558" s="142"/>
      <c r="AM558" s="142"/>
      <c r="AN558" s="142"/>
      <c r="AO558" s="142"/>
      <c r="AP558" s="127"/>
      <c r="AQ558" s="142">
        <f>SUBTOTAL(9,AQ555:AQ557)</f>
        <v>3</v>
      </c>
      <c r="AR558" s="142">
        <f t="shared" ref="AR558:AT558" si="667">SUBTOTAL(9,AR555:AR557)</f>
        <v>0</v>
      </c>
      <c r="AS558" s="142">
        <f t="shared" si="667"/>
        <v>3</v>
      </c>
      <c r="AT558" s="142">
        <f t="shared" si="667"/>
        <v>0</v>
      </c>
      <c r="AU558" s="129"/>
      <c r="AV558" s="142"/>
      <c r="AW558" s="127"/>
      <c r="AX558" s="127" t="s">
        <v>419</v>
      </c>
    </row>
    <row r="559" spans="1:50" s="77" customFormat="1" ht="75" customHeight="1" x14ac:dyDescent="0.25">
      <c r="A559" s="166"/>
      <c r="B559" s="115" t="s">
        <v>224</v>
      </c>
      <c r="C559" s="115" t="s">
        <v>421</v>
      </c>
      <c r="D559" s="117" t="s">
        <v>106</v>
      </c>
      <c r="E559" s="138" t="s">
        <v>268</v>
      </c>
      <c r="F559" s="272" t="s">
        <v>49</v>
      </c>
      <c r="G559" s="119" t="s">
        <v>227</v>
      </c>
      <c r="H559" s="136">
        <v>10</v>
      </c>
      <c r="I559" s="197">
        <v>0</v>
      </c>
      <c r="J559" s="90">
        <v>0</v>
      </c>
      <c r="K559" s="91">
        <v>0</v>
      </c>
      <c r="L559" s="92">
        <v>0</v>
      </c>
      <c r="M559" s="81">
        <v>0</v>
      </c>
      <c r="N559" s="133">
        <f t="shared" si="615"/>
        <v>0</v>
      </c>
      <c r="O559" s="71">
        <v>10</v>
      </c>
      <c r="P559" s="71"/>
      <c r="Q559" s="136"/>
      <c r="R559" s="119" t="s">
        <v>51</v>
      </c>
      <c r="S559" s="120" t="s">
        <v>422</v>
      </c>
      <c r="T559" s="251" t="s">
        <v>77</v>
      </c>
      <c r="U559" s="136">
        <v>10</v>
      </c>
      <c r="V559" s="197">
        <v>0</v>
      </c>
      <c r="W559" s="90">
        <v>0</v>
      </c>
      <c r="X559" s="91">
        <v>0</v>
      </c>
      <c r="Y559" s="92">
        <v>0</v>
      </c>
      <c r="Z559" s="81">
        <v>0</v>
      </c>
      <c r="AA559" s="133">
        <f t="shared" si="599"/>
        <v>0</v>
      </c>
      <c r="AB559" s="71">
        <v>10</v>
      </c>
      <c r="AC559" s="136">
        <v>0</v>
      </c>
      <c r="AD559" s="197">
        <v>0</v>
      </c>
      <c r="AE559" s="90">
        <v>0</v>
      </c>
      <c r="AF559" s="91">
        <v>0</v>
      </c>
      <c r="AG559" s="92">
        <v>0</v>
      </c>
      <c r="AH559" s="81">
        <v>0</v>
      </c>
      <c r="AI559" s="133">
        <f t="shared" si="601"/>
        <v>0</v>
      </c>
      <c r="AJ559" s="71">
        <f>AC559/4*3</f>
        <v>0</v>
      </c>
      <c r="AK559" s="136"/>
      <c r="AL559" s="136"/>
      <c r="AM559" s="72"/>
      <c r="AN559" s="136"/>
      <c r="AO559" s="72"/>
      <c r="AP559" s="119"/>
      <c r="AQ559" s="136"/>
      <c r="AR559" s="161">
        <v>0</v>
      </c>
      <c r="AS559" s="162">
        <v>0</v>
      </c>
      <c r="AT559" s="163">
        <v>0</v>
      </c>
      <c r="AU559" s="119"/>
      <c r="AV559" s="136"/>
      <c r="AW559" s="119"/>
      <c r="AX559" s="117" t="s">
        <v>147</v>
      </c>
    </row>
    <row r="560" spans="1:50" s="77" customFormat="1" ht="90" x14ac:dyDescent="0.25">
      <c r="A560" s="166"/>
      <c r="B560" s="115" t="s">
        <v>224</v>
      </c>
      <c r="C560" s="115" t="s">
        <v>421</v>
      </c>
      <c r="D560" s="117" t="s">
        <v>106</v>
      </c>
      <c r="E560" s="138" t="s">
        <v>268</v>
      </c>
      <c r="F560" s="272"/>
      <c r="G560" s="119" t="s">
        <v>228</v>
      </c>
      <c r="H560" s="136">
        <v>10</v>
      </c>
      <c r="I560" s="197">
        <v>0</v>
      </c>
      <c r="J560" s="90">
        <v>0</v>
      </c>
      <c r="K560" s="91">
        <v>0</v>
      </c>
      <c r="L560" s="92">
        <v>0</v>
      </c>
      <c r="M560" s="81">
        <v>0</v>
      </c>
      <c r="N560" s="133">
        <f t="shared" si="615"/>
        <v>0</v>
      </c>
      <c r="O560" s="71">
        <v>10</v>
      </c>
      <c r="P560" s="71"/>
      <c r="Q560" s="136"/>
      <c r="R560" s="119" t="s">
        <v>51</v>
      </c>
      <c r="S560" s="120" t="s">
        <v>422</v>
      </c>
      <c r="T560" s="251"/>
      <c r="U560" s="136">
        <v>10</v>
      </c>
      <c r="V560" s="197">
        <v>0</v>
      </c>
      <c r="W560" s="90">
        <v>0</v>
      </c>
      <c r="X560" s="91">
        <v>0</v>
      </c>
      <c r="Y560" s="92">
        <v>0</v>
      </c>
      <c r="Z560" s="81">
        <v>0</v>
      </c>
      <c r="AA560" s="133">
        <f t="shared" si="599"/>
        <v>0</v>
      </c>
      <c r="AB560" s="71">
        <v>10</v>
      </c>
      <c r="AC560" s="136">
        <v>0</v>
      </c>
      <c r="AD560" s="197">
        <v>0</v>
      </c>
      <c r="AE560" s="90">
        <v>0</v>
      </c>
      <c r="AF560" s="91">
        <v>0</v>
      </c>
      <c r="AG560" s="92">
        <v>0</v>
      </c>
      <c r="AH560" s="81">
        <v>0</v>
      </c>
      <c r="AI560" s="133">
        <f t="shared" si="601"/>
        <v>0</v>
      </c>
      <c r="AJ560" s="71">
        <f>AC560/4*3</f>
        <v>0</v>
      </c>
      <c r="AK560" s="136"/>
      <c r="AL560" s="136"/>
      <c r="AM560" s="72"/>
      <c r="AN560" s="136"/>
      <c r="AO560" s="72"/>
      <c r="AP560" s="119"/>
      <c r="AQ560" s="136"/>
      <c r="AR560" s="161">
        <v>0</v>
      </c>
      <c r="AS560" s="162">
        <v>0</v>
      </c>
      <c r="AT560" s="163">
        <v>0</v>
      </c>
      <c r="AU560" s="119"/>
      <c r="AV560" s="136"/>
      <c r="AW560" s="119"/>
      <c r="AX560" s="117" t="s">
        <v>147</v>
      </c>
    </row>
    <row r="561" spans="1:50" s="77" customFormat="1" ht="90" x14ac:dyDescent="0.25">
      <c r="A561" s="166"/>
      <c r="B561" s="115" t="s">
        <v>224</v>
      </c>
      <c r="C561" s="115" t="s">
        <v>421</v>
      </c>
      <c r="D561" s="117" t="s">
        <v>106</v>
      </c>
      <c r="E561" s="138" t="s">
        <v>268</v>
      </c>
      <c r="F561" s="272"/>
      <c r="G561" s="119" t="s">
        <v>229</v>
      </c>
      <c r="H561" s="136">
        <v>20</v>
      </c>
      <c r="I561" s="197">
        <v>0</v>
      </c>
      <c r="J561" s="90">
        <v>0</v>
      </c>
      <c r="K561" s="91">
        <v>10</v>
      </c>
      <c r="L561" s="92">
        <v>0</v>
      </c>
      <c r="M561" s="81">
        <v>5</v>
      </c>
      <c r="N561" s="133">
        <f t="shared" si="615"/>
        <v>15</v>
      </c>
      <c r="O561" s="71">
        <v>0</v>
      </c>
      <c r="P561" s="71"/>
      <c r="Q561" s="136"/>
      <c r="R561" s="119" t="s">
        <v>51</v>
      </c>
      <c r="S561" s="120" t="s">
        <v>422</v>
      </c>
      <c r="T561" s="251"/>
      <c r="U561" s="136">
        <v>20</v>
      </c>
      <c r="V561" s="197">
        <v>0</v>
      </c>
      <c r="W561" s="90">
        <v>0</v>
      </c>
      <c r="X561" s="91">
        <v>10</v>
      </c>
      <c r="Y561" s="92">
        <v>0</v>
      </c>
      <c r="Z561" s="81">
        <v>5</v>
      </c>
      <c r="AA561" s="133">
        <f t="shared" si="599"/>
        <v>15</v>
      </c>
      <c r="AB561" s="71">
        <v>0</v>
      </c>
      <c r="AC561" s="136">
        <v>5</v>
      </c>
      <c r="AD561" s="197">
        <v>0</v>
      </c>
      <c r="AE561" s="90">
        <v>0</v>
      </c>
      <c r="AF561" s="91">
        <v>3</v>
      </c>
      <c r="AG561" s="92">
        <v>0</v>
      </c>
      <c r="AH561" s="81">
        <v>1</v>
      </c>
      <c r="AI561" s="133">
        <f t="shared" si="601"/>
        <v>4</v>
      </c>
      <c r="AJ561" s="71">
        <v>0</v>
      </c>
      <c r="AK561" s="136"/>
      <c r="AL561" s="136"/>
      <c r="AM561" s="72"/>
      <c r="AN561" s="136"/>
      <c r="AO561" s="72"/>
      <c r="AP561" s="119" t="s">
        <v>58</v>
      </c>
      <c r="AQ561" s="136">
        <v>5</v>
      </c>
      <c r="AR561" s="161">
        <v>0</v>
      </c>
      <c r="AS561" s="162">
        <v>0</v>
      </c>
      <c r="AT561" s="163">
        <v>5</v>
      </c>
      <c r="AU561" s="119"/>
      <c r="AV561" s="136"/>
      <c r="AW561" s="119"/>
      <c r="AX561" s="117" t="s">
        <v>147</v>
      </c>
    </row>
    <row r="562" spans="1:50" s="77" customFormat="1" ht="90" x14ac:dyDescent="0.25">
      <c r="A562" s="166"/>
      <c r="B562" s="115" t="s">
        <v>224</v>
      </c>
      <c r="C562" s="115" t="s">
        <v>421</v>
      </c>
      <c r="D562" s="117" t="s">
        <v>106</v>
      </c>
      <c r="E562" s="138" t="s">
        <v>268</v>
      </c>
      <c r="F562" s="142" t="s">
        <v>61</v>
      </c>
      <c r="G562" s="155"/>
      <c r="H562" s="153">
        <f t="shared" ref="H562:O562" si="668">SUM(H559:H561)</f>
        <v>40</v>
      </c>
      <c r="I562" s="153">
        <f t="shared" si="668"/>
        <v>0</v>
      </c>
      <c r="J562" s="153">
        <f t="shared" si="668"/>
        <v>0</v>
      </c>
      <c r="K562" s="153">
        <f t="shared" si="668"/>
        <v>10</v>
      </c>
      <c r="L562" s="153">
        <f t="shared" si="668"/>
        <v>0</v>
      </c>
      <c r="M562" s="153">
        <f t="shared" si="668"/>
        <v>5</v>
      </c>
      <c r="N562" s="153">
        <f t="shared" si="615"/>
        <v>15</v>
      </c>
      <c r="O562" s="153">
        <f t="shared" si="668"/>
        <v>20</v>
      </c>
      <c r="P562" s="153"/>
      <c r="Q562" s="156"/>
      <c r="R562" s="129"/>
      <c r="S562" s="157"/>
      <c r="T562" s="158"/>
      <c r="U562" s="153">
        <f t="shared" ref="U562:AJ562" si="669">SUM(U559:U561)</f>
        <v>40</v>
      </c>
      <c r="V562" s="153">
        <f t="shared" si="669"/>
        <v>0</v>
      </c>
      <c r="W562" s="153">
        <f t="shared" si="669"/>
        <v>0</v>
      </c>
      <c r="X562" s="153">
        <f t="shared" si="669"/>
        <v>10</v>
      </c>
      <c r="Y562" s="153">
        <f t="shared" ref="Y562" si="670">SUM(Y559:Y561)</f>
        <v>0</v>
      </c>
      <c r="Z562" s="153">
        <f t="shared" si="669"/>
        <v>5</v>
      </c>
      <c r="AA562" s="153">
        <f t="shared" si="599"/>
        <v>15</v>
      </c>
      <c r="AB562" s="153">
        <f t="shared" si="669"/>
        <v>20</v>
      </c>
      <c r="AC562" s="153">
        <f t="shared" si="669"/>
        <v>5</v>
      </c>
      <c r="AD562" s="153">
        <f t="shared" si="669"/>
        <v>0</v>
      </c>
      <c r="AE562" s="153">
        <f t="shared" si="669"/>
        <v>0</v>
      </c>
      <c r="AF562" s="153">
        <f t="shared" si="669"/>
        <v>3</v>
      </c>
      <c r="AG562" s="153">
        <f t="shared" ref="AG562" si="671">SUM(AG559:AG561)</f>
        <v>0</v>
      </c>
      <c r="AH562" s="153">
        <f t="shared" si="669"/>
        <v>1</v>
      </c>
      <c r="AI562" s="153">
        <f t="shared" si="601"/>
        <v>4</v>
      </c>
      <c r="AJ562" s="153">
        <f t="shared" si="669"/>
        <v>0</v>
      </c>
      <c r="AK562" s="156"/>
      <c r="AL562" s="156"/>
      <c r="AM562" s="156"/>
      <c r="AN562" s="156"/>
      <c r="AO562" s="156"/>
      <c r="AP562" s="155"/>
      <c r="AQ562" s="153">
        <f>SUM(AQ559:AQ561)</f>
        <v>5</v>
      </c>
      <c r="AR562" s="153">
        <f>SUM(AR559:AR561)</f>
        <v>0</v>
      </c>
      <c r="AS562" s="153">
        <f>SUM(AS559:AS561)</f>
        <v>0</v>
      </c>
      <c r="AT562" s="153">
        <f>SUM(AT559:AT561)</f>
        <v>5</v>
      </c>
      <c r="AU562" s="129"/>
      <c r="AV562" s="156"/>
      <c r="AW562" s="155"/>
      <c r="AX562" s="155" t="s">
        <v>147</v>
      </c>
    </row>
    <row r="563" spans="1:50" s="95" customFormat="1" ht="37.5" customHeight="1" x14ac:dyDescent="0.25">
      <c r="A563" s="311"/>
      <c r="B563" s="115" t="s">
        <v>224</v>
      </c>
      <c r="C563" s="115" t="s">
        <v>196</v>
      </c>
      <c r="D563" s="117" t="s">
        <v>197</v>
      </c>
      <c r="E563" s="117" t="s">
        <v>48</v>
      </c>
      <c r="F563" s="272" t="s">
        <v>49</v>
      </c>
      <c r="G563" s="119" t="s">
        <v>237</v>
      </c>
      <c r="H563" s="292">
        <v>100</v>
      </c>
      <c r="I563" s="238">
        <v>0</v>
      </c>
      <c r="J563" s="230">
        <v>0</v>
      </c>
      <c r="K563" s="224">
        <v>23</v>
      </c>
      <c r="L563" s="226">
        <v>2</v>
      </c>
      <c r="M563" s="232">
        <v>0</v>
      </c>
      <c r="N563" s="278">
        <f t="shared" si="615"/>
        <v>25</v>
      </c>
      <c r="O563" s="242">
        <f>H563/4*3</f>
        <v>75</v>
      </c>
      <c r="P563" s="71"/>
      <c r="Q563" s="251"/>
      <c r="R563" s="119" t="s">
        <v>51</v>
      </c>
      <c r="S563" s="160" t="s">
        <v>423</v>
      </c>
      <c r="T563" s="286" t="s">
        <v>77</v>
      </c>
      <c r="U563" s="136">
        <v>220</v>
      </c>
      <c r="V563" s="197">
        <v>0</v>
      </c>
      <c r="W563" s="90">
        <v>0</v>
      </c>
      <c r="X563" s="91">
        <v>23</v>
      </c>
      <c r="Y563" s="226">
        <v>2</v>
      </c>
      <c r="Z563" s="81">
        <v>0</v>
      </c>
      <c r="AA563" s="133">
        <f t="shared" si="599"/>
        <v>25</v>
      </c>
      <c r="AB563" s="71">
        <f>U563/4*3</f>
        <v>165</v>
      </c>
      <c r="AC563" s="136">
        <v>80</v>
      </c>
      <c r="AD563" s="197">
        <v>0</v>
      </c>
      <c r="AE563" s="90">
        <v>0</v>
      </c>
      <c r="AF563" s="91">
        <v>0</v>
      </c>
      <c r="AG563" s="92">
        <v>0</v>
      </c>
      <c r="AH563" s="81">
        <v>0</v>
      </c>
      <c r="AI563" s="133">
        <f t="shared" si="601"/>
        <v>0</v>
      </c>
      <c r="AJ563" s="71">
        <v>80</v>
      </c>
      <c r="AK563" s="251"/>
      <c r="AL563" s="251"/>
      <c r="AM563" s="218"/>
      <c r="AN563" s="251"/>
      <c r="AO563" s="46"/>
      <c r="AP563" s="119" t="s">
        <v>154</v>
      </c>
      <c r="AQ563" s="136">
        <v>80</v>
      </c>
      <c r="AR563" s="122">
        <v>80</v>
      </c>
      <c r="AS563" s="123">
        <v>0</v>
      </c>
      <c r="AT563" s="124">
        <v>0</v>
      </c>
      <c r="AU563" s="251"/>
      <c r="AV563" s="251"/>
      <c r="AW563" s="251"/>
      <c r="AX563" s="117" t="s">
        <v>108</v>
      </c>
    </row>
    <row r="564" spans="1:50" s="95" customFormat="1" ht="54" x14ac:dyDescent="0.25">
      <c r="A564" s="311"/>
      <c r="B564" s="115" t="s">
        <v>224</v>
      </c>
      <c r="C564" s="115" t="s">
        <v>196</v>
      </c>
      <c r="D564" s="117" t="s">
        <v>197</v>
      </c>
      <c r="E564" s="117" t="s">
        <v>48</v>
      </c>
      <c r="F564" s="272"/>
      <c r="G564" s="119" t="s">
        <v>237</v>
      </c>
      <c r="H564" s="292"/>
      <c r="I564" s="239"/>
      <c r="J564" s="231"/>
      <c r="K564" s="225"/>
      <c r="L564" s="227"/>
      <c r="M564" s="233"/>
      <c r="N564" s="278">
        <f t="shared" si="615"/>
        <v>0</v>
      </c>
      <c r="O564" s="242"/>
      <c r="P564" s="71"/>
      <c r="Q564" s="251"/>
      <c r="R564" s="119" t="s">
        <v>56</v>
      </c>
      <c r="S564" s="160" t="s">
        <v>424</v>
      </c>
      <c r="T564" s="286"/>
      <c r="U564" s="136" t="s">
        <v>85</v>
      </c>
      <c r="V564" s="197">
        <v>0</v>
      </c>
      <c r="W564" s="90">
        <v>0</v>
      </c>
      <c r="X564" s="91">
        <v>0</v>
      </c>
      <c r="Y564" s="227"/>
      <c r="Z564" s="81">
        <v>0</v>
      </c>
      <c r="AA564" s="133">
        <f t="shared" si="599"/>
        <v>0</v>
      </c>
      <c r="AB564" s="71">
        <v>0</v>
      </c>
      <c r="AC564" s="136" t="s">
        <v>85</v>
      </c>
      <c r="AD564" s="197">
        <v>0</v>
      </c>
      <c r="AE564" s="90">
        <v>0</v>
      </c>
      <c r="AF564" s="91">
        <v>0</v>
      </c>
      <c r="AG564" s="92">
        <v>0</v>
      </c>
      <c r="AH564" s="81">
        <v>0</v>
      </c>
      <c r="AI564" s="133">
        <f t="shared" si="601"/>
        <v>0</v>
      </c>
      <c r="AJ564" s="71" t="s">
        <v>85</v>
      </c>
      <c r="AK564" s="251"/>
      <c r="AL564" s="251"/>
      <c r="AM564" s="218"/>
      <c r="AN564" s="251"/>
      <c r="AO564" s="46"/>
      <c r="AP564" s="119" t="s">
        <v>154</v>
      </c>
      <c r="AQ564" s="136">
        <v>0</v>
      </c>
      <c r="AR564" s="122">
        <v>0</v>
      </c>
      <c r="AS564" s="123">
        <v>0</v>
      </c>
      <c r="AT564" s="124">
        <v>0</v>
      </c>
      <c r="AU564" s="251"/>
      <c r="AV564" s="251"/>
      <c r="AW564" s="251"/>
      <c r="AX564" s="117" t="s">
        <v>108</v>
      </c>
    </row>
    <row r="565" spans="1:50" s="95" customFormat="1" ht="54" x14ac:dyDescent="0.25">
      <c r="A565" s="311"/>
      <c r="B565" s="115" t="s">
        <v>224</v>
      </c>
      <c r="C565" s="115" t="s">
        <v>196</v>
      </c>
      <c r="D565" s="117" t="s">
        <v>197</v>
      </c>
      <c r="E565" s="117" t="s">
        <v>48</v>
      </c>
      <c r="F565" s="272"/>
      <c r="G565" s="119" t="s">
        <v>227</v>
      </c>
      <c r="H565" s="151">
        <v>100</v>
      </c>
      <c r="I565" s="197">
        <v>0</v>
      </c>
      <c r="J565" s="90">
        <v>3</v>
      </c>
      <c r="K565" s="91">
        <v>17</v>
      </c>
      <c r="L565" s="92">
        <v>0</v>
      </c>
      <c r="M565" s="81">
        <v>0</v>
      </c>
      <c r="N565" s="133">
        <f t="shared" si="615"/>
        <v>20</v>
      </c>
      <c r="O565" s="71">
        <f>H565/4*3</f>
        <v>75</v>
      </c>
      <c r="P565" s="71"/>
      <c r="Q565" s="137"/>
      <c r="R565" s="119" t="s">
        <v>51</v>
      </c>
      <c r="S565" s="160" t="s">
        <v>93</v>
      </c>
      <c r="T565" s="286"/>
      <c r="U565" s="136">
        <v>130</v>
      </c>
      <c r="V565" s="197">
        <v>0</v>
      </c>
      <c r="W565" s="90">
        <v>3</v>
      </c>
      <c r="X565" s="91">
        <v>17</v>
      </c>
      <c r="Y565" s="92">
        <v>0</v>
      </c>
      <c r="Z565" s="81">
        <v>0</v>
      </c>
      <c r="AA565" s="133">
        <f t="shared" si="599"/>
        <v>20</v>
      </c>
      <c r="AB565" s="71">
        <f>U565/4*3</f>
        <v>97.5</v>
      </c>
      <c r="AC565" s="136">
        <v>5</v>
      </c>
      <c r="AD565" s="197">
        <v>0</v>
      </c>
      <c r="AE565" s="90">
        <v>0</v>
      </c>
      <c r="AF565" s="91">
        <v>0</v>
      </c>
      <c r="AG565" s="92">
        <v>0</v>
      </c>
      <c r="AH565" s="81">
        <v>0</v>
      </c>
      <c r="AI565" s="133">
        <f t="shared" si="601"/>
        <v>0</v>
      </c>
      <c r="AJ565" s="71">
        <v>5</v>
      </c>
      <c r="AK565" s="136"/>
      <c r="AL565" s="136"/>
      <c r="AM565" s="72"/>
      <c r="AN565" s="136"/>
      <c r="AO565" s="72"/>
      <c r="AP565" s="119" t="s">
        <v>154</v>
      </c>
      <c r="AQ565" s="136">
        <v>5</v>
      </c>
      <c r="AR565" s="122">
        <v>5</v>
      </c>
      <c r="AS565" s="123">
        <v>0</v>
      </c>
      <c r="AT565" s="124">
        <v>0</v>
      </c>
      <c r="AU565" s="175"/>
      <c r="AV565" s="137"/>
      <c r="AW565" s="119"/>
      <c r="AX565" s="117" t="s">
        <v>108</v>
      </c>
    </row>
    <row r="566" spans="1:50" s="95" customFormat="1" ht="54" x14ac:dyDescent="0.25">
      <c r="A566" s="311"/>
      <c r="B566" s="115" t="s">
        <v>224</v>
      </c>
      <c r="C566" s="115" t="s">
        <v>196</v>
      </c>
      <c r="D566" s="117" t="s">
        <v>197</v>
      </c>
      <c r="E566" s="117" t="s">
        <v>48</v>
      </c>
      <c r="F566" s="272"/>
      <c r="G566" s="119" t="s">
        <v>228</v>
      </c>
      <c r="H566" s="151">
        <v>220</v>
      </c>
      <c r="I566" s="197">
        <v>0</v>
      </c>
      <c r="J566" s="90">
        <v>17</v>
      </c>
      <c r="K566" s="91">
        <v>30</v>
      </c>
      <c r="L566" s="92">
        <v>10</v>
      </c>
      <c r="M566" s="81">
        <v>3</v>
      </c>
      <c r="N566" s="133">
        <f t="shared" si="615"/>
        <v>60</v>
      </c>
      <c r="O566" s="71">
        <v>170</v>
      </c>
      <c r="P566" s="71"/>
      <c r="Q566" s="137"/>
      <c r="R566" s="119" t="s">
        <v>51</v>
      </c>
      <c r="S566" s="160" t="s">
        <v>93</v>
      </c>
      <c r="T566" s="286"/>
      <c r="U566" s="136">
        <v>280</v>
      </c>
      <c r="V566" s="197">
        <v>4</v>
      </c>
      <c r="W566" s="90">
        <v>3</v>
      </c>
      <c r="X566" s="91">
        <v>30</v>
      </c>
      <c r="Y566" s="92">
        <v>10</v>
      </c>
      <c r="Z566" s="81">
        <v>3</v>
      </c>
      <c r="AA566" s="133">
        <f t="shared" si="599"/>
        <v>50</v>
      </c>
      <c r="AB566" s="71">
        <v>230</v>
      </c>
      <c r="AC566" s="136">
        <v>50</v>
      </c>
      <c r="AD566" s="197">
        <v>0</v>
      </c>
      <c r="AE566" s="90">
        <v>0</v>
      </c>
      <c r="AF566" s="91">
        <v>0</v>
      </c>
      <c r="AG566" s="92">
        <v>0</v>
      </c>
      <c r="AH566" s="81">
        <v>0</v>
      </c>
      <c r="AI566" s="133">
        <f t="shared" si="601"/>
        <v>0</v>
      </c>
      <c r="AJ566" s="71">
        <v>50</v>
      </c>
      <c r="AK566" s="136"/>
      <c r="AL566" s="136"/>
      <c r="AM566" s="72"/>
      <c r="AN566" s="136"/>
      <c r="AO566" s="72"/>
      <c r="AP566" s="119" t="s">
        <v>154</v>
      </c>
      <c r="AQ566" s="136">
        <v>50</v>
      </c>
      <c r="AR566" s="122">
        <v>50</v>
      </c>
      <c r="AS566" s="123">
        <v>0</v>
      </c>
      <c r="AT566" s="124">
        <v>0</v>
      </c>
      <c r="AU566" s="175"/>
      <c r="AV566" s="137"/>
      <c r="AW566" s="119"/>
      <c r="AX566" s="117" t="s">
        <v>108</v>
      </c>
    </row>
    <row r="567" spans="1:50" s="176" customFormat="1" ht="54" x14ac:dyDescent="0.25">
      <c r="A567" s="311"/>
      <c r="B567" s="115" t="s">
        <v>224</v>
      </c>
      <c r="C567" s="115" t="s">
        <v>196</v>
      </c>
      <c r="D567" s="117" t="s">
        <v>197</v>
      </c>
      <c r="E567" s="117" t="s">
        <v>48</v>
      </c>
      <c r="F567" s="272"/>
      <c r="G567" s="119" t="s">
        <v>260</v>
      </c>
      <c r="H567" s="256">
        <v>5</v>
      </c>
      <c r="I567" s="238">
        <v>0</v>
      </c>
      <c r="J567" s="230">
        <v>0</v>
      </c>
      <c r="K567" s="224">
        <v>0</v>
      </c>
      <c r="L567" s="226">
        <v>0</v>
      </c>
      <c r="M567" s="232">
        <v>0</v>
      </c>
      <c r="N567" s="278">
        <f t="shared" si="615"/>
        <v>0</v>
      </c>
      <c r="O567" s="242">
        <v>5</v>
      </c>
      <c r="P567" s="71"/>
      <c r="Q567" s="251"/>
      <c r="R567" s="119" t="s">
        <v>51</v>
      </c>
      <c r="S567" s="160" t="s">
        <v>93</v>
      </c>
      <c r="T567" s="286"/>
      <c r="U567" s="119">
        <v>10</v>
      </c>
      <c r="V567" s="197">
        <v>0</v>
      </c>
      <c r="W567" s="90">
        <v>0</v>
      </c>
      <c r="X567" s="91">
        <v>0</v>
      </c>
      <c r="Y567" s="226">
        <v>0</v>
      </c>
      <c r="Z567" s="81">
        <v>0</v>
      </c>
      <c r="AA567" s="133">
        <f t="shared" si="599"/>
        <v>0</v>
      </c>
      <c r="AB567" s="71">
        <v>10</v>
      </c>
      <c r="AC567" s="119">
        <v>0</v>
      </c>
      <c r="AD567" s="197">
        <v>0</v>
      </c>
      <c r="AE567" s="90">
        <v>0</v>
      </c>
      <c r="AF567" s="91">
        <v>0</v>
      </c>
      <c r="AG567" s="92">
        <v>0</v>
      </c>
      <c r="AH567" s="81">
        <v>0</v>
      </c>
      <c r="AI567" s="133">
        <f t="shared" si="601"/>
        <v>0</v>
      </c>
      <c r="AJ567" s="71">
        <f>AC567/4*3</f>
        <v>0</v>
      </c>
      <c r="AK567" s="251"/>
      <c r="AL567" s="251"/>
      <c r="AM567" s="218"/>
      <c r="AN567" s="251"/>
      <c r="AO567" s="46"/>
      <c r="AP567" s="119" t="s">
        <v>154</v>
      </c>
      <c r="AQ567" s="119">
        <v>0</v>
      </c>
      <c r="AR567" s="122">
        <v>0</v>
      </c>
      <c r="AS567" s="123">
        <v>0</v>
      </c>
      <c r="AT567" s="124">
        <v>0</v>
      </c>
      <c r="AU567" s="251"/>
      <c r="AV567" s="251"/>
      <c r="AW567" s="251"/>
      <c r="AX567" s="117" t="s">
        <v>108</v>
      </c>
    </row>
    <row r="568" spans="1:50" s="95" customFormat="1" ht="54" x14ac:dyDescent="0.25">
      <c r="A568" s="311"/>
      <c r="B568" s="115" t="s">
        <v>224</v>
      </c>
      <c r="C568" s="115" t="s">
        <v>196</v>
      </c>
      <c r="D568" s="117" t="s">
        <v>197</v>
      </c>
      <c r="E568" s="117" t="s">
        <v>48</v>
      </c>
      <c r="F568" s="272"/>
      <c r="G568" s="119" t="s">
        <v>260</v>
      </c>
      <c r="H568" s="256"/>
      <c r="I568" s="239">
        <v>0</v>
      </c>
      <c r="J568" s="231">
        <v>0</v>
      </c>
      <c r="K568" s="225">
        <v>0</v>
      </c>
      <c r="L568" s="227"/>
      <c r="M568" s="233">
        <v>0</v>
      </c>
      <c r="N568" s="278">
        <f t="shared" si="615"/>
        <v>0</v>
      </c>
      <c r="O568" s="242"/>
      <c r="P568" s="71"/>
      <c r="Q568" s="251"/>
      <c r="R568" s="119" t="s">
        <v>56</v>
      </c>
      <c r="S568" s="160" t="s">
        <v>424</v>
      </c>
      <c r="T568" s="286"/>
      <c r="U568" s="136" t="s">
        <v>85</v>
      </c>
      <c r="V568" s="197">
        <v>0</v>
      </c>
      <c r="W568" s="90">
        <v>0</v>
      </c>
      <c r="X568" s="91">
        <v>0</v>
      </c>
      <c r="Y568" s="227"/>
      <c r="Z568" s="81">
        <v>0</v>
      </c>
      <c r="AA568" s="133">
        <f t="shared" si="599"/>
        <v>0</v>
      </c>
      <c r="AB568" s="71">
        <v>0</v>
      </c>
      <c r="AC568" s="136">
        <v>0</v>
      </c>
      <c r="AD568" s="197">
        <v>0</v>
      </c>
      <c r="AE568" s="90">
        <v>0</v>
      </c>
      <c r="AF568" s="91">
        <v>0</v>
      </c>
      <c r="AG568" s="92">
        <v>0</v>
      </c>
      <c r="AH568" s="81">
        <v>0</v>
      </c>
      <c r="AI568" s="133">
        <f t="shared" si="601"/>
        <v>0</v>
      </c>
      <c r="AJ568" s="71">
        <v>0</v>
      </c>
      <c r="AK568" s="251"/>
      <c r="AL568" s="251"/>
      <c r="AM568" s="218"/>
      <c r="AN568" s="251"/>
      <c r="AO568" s="46"/>
      <c r="AP568" s="119" t="s">
        <v>154</v>
      </c>
      <c r="AQ568" s="136">
        <v>0</v>
      </c>
      <c r="AR568" s="122">
        <v>0</v>
      </c>
      <c r="AS568" s="123">
        <v>0</v>
      </c>
      <c r="AT568" s="124">
        <v>0</v>
      </c>
      <c r="AU568" s="251"/>
      <c r="AV568" s="251"/>
      <c r="AW568" s="251"/>
      <c r="AX568" s="117" t="s">
        <v>108</v>
      </c>
    </row>
    <row r="569" spans="1:50" s="95" customFormat="1" ht="72" x14ac:dyDescent="0.25">
      <c r="A569" s="311"/>
      <c r="B569" s="115" t="s">
        <v>224</v>
      </c>
      <c r="C569" s="115" t="s">
        <v>196</v>
      </c>
      <c r="D569" s="117" t="s">
        <v>197</v>
      </c>
      <c r="E569" s="117" t="s">
        <v>48</v>
      </c>
      <c r="F569" s="272"/>
      <c r="G569" s="119" t="s">
        <v>290</v>
      </c>
      <c r="H569" s="292">
        <v>5</v>
      </c>
      <c r="I569" s="238">
        <v>0</v>
      </c>
      <c r="J569" s="230">
        <v>0</v>
      </c>
      <c r="K569" s="224">
        <v>0</v>
      </c>
      <c r="L569" s="226">
        <v>0</v>
      </c>
      <c r="M569" s="232">
        <v>0</v>
      </c>
      <c r="N569" s="278">
        <f t="shared" si="615"/>
        <v>0</v>
      </c>
      <c r="O569" s="242">
        <v>5</v>
      </c>
      <c r="P569" s="71"/>
      <c r="Q569" s="251"/>
      <c r="R569" s="119" t="s">
        <v>279</v>
      </c>
      <c r="S569" s="160" t="s">
        <v>93</v>
      </c>
      <c r="T569" s="286"/>
      <c r="U569" s="136">
        <v>15</v>
      </c>
      <c r="V569" s="197">
        <v>0</v>
      </c>
      <c r="W569" s="90">
        <v>0</v>
      </c>
      <c r="X569" s="91">
        <v>0</v>
      </c>
      <c r="Y569" s="226">
        <v>0</v>
      </c>
      <c r="Z569" s="81">
        <v>0</v>
      </c>
      <c r="AA569" s="133">
        <f t="shared" si="599"/>
        <v>0</v>
      </c>
      <c r="AB569" s="71">
        <v>15</v>
      </c>
      <c r="AC569" s="136">
        <v>0</v>
      </c>
      <c r="AD569" s="197">
        <v>0</v>
      </c>
      <c r="AE569" s="90">
        <v>0</v>
      </c>
      <c r="AF569" s="91">
        <v>0</v>
      </c>
      <c r="AG569" s="92">
        <v>0</v>
      </c>
      <c r="AH569" s="81">
        <v>0</v>
      </c>
      <c r="AI569" s="133">
        <f t="shared" si="601"/>
        <v>0</v>
      </c>
      <c r="AJ569" s="71">
        <f>AC569/4*3</f>
        <v>0</v>
      </c>
      <c r="AK569" s="251"/>
      <c r="AL569" s="251"/>
      <c r="AM569" s="218"/>
      <c r="AN569" s="251"/>
      <c r="AO569" s="46"/>
      <c r="AP569" s="119" t="s">
        <v>154</v>
      </c>
      <c r="AQ569" s="136">
        <v>0</v>
      </c>
      <c r="AR569" s="122">
        <v>0</v>
      </c>
      <c r="AS569" s="123">
        <v>0</v>
      </c>
      <c r="AT569" s="124">
        <v>0</v>
      </c>
      <c r="AU569" s="251"/>
      <c r="AV569" s="251"/>
      <c r="AW569" s="251"/>
      <c r="AX569" s="117" t="s">
        <v>108</v>
      </c>
    </row>
    <row r="570" spans="1:50" s="95" customFormat="1" ht="72" x14ac:dyDescent="0.25">
      <c r="A570" s="311"/>
      <c r="B570" s="115" t="s">
        <v>224</v>
      </c>
      <c r="C570" s="115" t="s">
        <v>196</v>
      </c>
      <c r="D570" s="117" t="s">
        <v>197</v>
      </c>
      <c r="E570" s="117" t="s">
        <v>48</v>
      </c>
      <c r="F570" s="272"/>
      <c r="G570" s="119" t="s">
        <v>290</v>
      </c>
      <c r="H570" s="292"/>
      <c r="I570" s="239"/>
      <c r="J570" s="231"/>
      <c r="K570" s="225"/>
      <c r="L570" s="227"/>
      <c r="M570" s="233"/>
      <c r="N570" s="278">
        <f t="shared" si="615"/>
        <v>0</v>
      </c>
      <c r="O570" s="242"/>
      <c r="P570" s="71"/>
      <c r="Q570" s="251"/>
      <c r="R570" s="119" t="s">
        <v>56</v>
      </c>
      <c r="S570" s="160" t="s">
        <v>424</v>
      </c>
      <c r="T570" s="286"/>
      <c r="U570" s="136" t="s">
        <v>85</v>
      </c>
      <c r="V570" s="197">
        <v>0</v>
      </c>
      <c r="W570" s="90">
        <v>0</v>
      </c>
      <c r="X570" s="91">
        <v>0</v>
      </c>
      <c r="Y570" s="227"/>
      <c r="Z570" s="81">
        <v>0</v>
      </c>
      <c r="AA570" s="133">
        <f t="shared" si="599"/>
        <v>0</v>
      </c>
      <c r="AB570" s="71">
        <v>0</v>
      </c>
      <c r="AC570" s="136">
        <v>5</v>
      </c>
      <c r="AD570" s="197">
        <v>0</v>
      </c>
      <c r="AE570" s="90">
        <v>0</v>
      </c>
      <c r="AF570" s="91">
        <v>0</v>
      </c>
      <c r="AG570" s="92">
        <v>0</v>
      </c>
      <c r="AH570" s="81">
        <v>0</v>
      </c>
      <c r="AI570" s="133">
        <f t="shared" si="601"/>
        <v>0</v>
      </c>
      <c r="AJ570" s="71">
        <v>5</v>
      </c>
      <c r="AK570" s="251"/>
      <c r="AL570" s="251"/>
      <c r="AM570" s="218"/>
      <c r="AN570" s="251"/>
      <c r="AO570" s="46"/>
      <c r="AP570" s="119" t="s">
        <v>154</v>
      </c>
      <c r="AQ570" s="136">
        <v>5</v>
      </c>
      <c r="AR570" s="122">
        <v>5</v>
      </c>
      <c r="AS570" s="123">
        <v>0</v>
      </c>
      <c r="AT570" s="124">
        <v>0</v>
      </c>
      <c r="AU570" s="251"/>
      <c r="AV570" s="251"/>
      <c r="AW570" s="251"/>
      <c r="AX570" s="117" t="s">
        <v>108</v>
      </c>
    </row>
    <row r="571" spans="1:50" s="176" customFormat="1" ht="54" x14ac:dyDescent="0.25">
      <c r="A571" s="311"/>
      <c r="B571" s="115" t="s">
        <v>224</v>
      </c>
      <c r="C571" s="115" t="s">
        <v>196</v>
      </c>
      <c r="D571" s="117" t="s">
        <v>197</v>
      </c>
      <c r="E571" s="117" t="s">
        <v>48</v>
      </c>
      <c r="F571" s="272"/>
      <c r="G571" s="119" t="s">
        <v>292</v>
      </c>
      <c r="H571" s="256">
        <v>5</v>
      </c>
      <c r="I571" s="238">
        <v>0</v>
      </c>
      <c r="J571" s="230">
        <v>0</v>
      </c>
      <c r="K571" s="224">
        <v>0</v>
      </c>
      <c r="L571" s="226">
        <v>0</v>
      </c>
      <c r="M571" s="232">
        <v>0</v>
      </c>
      <c r="N571" s="278">
        <f t="shared" si="615"/>
        <v>0</v>
      </c>
      <c r="O571" s="242">
        <v>5</v>
      </c>
      <c r="P571" s="71"/>
      <c r="Q571" s="251"/>
      <c r="R571" s="119" t="s">
        <v>279</v>
      </c>
      <c r="S571" s="160" t="s">
        <v>425</v>
      </c>
      <c r="T571" s="286"/>
      <c r="U571" s="119">
        <v>30</v>
      </c>
      <c r="V571" s="197">
        <v>0</v>
      </c>
      <c r="W571" s="90">
        <v>0</v>
      </c>
      <c r="X571" s="91">
        <v>0</v>
      </c>
      <c r="Y571" s="226">
        <v>0</v>
      </c>
      <c r="Z571" s="81">
        <v>0</v>
      </c>
      <c r="AA571" s="133">
        <f t="shared" si="599"/>
        <v>0</v>
      </c>
      <c r="AB571" s="71">
        <v>30</v>
      </c>
      <c r="AC571" s="119">
        <v>0</v>
      </c>
      <c r="AD571" s="197">
        <v>0</v>
      </c>
      <c r="AE571" s="90">
        <v>0</v>
      </c>
      <c r="AF571" s="91">
        <v>0</v>
      </c>
      <c r="AG571" s="92">
        <v>0</v>
      </c>
      <c r="AH571" s="81">
        <v>0</v>
      </c>
      <c r="AI571" s="133">
        <f t="shared" si="601"/>
        <v>0</v>
      </c>
      <c r="AJ571" s="71">
        <f>AC571/4*3</f>
        <v>0</v>
      </c>
      <c r="AK571" s="251"/>
      <c r="AL571" s="251"/>
      <c r="AM571" s="218"/>
      <c r="AN571" s="251"/>
      <c r="AO571" s="46"/>
      <c r="AP571" s="119" t="s">
        <v>154</v>
      </c>
      <c r="AQ571" s="119">
        <v>0</v>
      </c>
      <c r="AR571" s="122">
        <v>0</v>
      </c>
      <c r="AS571" s="123">
        <v>0</v>
      </c>
      <c r="AT571" s="124">
        <v>0</v>
      </c>
      <c r="AU571" s="251"/>
      <c r="AV571" s="251"/>
      <c r="AW571" s="251"/>
      <c r="AX571" s="117" t="s">
        <v>108</v>
      </c>
    </row>
    <row r="572" spans="1:50" s="95" customFormat="1" ht="54" x14ac:dyDescent="0.25">
      <c r="A572" s="311"/>
      <c r="B572" s="115" t="s">
        <v>224</v>
      </c>
      <c r="C572" s="115" t="s">
        <v>196</v>
      </c>
      <c r="D572" s="117" t="s">
        <v>197</v>
      </c>
      <c r="E572" s="117" t="s">
        <v>48</v>
      </c>
      <c r="F572" s="272"/>
      <c r="G572" s="119" t="s">
        <v>292</v>
      </c>
      <c r="H572" s="256"/>
      <c r="I572" s="239"/>
      <c r="J572" s="231"/>
      <c r="K572" s="225"/>
      <c r="L572" s="227"/>
      <c r="M572" s="233"/>
      <c r="N572" s="278">
        <f t="shared" si="615"/>
        <v>0</v>
      </c>
      <c r="O572" s="242"/>
      <c r="P572" s="71"/>
      <c r="Q572" s="251"/>
      <c r="R572" s="119" t="s">
        <v>56</v>
      </c>
      <c r="S572" s="160" t="s">
        <v>424</v>
      </c>
      <c r="T572" s="286"/>
      <c r="U572" s="136" t="s">
        <v>85</v>
      </c>
      <c r="V572" s="197">
        <v>0</v>
      </c>
      <c r="W572" s="90">
        <v>0</v>
      </c>
      <c r="X572" s="91">
        <v>0</v>
      </c>
      <c r="Y572" s="227"/>
      <c r="Z572" s="81">
        <v>0</v>
      </c>
      <c r="AA572" s="133">
        <f t="shared" si="599"/>
        <v>0</v>
      </c>
      <c r="AB572" s="71">
        <v>0</v>
      </c>
      <c r="AC572" s="136">
        <v>5</v>
      </c>
      <c r="AD572" s="197">
        <v>0</v>
      </c>
      <c r="AE572" s="90">
        <v>0</v>
      </c>
      <c r="AF572" s="91">
        <v>0</v>
      </c>
      <c r="AG572" s="92">
        <v>0</v>
      </c>
      <c r="AH572" s="81">
        <v>0</v>
      </c>
      <c r="AI572" s="133">
        <f t="shared" si="601"/>
        <v>0</v>
      </c>
      <c r="AJ572" s="71">
        <v>5</v>
      </c>
      <c r="AK572" s="251"/>
      <c r="AL572" s="251"/>
      <c r="AM572" s="218"/>
      <c r="AN572" s="251"/>
      <c r="AO572" s="46"/>
      <c r="AP572" s="119" t="s">
        <v>154</v>
      </c>
      <c r="AQ572" s="136">
        <v>5</v>
      </c>
      <c r="AR572" s="122">
        <v>5</v>
      </c>
      <c r="AS572" s="123">
        <v>0</v>
      </c>
      <c r="AT572" s="124">
        <v>0</v>
      </c>
      <c r="AU572" s="251"/>
      <c r="AV572" s="251"/>
      <c r="AW572" s="251"/>
      <c r="AX572" s="117" t="s">
        <v>108</v>
      </c>
    </row>
    <row r="573" spans="1:50" s="77" customFormat="1" ht="54" x14ac:dyDescent="0.25">
      <c r="A573" s="311"/>
      <c r="B573" s="115" t="s">
        <v>224</v>
      </c>
      <c r="C573" s="115" t="s">
        <v>196</v>
      </c>
      <c r="D573" s="117" t="s">
        <v>197</v>
      </c>
      <c r="E573" s="117" t="s">
        <v>48</v>
      </c>
      <c r="F573" s="272"/>
      <c r="G573" s="119" t="s">
        <v>236</v>
      </c>
      <c r="H573" s="292">
        <v>3</v>
      </c>
      <c r="I573" s="238">
        <v>0</v>
      </c>
      <c r="J573" s="230">
        <v>0</v>
      </c>
      <c r="K573" s="224">
        <v>0</v>
      </c>
      <c r="L573" s="226">
        <v>0</v>
      </c>
      <c r="M573" s="232">
        <v>1</v>
      </c>
      <c r="N573" s="278">
        <f t="shared" si="615"/>
        <v>1</v>
      </c>
      <c r="O573" s="242">
        <v>0</v>
      </c>
      <c r="P573" s="71"/>
      <c r="Q573" s="251"/>
      <c r="R573" s="119" t="s">
        <v>279</v>
      </c>
      <c r="S573" s="120" t="s">
        <v>93</v>
      </c>
      <c r="T573" s="286"/>
      <c r="U573" s="136">
        <v>20</v>
      </c>
      <c r="V573" s="197">
        <v>0</v>
      </c>
      <c r="W573" s="90">
        <v>0</v>
      </c>
      <c r="X573" s="91">
        <v>0</v>
      </c>
      <c r="Y573" s="226">
        <v>0</v>
      </c>
      <c r="Z573" s="81">
        <v>10</v>
      </c>
      <c r="AA573" s="133">
        <f t="shared" si="599"/>
        <v>10</v>
      </c>
      <c r="AB573" s="71">
        <v>0</v>
      </c>
      <c r="AC573" s="136">
        <v>0</v>
      </c>
      <c r="AD573" s="197">
        <v>0</v>
      </c>
      <c r="AE573" s="90">
        <v>0</v>
      </c>
      <c r="AF573" s="91">
        <v>0</v>
      </c>
      <c r="AG573" s="92">
        <v>0</v>
      </c>
      <c r="AH573" s="81">
        <v>0</v>
      </c>
      <c r="AI573" s="133">
        <f t="shared" si="601"/>
        <v>0</v>
      </c>
      <c r="AJ573" s="71">
        <f>AC573/4*3</f>
        <v>0</v>
      </c>
      <c r="AK573" s="251"/>
      <c r="AL573" s="251"/>
      <c r="AM573" s="218"/>
      <c r="AN573" s="251"/>
      <c r="AO573" s="46"/>
      <c r="AP573" s="119" t="s">
        <v>154</v>
      </c>
      <c r="AQ573" s="136">
        <v>0</v>
      </c>
      <c r="AR573" s="122">
        <v>0</v>
      </c>
      <c r="AS573" s="123">
        <v>0</v>
      </c>
      <c r="AT573" s="124">
        <v>0</v>
      </c>
      <c r="AU573" s="251"/>
      <c r="AV573" s="251"/>
      <c r="AW573" s="251" t="s">
        <v>426</v>
      </c>
      <c r="AX573" s="117" t="s">
        <v>108</v>
      </c>
    </row>
    <row r="574" spans="1:50" s="95" customFormat="1" ht="54" x14ac:dyDescent="0.25">
      <c r="A574" s="311"/>
      <c r="B574" s="115" t="s">
        <v>224</v>
      </c>
      <c r="C574" s="115" t="s">
        <v>196</v>
      </c>
      <c r="D574" s="117" t="s">
        <v>197</v>
      </c>
      <c r="E574" s="117" t="s">
        <v>48</v>
      </c>
      <c r="F574" s="272"/>
      <c r="G574" s="119" t="s">
        <v>236</v>
      </c>
      <c r="H574" s="292"/>
      <c r="I574" s="239"/>
      <c r="J574" s="231"/>
      <c r="K574" s="225"/>
      <c r="L574" s="227"/>
      <c r="M574" s="233"/>
      <c r="N574" s="278">
        <f t="shared" si="615"/>
        <v>0</v>
      </c>
      <c r="O574" s="242"/>
      <c r="P574" s="71"/>
      <c r="Q574" s="251"/>
      <c r="R574" s="119" t="s">
        <v>56</v>
      </c>
      <c r="S574" s="120" t="s">
        <v>424</v>
      </c>
      <c r="T574" s="286"/>
      <c r="U574" s="136" t="s">
        <v>85</v>
      </c>
      <c r="V574" s="197">
        <v>0</v>
      </c>
      <c r="W574" s="90">
        <v>0</v>
      </c>
      <c r="X574" s="91">
        <v>0</v>
      </c>
      <c r="Y574" s="227"/>
      <c r="Z574" s="81">
        <v>0</v>
      </c>
      <c r="AA574" s="133">
        <f t="shared" si="599"/>
        <v>0</v>
      </c>
      <c r="AB574" s="71">
        <v>0</v>
      </c>
      <c r="AC574" s="136">
        <v>4</v>
      </c>
      <c r="AD574" s="197">
        <v>0</v>
      </c>
      <c r="AE574" s="90">
        <v>0</v>
      </c>
      <c r="AF574" s="91">
        <v>0</v>
      </c>
      <c r="AG574" s="92">
        <v>0</v>
      </c>
      <c r="AH574" s="81">
        <v>0</v>
      </c>
      <c r="AI574" s="133">
        <f t="shared" si="601"/>
        <v>0</v>
      </c>
      <c r="AJ574" s="71">
        <v>4</v>
      </c>
      <c r="AK574" s="251"/>
      <c r="AL574" s="251"/>
      <c r="AM574" s="218"/>
      <c r="AN574" s="251"/>
      <c r="AO574" s="46"/>
      <c r="AP574" s="119" t="s">
        <v>154</v>
      </c>
      <c r="AQ574" s="136">
        <v>4</v>
      </c>
      <c r="AR574" s="122">
        <v>4</v>
      </c>
      <c r="AS574" s="123">
        <v>0</v>
      </c>
      <c r="AT574" s="124">
        <v>0</v>
      </c>
      <c r="AU574" s="251"/>
      <c r="AV574" s="251"/>
      <c r="AW574" s="251"/>
      <c r="AX574" s="117" t="s">
        <v>108</v>
      </c>
    </row>
    <row r="575" spans="1:50" s="181" customFormat="1" ht="54" x14ac:dyDescent="0.25">
      <c r="A575" s="311"/>
      <c r="B575" s="115" t="s">
        <v>224</v>
      </c>
      <c r="C575" s="115" t="s">
        <v>196</v>
      </c>
      <c r="D575" s="117" t="s">
        <v>197</v>
      </c>
      <c r="E575" s="117" t="s">
        <v>48</v>
      </c>
      <c r="F575" s="142" t="s">
        <v>61</v>
      </c>
      <c r="G575" s="127"/>
      <c r="H575" s="143">
        <f>SUM(H563:H574)</f>
        <v>438</v>
      </c>
      <c r="I575" s="143">
        <f t="shared" ref="I575" si="672">SUM(I563:I574)</f>
        <v>0</v>
      </c>
      <c r="J575" s="143">
        <f t="shared" ref="J575:O575" si="673">SUM(J563:J574)</f>
        <v>20</v>
      </c>
      <c r="K575" s="143">
        <f t="shared" si="673"/>
        <v>70</v>
      </c>
      <c r="L575" s="143">
        <f t="shared" si="673"/>
        <v>12</v>
      </c>
      <c r="M575" s="143">
        <f t="shared" si="673"/>
        <v>4</v>
      </c>
      <c r="N575" s="143">
        <f t="shared" si="615"/>
        <v>106</v>
      </c>
      <c r="O575" s="143">
        <f t="shared" si="673"/>
        <v>335</v>
      </c>
      <c r="P575" s="143"/>
      <c r="Q575" s="177"/>
      <c r="R575" s="129"/>
      <c r="S575" s="178"/>
      <c r="T575" s="179"/>
      <c r="U575" s="143">
        <f>SUM(U563:U574)</f>
        <v>705</v>
      </c>
      <c r="V575" s="143">
        <f t="shared" ref="V575" si="674">SUM(V563:V574)</f>
        <v>4</v>
      </c>
      <c r="W575" s="143">
        <f t="shared" ref="W575:AJ575" si="675">SUM(W563:W574)</f>
        <v>6</v>
      </c>
      <c r="X575" s="143">
        <f t="shared" si="675"/>
        <v>70</v>
      </c>
      <c r="Y575" s="143">
        <f t="shared" si="675"/>
        <v>12</v>
      </c>
      <c r="Z575" s="143">
        <f t="shared" si="675"/>
        <v>13</v>
      </c>
      <c r="AA575" s="143">
        <f t="shared" si="599"/>
        <v>105</v>
      </c>
      <c r="AB575" s="143">
        <f t="shared" si="675"/>
        <v>547.5</v>
      </c>
      <c r="AC575" s="143">
        <f t="shared" si="675"/>
        <v>149</v>
      </c>
      <c r="AD575" s="143">
        <f t="shared" si="675"/>
        <v>0</v>
      </c>
      <c r="AE575" s="143">
        <f t="shared" si="675"/>
        <v>0</v>
      </c>
      <c r="AF575" s="143">
        <f t="shared" si="675"/>
        <v>0</v>
      </c>
      <c r="AG575" s="143">
        <f t="shared" ref="AG575" si="676">SUM(AG563:AG574)</f>
        <v>0</v>
      </c>
      <c r="AH575" s="143">
        <f t="shared" si="675"/>
        <v>0</v>
      </c>
      <c r="AI575" s="143">
        <f t="shared" si="601"/>
        <v>0</v>
      </c>
      <c r="AJ575" s="143">
        <f t="shared" si="675"/>
        <v>149</v>
      </c>
      <c r="AK575" s="142"/>
      <c r="AL575" s="142"/>
      <c r="AM575" s="142"/>
      <c r="AN575" s="142"/>
      <c r="AO575" s="142"/>
      <c r="AP575" s="127"/>
      <c r="AQ575" s="143">
        <f>SUM(AQ563:AQ574)</f>
        <v>149</v>
      </c>
      <c r="AR575" s="143">
        <f>SUM(AR563:AR574)</f>
        <v>149</v>
      </c>
      <c r="AS575" s="143">
        <f>SUM(AS563:AS574)</f>
        <v>0</v>
      </c>
      <c r="AT575" s="143">
        <f>SUM(AT563:AT574)</f>
        <v>0</v>
      </c>
      <c r="AU575" s="180"/>
      <c r="AV575" s="177"/>
      <c r="AW575" s="127"/>
      <c r="AX575" s="127" t="s">
        <v>108</v>
      </c>
    </row>
    <row r="576" spans="1:50" s="9" customFormat="1" ht="54" x14ac:dyDescent="0.25">
      <c r="A576" s="311"/>
      <c r="B576" s="115" t="s">
        <v>224</v>
      </c>
      <c r="C576" s="115" t="s">
        <v>198</v>
      </c>
      <c r="D576" s="117" t="s">
        <v>197</v>
      </c>
      <c r="E576" s="117" t="s">
        <v>70</v>
      </c>
      <c r="F576" s="251" t="s">
        <v>49</v>
      </c>
      <c r="G576" s="119" t="s">
        <v>231</v>
      </c>
      <c r="H576" s="121">
        <v>70</v>
      </c>
      <c r="I576" s="199">
        <v>0</v>
      </c>
      <c r="J576" s="103">
        <v>0</v>
      </c>
      <c r="K576" s="104">
        <v>40</v>
      </c>
      <c r="L576" s="105">
        <v>25</v>
      </c>
      <c r="M576" s="106">
        <v>20</v>
      </c>
      <c r="N576" s="70">
        <f t="shared" si="615"/>
        <v>85</v>
      </c>
      <c r="O576" s="72">
        <v>20</v>
      </c>
      <c r="P576" s="72"/>
      <c r="Q576" s="132"/>
      <c r="R576" s="119" t="s">
        <v>427</v>
      </c>
      <c r="S576" s="120" t="s">
        <v>232</v>
      </c>
      <c r="T576" s="251" t="s">
        <v>73</v>
      </c>
      <c r="U576" s="119">
        <v>150</v>
      </c>
      <c r="V576" s="199">
        <v>0</v>
      </c>
      <c r="W576" s="103">
        <v>0</v>
      </c>
      <c r="X576" s="104">
        <v>40</v>
      </c>
      <c r="Y576" s="105">
        <v>25</v>
      </c>
      <c r="Z576" s="106">
        <v>20</v>
      </c>
      <c r="AA576" s="70">
        <f t="shared" si="599"/>
        <v>85</v>
      </c>
      <c r="AB576" s="72">
        <v>65</v>
      </c>
      <c r="AC576" s="119">
        <v>180</v>
      </c>
      <c r="AD576" s="199">
        <v>0</v>
      </c>
      <c r="AE576" s="103">
        <v>0</v>
      </c>
      <c r="AF576" s="104">
        <v>40</v>
      </c>
      <c r="AG576" s="105">
        <v>0</v>
      </c>
      <c r="AH576" s="106">
        <v>20</v>
      </c>
      <c r="AI576" s="133">
        <f t="shared" si="601"/>
        <v>60</v>
      </c>
      <c r="AJ576" s="71">
        <v>95</v>
      </c>
      <c r="AK576" s="119"/>
      <c r="AL576" s="119"/>
      <c r="AM576" s="46"/>
      <c r="AN576" s="119"/>
      <c r="AO576" s="46"/>
      <c r="AP576" s="119" t="s">
        <v>200</v>
      </c>
      <c r="AQ576" s="119">
        <v>180</v>
      </c>
      <c r="AR576" s="161">
        <v>180</v>
      </c>
      <c r="AS576" s="162">
        <v>0</v>
      </c>
      <c r="AT576" s="163">
        <v>0</v>
      </c>
      <c r="AU576" s="119"/>
      <c r="AV576" s="119"/>
      <c r="AW576" s="119"/>
      <c r="AX576" s="117" t="s">
        <v>201</v>
      </c>
    </row>
    <row r="577" spans="1:50" s="9" customFormat="1" ht="54" x14ac:dyDescent="0.25">
      <c r="A577" s="311"/>
      <c r="B577" s="115" t="s">
        <v>224</v>
      </c>
      <c r="C577" s="115" t="s">
        <v>198</v>
      </c>
      <c r="D577" s="117" t="s">
        <v>197</v>
      </c>
      <c r="E577" s="117" t="s">
        <v>70</v>
      </c>
      <c r="F577" s="251"/>
      <c r="G577" s="119" t="s">
        <v>231</v>
      </c>
      <c r="H577" s="121">
        <v>10</v>
      </c>
      <c r="I577" s="199">
        <v>0</v>
      </c>
      <c r="J577" s="103">
        <v>0</v>
      </c>
      <c r="K577" s="104">
        <v>6</v>
      </c>
      <c r="L577" s="105">
        <v>0</v>
      </c>
      <c r="M577" s="106">
        <v>0</v>
      </c>
      <c r="N577" s="133">
        <f t="shared" si="615"/>
        <v>6</v>
      </c>
      <c r="O577" s="71">
        <v>5</v>
      </c>
      <c r="P577" s="71"/>
      <c r="Q577" s="132"/>
      <c r="R577" s="119" t="s">
        <v>51</v>
      </c>
      <c r="S577" s="120" t="s">
        <v>275</v>
      </c>
      <c r="T577" s="251"/>
      <c r="U577" s="119">
        <v>20</v>
      </c>
      <c r="V577" s="199">
        <v>0</v>
      </c>
      <c r="W577" s="103">
        <v>0</v>
      </c>
      <c r="X577" s="104">
        <v>6</v>
      </c>
      <c r="Y577" s="105">
        <v>0</v>
      </c>
      <c r="Z577" s="106">
        <v>0</v>
      </c>
      <c r="AA577" s="133">
        <f t="shared" si="599"/>
        <v>6</v>
      </c>
      <c r="AB577" s="71">
        <v>12</v>
      </c>
      <c r="AC577" s="119">
        <v>10</v>
      </c>
      <c r="AD577" s="199">
        <v>0</v>
      </c>
      <c r="AE577" s="103">
        <v>0</v>
      </c>
      <c r="AF577" s="104">
        <v>6</v>
      </c>
      <c r="AG577" s="105">
        <v>0</v>
      </c>
      <c r="AH577" s="106">
        <v>0</v>
      </c>
      <c r="AI577" s="133">
        <f t="shared" si="601"/>
        <v>6</v>
      </c>
      <c r="AJ577" s="71">
        <v>2</v>
      </c>
      <c r="AK577" s="119"/>
      <c r="AL577" s="119"/>
      <c r="AM577" s="46"/>
      <c r="AN577" s="119"/>
      <c r="AO577" s="46"/>
      <c r="AP577" s="119" t="s">
        <v>200</v>
      </c>
      <c r="AQ577" s="119">
        <v>10</v>
      </c>
      <c r="AR577" s="161">
        <v>10</v>
      </c>
      <c r="AS577" s="162">
        <v>0</v>
      </c>
      <c r="AT577" s="163">
        <v>0</v>
      </c>
      <c r="AU577" s="119"/>
      <c r="AV577" s="119"/>
      <c r="AW577" s="119"/>
      <c r="AX577" s="117" t="s">
        <v>201</v>
      </c>
    </row>
    <row r="578" spans="1:50" s="9" customFormat="1" ht="54" x14ac:dyDescent="0.25">
      <c r="A578" s="311"/>
      <c r="B578" s="115" t="s">
        <v>224</v>
      </c>
      <c r="C578" s="115" t="s">
        <v>198</v>
      </c>
      <c r="D578" s="117" t="s">
        <v>197</v>
      </c>
      <c r="E578" s="117" t="s">
        <v>70</v>
      </c>
      <c r="F578" s="251"/>
      <c r="G578" s="119" t="s">
        <v>227</v>
      </c>
      <c r="H578" s="121">
        <v>20</v>
      </c>
      <c r="I578" s="199">
        <v>0</v>
      </c>
      <c r="J578" s="103">
        <v>0</v>
      </c>
      <c r="K578" s="104">
        <v>6</v>
      </c>
      <c r="L578" s="105">
        <v>0</v>
      </c>
      <c r="M578" s="106">
        <v>0</v>
      </c>
      <c r="N578" s="133">
        <f t="shared" si="615"/>
        <v>6</v>
      </c>
      <c r="O578" s="71">
        <v>10</v>
      </c>
      <c r="P578" s="71"/>
      <c r="Q578" s="132"/>
      <c r="R578" s="119" t="s">
        <v>428</v>
      </c>
      <c r="S578" s="120" t="s">
        <v>232</v>
      </c>
      <c r="T578" s="251"/>
      <c r="U578" s="119">
        <v>50</v>
      </c>
      <c r="V578" s="199">
        <v>0</v>
      </c>
      <c r="W578" s="103">
        <v>0</v>
      </c>
      <c r="X578" s="104">
        <v>6</v>
      </c>
      <c r="Y578" s="105">
        <v>0</v>
      </c>
      <c r="Z578" s="106">
        <v>0</v>
      </c>
      <c r="AA578" s="133">
        <f t="shared" si="599"/>
        <v>6</v>
      </c>
      <c r="AB578" s="71">
        <v>40</v>
      </c>
      <c r="AC578" s="119">
        <v>30</v>
      </c>
      <c r="AD578" s="199">
        <v>0</v>
      </c>
      <c r="AE578" s="103">
        <v>0</v>
      </c>
      <c r="AF578" s="104">
        <v>6</v>
      </c>
      <c r="AG578" s="105">
        <v>0</v>
      </c>
      <c r="AH578" s="106">
        <v>0</v>
      </c>
      <c r="AI578" s="133">
        <f t="shared" si="601"/>
        <v>6</v>
      </c>
      <c r="AJ578" s="71">
        <v>10</v>
      </c>
      <c r="AK578" s="119"/>
      <c r="AL578" s="119"/>
      <c r="AM578" s="46"/>
      <c r="AN578" s="119"/>
      <c r="AO578" s="46"/>
      <c r="AP578" s="119" t="s">
        <v>200</v>
      </c>
      <c r="AQ578" s="119">
        <v>30</v>
      </c>
      <c r="AR578" s="161">
        <v>30</v>
      </c>
      <c r="AS578" s="162">
        <v>0</v>
      </c>
      <c r="AT578" s="163">
        <v>0</v>
      </c>
      <c r="AU578" s="119"/>
      <c r="AV578" s="119"/>
      <c r="AW578" s="119"/>
      <c r="AX578" s="117" t="s">
        <v>201</v>
      </c>
    </row>
    <row r="579" spans="1:50" s="9" customFormat="1" ht="54" x14ac:dyDescent="0.25">
      <c r="A579" s="311"/>
      <c r="B579" s="115" t="s">
        <v>224</v>
      </c>
      <c r="C579" s="115" t="s">
        <v>198</v>
      </c>
      <c r="D579" s="117" t="s">
        <v>197</v>
      </c>
      <c r="E579" s="117" t="s">
        <v>70</v>
      </c>
      <c r="F579" s="251"/>
      <c r="G579" s="119" t="s">
        <v>227</v>
      </c>
      <c r="H579" s="121">
        <v>10</v>
      </c>
      <c r="I579" s="199">
        <v>0</v>
      </c>
      <c r="J579" s="103">
        <v>0</v>
      </c>
      <c r="K579" s="104">
        <v>4</v>
      </c>
      <c r="L579" s="105">
        <v>0</v>
      </c>
      <c r="M579" s="106">
        <v>0</v>
      </c>
      <c r="N579" s="133">
        <f t="shared" si="615"/>
        <v>4</v>
      </c>
      <c r="O579" s="71">
        <v>2</v>
      </c>
      <c r="P579" s="71"/>
      <c r="Q579" s="132"/>
      <c r="R579" s="119" t="s">
        <v>51</v>
      </c>
      <c r="S579" s="120" t="s">
        <v>429</v>
      </c>
      <c r="T579" s="251"/>
      <c r="U579" s="119">
        <v>30</v>
      </c>
      <c r="V579" s="199">
        <v>0</v>
      </c>
      <c r="W579" s="103">
        <v>0</v>
      </c>
      <c r="X579" s="104">
        <v>4</v>
      </c>
      <c r="Y579" s="105">
        <v>0</v>
      </c>
      <c r="Z579" s="106">
        <v>0</v>
      </c>
      <c r="AA579" s="133">
        <f t="shared" si="599"/>
        <v>4</v>
      </c>
      <c r="AB579" s="71">
        <v>22</v>
      </c>
      <c r="AC579" s="119">
        <v>10</v>
      </c>
      <c r="AD579" s="199">
        <v>0</v>
      </c>
      <c r="AE579" s="103">
        <v>0</v>
      </c>
      <c r="AF579" s="104">
        <v>4</v>
      </c>
      <c r="AG579" s="105">
        <v>0</v>
      </c>
      <c r="AH579" s="106">
        <v>0</v>
      </c>
      <c r="AI579" s="133">
        <f t="shared" si="601"/>
        <v>4</v>
      </c>
      <c r="AJ579" s="71">
        <v>2</v>
      </c>
      <c r="AK579" s="119"/>
      <c r="AL579" s="119"/>
      <c r="AM579" s="46"/>
      <c r="AN579" s="119"/>
      <c r="AO579" s="46"/>
      <c r="AP579" s="119" t="s">
        <v>200</v>
      </c>
      <c r="AQ579" s="119">
        <v>10</v>
      </c>
      <c r="AR579" s="161">
        <v>10</v>
      </c>
      <c r="AS579" s="162">
        <v>0</v>
      </c>
      <c r="AT579" s="163">
        <v>0</v>
      </c>
      <c r="AU579" s="119"/>
      <c r="AV579" s="119"/>
      <c r="AW579" s="119"/>
      <c r="AX579" s="117" t="s">
        <v>201</v>
      </c>
    </row>
    <row r="580" spans="1:50" s="9" customFormat="1" ht="54" x14ac:dyDescent="0.25">
      <c r="A580" s="311"/>
      <c r="B580" s="115" t="s">
        <v>224</v>
      </c>
      <c r="C580" s="115" t="s">
        <v>198</v>
      </c>
      <c r="D580" s="117" t="s">
        <v>197</v>
      </c>
      <c r="E580" s="117" t="s">
        <v>70</v>
      </c>
      <c r="F580" s="251"/>
      <c r="G580" s="119" t="s">
        <v>229</v>
      </c>
      <c r="H580" s="121">
        <v>5</v>
      </c>
      <c r="I580" s="199">
        <v>0</v>
      </c>
      <c r="J580" s="103">
        <v>0</v>
      </c>
      <c r="K580" s="104">
        <v>5</v>
      </c>
      <c r="L580" s="105">
        <v>0</v>
      </c>
      <c r="M580" s="106">
        <v>1</v>
      </c>
      <c r="N580" s="133">
        <f t="shared" si="615"/>
        <v>6</v>
      </c>
      <c r="O580" s="71">
        <v>0</v>
      </c>
      <c r="P580" s="71"/>
      <c r="Q580" s="119"/>
      <c r="R580" s="119" t="s">
        <v>173</v>
      </c>
      <c r="S580" s="120" t="s">
        <v>232</v>
      </c>
      <c r="T580" s="251" t="s">
        <v>53</v>
      </c>
      <c r="U580" s="119">
        <v>10</v>
      </c>
      <c r="V580" s="199">
        <v>0</v>
      </c>
      <c r="W580" s="103">
        <v>0</v>
      </c>
      <c r="X580" s="104">
        <v>5</v>
      </c>
      <c r="Y580" s="105">
        <v>0</v>
      </c>
      <c r="Z580" s="106">
        <v>1</v>
      </c>
      <c r="AA580" s="133">
        <f t="shared" ref="AA580:AA643" si="677">SUM(V580:Z580)</f>
        <v>6</v>
      </c>
      <c r="AB580" s="71">
        <v>5</v>
      </c>
      <c r="AC580" s="119">
        <v>5</v>
      </c>
      <c r="AD580" s="199">
        <v>0</v>
      </c>
      <c r="AE580" s="103">
        <v>0</v>
      </c>
      <c r="AF580" s="104">
        <v>5</v>
      </c>
      <c r="AG580" s="105">
        <v>0</v>
      </c>
      <c r="AH580" s="106">
        <v>1</v>
      </c>
      <c r="AI580" s="133">
        <f t="shared" ref="AI580:AI643" si="678">SUM(AD580:AH580)</f>
        <v>6</v>
      </c>
      <c r="AJ580" s="71">
        <v>0</v>
      </c>
      <c r="AK580" s="119"/>
      <c r="AL580" s="119"/>
      <c r="AM580" s="46"/>
      <c r="AN580" s="119"/>
      <c r="AO580" s="46"/>
      <c r="AP580" s="119" t="s">
        <v>200</v>
      </c>
      <c r="AQ580" s="119">
        <v>5</v>
      </c>
      <c r="AR580" s="161">
        <v>5</v>
      </c>
      <c r="AS580" s="162">
        <v>0</v>
      </c>
      <c r="AT580" s="163">
        <v>0</v>
      </c>
      <c r="AU580" s="119"/>
      <c r="AV580" s="119"/>
      <c r="AW580" s="119"/>
      <c r="AX580" s="117" t="s">
        <v>201</v>
      </c>
    </row>
    <row r="581" spans="1:50" s="9" customFormat="1" ht="54" x14ac:dyDescent="0.25">
      <c r="A581" s="311"/>
      <c r="B581" s="115" t="s">
        <v>224</v>
      </c>
      <c r="C581" s="115" t="s">
        <v>198</v>
      </c>
      <c r="D581" s="117" t="s">
        <v>197</v>
      </c>
      <c r="E581" s="117" t="s">
        <v>70</v>
      </c>
      <c r="F581" s="251"/>
      <c r="G581" s="119" t="s">
        <v>234</v>
      </c>
      <c r="H581" s="121">
        <v>25</v>
      </c>
      <c r="I581" s="199">
        <v>0</v>
      </c>
      <c r="J581" s="103">
        <v>0</v>
      </c>
      <c r="K581" s="104">
        <v>8</v>
      </c>
      <c r="L581" s="105">
        <v>0</v>
      </c>
      <c r="M581" s="106">
        <v>2</v>
      </c>
      <c r="N581" s="133">
        <f t="shared" si="615"/>
        <v>10</v>
      </c>
      <c r="O581" s="71">
        <v>15</v>
      </c>
      <c r="P581" s="71"/>
      <c r="Q581" s="132"/>
      <c r="R581" s="119" t="s">
        <v>427</v>
      </c>
      <c r="S581" s="120" t="s">
        <v>232</v>
      </c>
      <c r="T581" s="251"/>
      <c r="U581" s="119">
        <v>35</v>
      </c>
      <c r="V581" s="199">
        <v>0</v>
      </c>
      <c r="W581" s="103">
        <v>0</v>
      </c>
      <c r="X581" s="104">
        <v>8</v>
      </c>
      <c r="Y581" s="105">
        <v>0</v>
      </c>
      <c r="Z581" s="106">
        <v>2</v>
      </c>
      <c r="AA581" s="133">
        <f t="shared" si="677"/>
        <v>10</v>
      </c>
      <c r="AB581" s="71">
        <v>25</v>
      </c>
      <c r="AC581" s="119">
        <v>10</v>
      </c>
      <c r="AD581" s="199">
        <v>0</v>
      </c>
      <c r="AE581" s="103">
        <v>0</v>
      </c>
      <c r="AF581" s="104">
        <v>8</v>
      </c>
      <c r="AG581" s="105">
        <v>0</v>
      </c>
      <c r="AH581" s="106">
        <v>2</v>
      </c>
      <c r="AI581" s="133">
        <f t="shared" si="678"/>
        <v>10</v>
      </c>
      <c r="AJ581" s="71">
        <v>0</v>
      </c>
      <c r="AK581" s="119"/>
      <c r="AL581" s="119"/>
      <c r="AM581" s="46"/>
      <c r="AN581" s="119"/>
      <c r="AO581" s="46"/>
      <c r="AP581" s="119" t="s">
        <v>200</v>
      </c>
      <c r="AQ581" s="119">
        <v>10</v>
      </c>
      <c r="AR581" s="161">
        <v>10</v>
      </c>
      <c r="AS581" s="162">
        <v>0</v>
      </c>
      <c r="AT581" s="163">
        <v>0</v>
      </c>
      <c r="AU581" s="119"/>
      <c r="AV581" s="119"/>
      <c r="AW581" s="119"/>
      <c r="AX581" s="117" t="s">
        <v>201</v>
      </c>
    </row>
    <row r="582" spans="1:50" s="9" customFormat="1" ht="54" x14ac:dyDescent="0.25">
      <c r="A582" s="311"/>
      <c r="B582" s="115" t="s">
        <v>224</v>
      </c>
      <c r="C582" s="115" t="s">
        <v>198</v>
      </c>
      <c r="D582" s="117" t="s">
        <v>197</v>
      </c>
      <c r="E582" s="117" t="s">
        <v>70</v>
      </c>
      <c r="F582" s="251"/>
      <c r="G582" s="119" t="s">
        <v>234</v>
      </c>
      <c r="H582" s="121">
        <v>25</v>
      </c>
      <c r="I582" s="199">
        <v>0</v>
      </c>
      <c r="J582" s="103">
        <v>0</v>
      </c>
      <c r="K582" s="104">
        <v>5</v>
      </c>
      <c r="L582" s="105">
        <v>0</v>
      </c>
      <c r="M582" s="106">
        <v>0</v>
      </c>
      <c r="N582" s="133">
        <f t="shared" si="615"/>
        <v>5</v>
      </c>
      <c r="O582" s="71">
        <v>20</v>
      </c>
      <c r="P582" s="71"/>
      <c r="Q582" s="132"/>
      <c r="R582" s="119" t="s">
        <v>51</v>
      </c>
      <c r="S582" s="120" t="s">
        <v>430</v>
      </c>
      <c r="T582" s="119" t="s">
        <v>73</v>
      </c>
      <c r="U582" s="119">
        <v>25</v>
      </c>
      <c r="V582" s="199">
        <v>0</v>
      </c>
      <c r="W582" s="103">
        <v>0</v>
      </c>
      <c r="X582" s="104">
        <v>5</v>
      </c>
      <c r="Y582" s="105">
        <v>0</v>
      </c>
      <c r="Z582" s="106">
        <v>0</v>
      </c>
      <c r="AA582" s="133">
        <f t="shared" si="677"/>
        <v>5</v>
      </c>
      <c r="AB582" s="71">
        <v>20</v>
      </c>
      <c r="AC582" s="119">
        <v>5</v>
      </c>
      <c r="AD582" s="199">
        <v>0</v>
      </c>
      <c r="AE582" s="103">
        <v>0</v>
      </c>
      <c r="AF582" s="104">
        <v>5</v>
      </c>
      <c r="AG582" s="105">
        <v>0</v>
      </c>
      <c r="AH582" s="106">
        <v>0</v>
      </c>
      <c r="AI582" s="133">
        <f t="shared" si="678"/>
        <v>5</v>
      </c>
      <c r="AJ582" s="71">
        <v>0</v>
      </c>
      <c r="AK582" s="119"/>
      <c r="AL582" s="119"/>
      <c r="AM582" s="46"/>
      <c r="AN582" s="119"/>
      <c r="AO582" s="46"/>
      <c r="AP582" s="119" t="s">
        <v>200</v>
      </c>
      <c r="AQ582" s="119">
        <v>5</v>
      </c>
      <c r="AR582" s="161">
        <v>5</v>
      </c>
      <c r="AS582" s="162">
        <v>0</v>
      </c>
      <c r="AT582" s="163">
        <v>0</v>
      </c>
      <c r="AU582" s="119"/>
      <c r="AV582" s="119"/>
      <c r="AW582" s="119"/>
      <c r="AX582" s="117" t="s">
        <v>201</v>
      </c>
    </row>
    <row r="583" spans="1:50" s="9" customFormat="1" ht="54" x14ac:dyDescent="0.25">
      <c r="A583" s="311"/>
      <c r="B583" s="115" t="s">
        <v>224</v>
      </c>
      <c r="C583" s="115" t="s">
        <v>198</v>
      </c>
      <c r="D583" s="117" t="s">
        <v>197</v>
      </c>
      <c r="E583" s="117" t="s">
        <v>70</v>
      </c>
      <c r="F583" s="251"/>
      <c r="G583" s="119" t="s">
        <v>172</v>
      </c>
      <c r="H583" s="121">
        <v>70</v>
      </c>
      <c r="I583" s="199">
        <v>0</v>
      </c>
      <c r="J583" s="103">
        <v>1</v>
      </c>
      <c r="K583" s="104">
        <v>30</v>
      </c>
      <c r="L583" s="105">
        <v>20</v>
      </c>
      <c r="M583" s="106">
        <v>4</v>
      </c>
      <c r="N583" s="133">
        <f t="shared" si="615"/>
        <v>55</v>
      </c>
      <c r="O583" s="71">
        <v>10</v>
      </c>
      <c r="P583" s="71"/>
      <c r="Q583" s="119"/>
      <c r="R583" s="119" t="s">
        <v>173</v>
      </c>
      <c r="S583" s="120" t="s">
        <v>232</v>
      </c>
      <c r="T583" s="251" t="s">
        <v>77</v>
      </c>
      <c r="U583" s="119">
        <v>80</v>
      </c>
      <c r="V583" s="199">
        <v>0</v>
      </c>
      <c r="W583" s="103">
        <v>1</v>
      </c>
      <c r="X583" s="104">
        <v>30</v>
      </c>
      <c r="Y583" s="105">
        <v>20</v>
      </c>
      <c r="Z583" s="106">
        <v>4</v>
      </c>
      <c r="AA583" s="133">
        <f t="shared" si="677"/>
        <v>55</v>
      </c>
      <c r="AB583" s="71">
        <v>20</v>
      </c>
      <c r="AC583" s="119">
        <v>150</v>
      </c>
      <c r="AD583" s="199">
        <v>0</v>
      </c>
      <c r="AE583" s="103">
        <v>2</v>
      </c>
      <c r="AF583" s="104">
        <v>50</v>
      </c>
      <c r="AG583" s="105">
        <v>0</v>
      </c>
      <c r="AH583" s="106">
        <v>20</v>
      </c>
      <c r="AI583" s="133">
        <f t="shared" si="678"/>
        <v>72</v>
      </c>
      <c r="AJ583" s="71">
        <v>0</v>
      </c>
      <c r="AK583" s="119"/>
      <c r="AL583" s="119"/>
      <c r="AM583" s="46"/>
      <c r="AN583" s="119"/>
      <c r="AO583" s="46"/>
      <c r="AP583" s="119" t="s">
        <v>200</v>
      </c>
      <c r="AQ583" s="119">
        <v>150</v>
      </c>
      <c r="AR583" s="161">
        <v>150</v>
      </c>
      <c r="AS583" s="162">
        <v>0</v>
      </c>
      <c r="AT583" s="163">
        <v>0</v>
      </c>
      <c r="AU583" s="119"/>
      <c r="AV583" s="119"/>
      <c r="AW583" s="119"/>
      <c r="AX583" s="117" t="s">
        <v>201</v>
      </c>
    </row>
    <row r="584" spans="1:50" s="9" customFormat="1" ht="54" x14ac:dyDescent="0.25">
      <c r="A584" s="311"/>
      <c r="B584" s="115" t="s">
        <v>224</v>
      </c>
      <c r="C584" s="115" t="s">
        <v>198</v>
      </c>
      <c r="D584" s="117" t="s">
        <v>197</v>
      </c>
      <c r="E584" s="117" t="s">
        <v>70</v>
      </c>
      <c r="F584" s="251"/>
      <c r="G584" s="119" t="s">
        <v>235</v>
      </c>
      <c r="H584" s="121">
        <v>5</v>
      </c>
      <c r="I584" s="199">
        <v>2</v>
      </c>
      <c r="J584" s="103">
        <v>5</v>
      </c>
      <c r="K584" s="104">
        <v>0</v>
      </c>
      <c r="L584" s="105">
        <v>0</v>
      </c>
      <c r="M584" s="106">
        <v>0</v>
      </c>
      <c r="N584" s="133">
        <f t="shared" si="615"/>
        <v>7</v>
      </c>
      <c r="O584" s="71">
        <v>0</v>
      </c>
      <c r="P584" s="71"/>
      <c r="Q584" s="119"/>
      <c r="R584" s="119" t="s">
        <v>173</v>
      </c>
      <c r="S584" s="120" t="s">
        <v>232</v>
      </c>
      <c r="T584" s="251"/>
      <c r="U584" s="119">
        <v>10</v>
      </c>
      <c r="V584" s="199">
        <v>2</v>
      </c>
      <c r="W584" s="103">
        <v>5</v>
      </c>
      <c r="X584" s="104">
        <v>0</v>
      </c>
      <c r="Y584" s="105">
        <v>0</v>
      </c>
      <c r="Z584" s="106">
        <v>0</v>
      </c>
      <c r="AA584" s="133">
        <f t="shared" si="677"/>
        <v>7</v>
      </c>
      <c r="AB584" s="71">
        <v>5</v>
      </c>
      <c r="AC584" s="119">
        <v>10</v>
      </c>
      <c r="AD584" s="199">
        <v>4</v>
      </c>
      <c r="AE584" s="103">
        <v>10</v>
      </c>
      <c r="AF584" s="104">
        <v>0</v>
      </c>
      <c r="AG584" s="105">
        <v>0</v>
      </c>
      <c r="AH584" s="106">
        <v>0</v>
      </c>
      <c r="AI584" s="133">
        <f t="shared" si="678"/>
        <v>14</v>
      </c>
      <c r="AJ584" s="71">
        <v>0</v>
      </c>
      <c r="AK584" s="119"/>
      <c r="AL584" s="119"/>
      <c r="AM584" s="46"/>
      <c r="AN584" s="119"/>
      <c r="AO584" s="46"/>
      <c r="AP584" s="119" t="s">
        <v>200</v>
      </c>
      <c r="AQ584" s="119">
        <v>10</v>
      </c>
      <c r="AR584" s="161">
        <v>10</v>
      </c>
      <c r="AS584" s="162">
        <v>0</v>
      </c>
      <c r="AT584" s="163">
        <v>0</v>
      </c>
      <c r="AU584" s="119"/>
      <c r="AV584" s="119"/>
      <c r="AW584" s="119"/>
      <c r="AX584" s="117" t="s">
        <v>201</v>
      </c>
    </row>
    <row r="585" spans="1:50" s="9" customFormat="1" ht="54" x14ac:dyDescent="0.25">
      <c r="A585" s="311"/>
      <c r="B585" s="115" t="s">
        <v>224</v>
      </c>
      <c r="C585" s="115" t="s">
        <v>198</v>
      </c>
      <c r="D585" s="117" t="s">
        <v>197</v>
      </c>
      <c r="E585" s="117" t="s">
        <v>70</v>
      </c>
      <c r="F585" s="251"/>
      <c r="G585" s="119" t="s">
        <v>236</v>
      </c>
      <c r="H585" s="121">
        <v>2</v>
      </c>
      <c r="I585" s="199">
        <v>0</v>
      </c>
      <c r="J585" s="103">
        <v>0</v>
      </c>
      <c r="K585" s="104">
        <v>0</v>
      </c>
      <c r="L585" s="105">
        <v>0</v>
      </c>
      <c r="M585" s="106">
        <v>1</v>
      </c>
      <c r="N585" s="133">
        <f t="shared" ref="N585:N648" si="679">SUM(I585:M585)</f>
        <v>1</v>
      </c>
      <c r="O585" s="71">
        <v>0</v>
      </c>
      <c r="P585" s="71"/>
      <c r="Q585" s="119"/>
      <c r="R585" s="119" t="s">
        <v>173</v>
      </c>
      <c r="S585" s="120" t="s">
        <v>232</v>
      </c>
      <c r="T585" s="251"/>
      <c r="U585" s="119">
        <v>10</v>
      </c>
      <c r="V585" s="199">
        <v>0</v>
      </c>
      <c r="W585" s="103">
        <v>0</v>
      </c>
      <c r="X585" s="104">
        <v>0</v>
      </c>
      <c r="Y585" s="105">
        <v>0</v>
      </c>
      <c r="Z585" s="106">
        <v>5</v>
      </c>
      <c r="AA585" s="133">
        <f t="shared" si="677"/>
        <v>5</v>
      </c>
      <c r="AB585" s="71">
        <v>0</v>
      </c>
      <c r="AC585" s="119">
        <v>10</v>
      </c>
      <c r="AD585" s="199">
        <v>0</v>
      </c>
      <c r="AE585" s="103">
        <v>0</v>
      </c>
      <c r="AF585" s="104">
        <v>0</v>
      </c>
      <c r="AG585" s="105">
        <v>0</v>
      </c>
      <c r="AH585" s="106">
        <v>5</v>
      </c>
      <c r="AI585" s="133">
        <f t="shared" si="678"/>
        <v>5</v>
      </c>
      <c r="AJ585" s="71">
        <v>0</v>
      </c>
      <c r="AK585" s="119"/>
      <c r="AL585" s="119"/>
      <c r="AM585" s="46"/>
      <c r="AN585" s="119"/>
      <c r="AO585" s="46"/>
      <c r="AP585" s="119" t="s">
        <v>200</v>
      </c>
      <c r="AQ585" s="119">
        <v>10</v>
      </c>
      <c r="AR585" s="161">
        <v>10</v>
      </c>
      <c r="AS585" s="162">
        <v>0</v>
      </c>
      <c r="AT585" s="163">
        <v>0</v>
      </c>
      <c r="AU585" s="119"/>
      <c r="AV585" s="119"/>
      <c r="AW585" s="119"/>
      <c r="AX585" s="117" t="s">
        <v>201</v>
      </c>
    </row>
    <row r="586" spans="1:50" s="181" customFormat="1" ht="54" x14ac:dyDescent="0.25">
      <c r="A586" s="311"/>
      <c r="B586" s="115" t="s">
        <v>224</v>
      </c>
      <c r="C586" s="115" t="s">
        <v>198</v>
      </c>
      <c r="D586" s="117" t="s">
        <v>197</v>
      </c>
      <c r="E586" s="117" t="s">
        <v>70</v>
      </c>
      <c r="F586" s="142" t="s">
        <v>61</v>
      </c>
      <c r="G586" s="127"/>
      <c r="H586" s="143">
        <f>SUM(H576:H585)</f>
        <v>242</v>
      </c>
      <c r="I586" s="143">
        <f t="shared" ref="I586" si="680">SUM(I576:I585)</f>
        <v>2</v>
      </c>
      <c r="J586" s="143">
        <f t="shared" ref="J586:M586" si="681">SUM(J576:J585)</f>
        <v>6</v>
      </c>
      <c r="K586" s="143">
        <f t="shared" si="681"/>
        <v>104</v>
      </c>
      <c r="L586" s="143">
        <f t="shared" si="681"/>
        <v>45</v>
      </c>
      <c r="M586" s="143">
        <f t="shared" si="681"/>
        <v>28</v>
      </c>
      <c r="N586" s="143">
        <f t="shared" si="679"/>
        <v>185</v>
      </c>
      <c r="O586" s="143">
        <f t="shared" ref="O586" si="682">SUM(O576:O585)</f>
        <v>82</v>
      </c>
      <c r="P586" s="143"/>
      <c r="Q586" s="177"/>
      <c r="R586" s="129"/>
      <c r="S586" s="178"/>
      <c r="T586" s="179"/>
      <c r="U586" s="143">
        <f>SUM(U576:U585)</f>
        <v>420</v>
      </c>
      <c r="V586" s="143">
        <f t="shared" ref="V586" si="683">SUM(V576:V585)</f>
        <v>2</v>
      </c>
      <c r="W586" s="143">
        <f t="shared" ref="W586:AJ586" si="684">SUM(W576:W585)</f>
        <v>6</v>
      </c>
      <c r="X586" s="143">
        <f t="shared" si="684"/>
        <v>104</v>
      </c>
      <c r="Y586" s="143">
        <f t="shared" si="684"/>
        <v>45</v>
      </c>
      <c r="Z586" s="143">
        <f t="shared" si="684"/>
        <v>32</v>
      </c>
      <c r="AA586" s="143">
        <f t="shared" si="677"/>
        <v>189</v>
      </c>
      <c r="AB586" s="143">
        <f t="shared" si="684"/>
        <v>214</v>
      </c>
      <c r="AC586" s="143">
        <f t="shared" si="684"/>
        <v>420</v>
      </c>
      <c r="AD586" s="143">
        <f t="shared" si="684"/>
        <v>4</v>
      </c>
      <c r="AE586" s="143">
        <f t="shared" si="684"/>
        <v>12</v>
      </c>
      <c r="AF586" s="143">
        <f t="shared" si="684"/>
        <v>124</v>
      </c>
      <c r="AG586" s="143">
        <f t="shared" ref="AG586" si="685">SUM(AG576:AG585)</f>
        <v>0</v>
      </c>
      <c r="AH586" s="143">
        <f t="shared" si="684"/>
        <v>48</v>
      </c>
      <c r="AI586" s="143">
        <f t="shared" si="678"/>
        <v>188</v>
      </c>
      <c r="AJ586" s="143">
        <f t="shared" si="684"/>
        <v>109</v>
      </c>
      <c r="AK586" s="142"/>
      <c r="AL586" s="142"/>
      <c r="AM586" s="142"/>
      <c r="AN586" s="142"/>
      <c r="AO586" s="142"/>
      <c r="AP586" s="119" t="s">
        <v>200</v>
      </c>
      <c r="AQ586" s="143">
        <f>SUM(AQ576:AQ585)</f>
        <v>420</v>
      </c>
      <c r="AR586" s="143">
        <f>SUM(AR576:AR585)</f>
        <v>420</v>
      </c>
      <c r="AS586" s="143">
        <f>SUM(AS576:AS585)</f>
        <v>0</v>
      </c>
      <c r="AT586" s="143">
        <f>SUM(AT576:AT585)</f>
        <v>0</v>
      </c>
      <c r="AU586" s="180"/>
      <c r="AV586" s="177"/>
      <c r="AW586" s="127"/>
      <c r="AX586" s="127" t="s">
        <v>201</v>
      </c>
    </row>
    <row r="587" spans="1:50" s="9" customFormat="1" ht="54" x14ac:dyDescent="0.25">
      <c r="A587" s="311"/>
      <c r="B587" s="115" t="s">
        <v>224</v>
      </c>
      <c r="C587" s="115" t="s">
        <v>202</v>
      </c>
      <c r="D587" s="117" t="s">
        <v>197</v>
      </c>
      <c r="E587" s="117" t="s">
        <v>70</v>
      </c>
      <c r="F587" s="251" t="s">
        <v>49</v>
      </c>
      <c r="G587" s="119" t="s">
        <v>231</v>
      </c>
      <c r="H587" s="121">
        <v>70</v>
      </c>
      <c r="I587" s="199">
        <v>0</v>
      </c>
      <c r="J587" s="103">
        <v>0</v>
      </c>
      <c r="K587" s="104">
        <v>40</v>
      </c>
      <c r="L587" s="105">
        <v>25</v>
      </c>
      <c r="M587" s="106">
        <v>20</v>
      </c>
      <c r="N587" s="70">
        <f t="shared" si="679"/>
        <v>85</v>
      </c>
      <c r="O587" s="72">
        <v>20</v>
      </c>
      <c r="P587" s="72"/>
      <c r="Q587" s="132"/>
      <c r="R587" s="119" t="s">
        <v>427</v>
      </c>
      <c r="S587" s="120" t="s">
        <v>232</v>
      </c>
      <c r="T587" s="251" t="s">
        <v>73</v>
      </c>
      <c r="U587" s="119">
        <v>150</v>
      </c>
      <c r="V587" s="199">
        <v>0</v>
      </c>
      <c r="W587" s="103">
        <v>0</v>
      </c>
      <c r="X587" s="104">
        <v>40</v>
      </c>
      <c r="Y587" s="105">
        <v>25</v>
      </c>
      <c r="Z587" s="106">
        <v>20</v>
      </c>
      <c r="AA587" s="70">
        <f t="shared" si="677"/>
        <v>85</v>
      </c>
      <c r="AB587" s="72">
        <v>65</v>
      </c>
      <c r="AC587" s="119">
        <v>180</v>
      </c>
      <c r="AD587" s="199">
        <v>0</v>
      </c>
      <c r="AE587" s="103">
        <v>0</v>
      </c>
      <c r="AF587" s="104">
        <v>40</v>
      </c>
      <c r="AG587" s="105">
        <v>0</v>
      </c>
      <c r="AH587" s="106">
        <v>20</v>
      </c>
      <c r="AI587" s="133">
        <f t="shared" si="678"/>
        <v>60</v>
      </c>
      <c r="AJ587" s="71">
        <v>95</v>
      </c>
      <c r="AK587" s="119"/>
      <c r="AL587" s="119"/>
      <c r="AM587" s="46"/>
      <c r="AN587" s="119"/>
      <c r="AO587" s="46"/>
      <c r="AP587" s="119" t="s">
        <v>200</v>
      </c>
      <c r="AQ587" s="119">
        <v>180</v>
      </c>
      <c r="AR587" s="161">
        <v>180</v>
      </c>
      <c r="AS587" s="162">
        <v>0</v>
      </c>
      <c r="AT587" s="163">
        <v>0</v>
      </c>
      <c r="AU587" s="119"/>
      <c r="AV587" s="119"/>
      <c r="AW587" s="119"/>
      <c r="AX587" s="117" t="s">
        <v>201</v>
      </c>
    </row>
    <row r="588" spans="1:50" s="9" customFormat="1" ht="54" x14ac:dyDescent="0.25">
      <c r="A588" s="311"/>
      <c r="B588" s="115" t="s">
        <v>224</v>
      </c>
      <c r="C588" s="115" t="s">
        <v>202</v>
      </c>
      <c r="D588" s="117" t="s">
        <v>197</v>
      </c>
      <c r="E588" s="117" t="s">
        <v>70</v>
      </c>
      <c r="F588" s="251"/>
      <c r="G588" s="119" t="s">
        <v>231</v>
      </c>
      <c r="H588" s="121">
        <v>10</v>
      </c>
      <c r="I588" s="199">
        <v>0</v>
      </c>
      <c r="J588" s="103">
        <v>0</v>
      </c>
      <c r="K588" s="104">
        <v>6</v>
      </c>
      <c r="L588" s="105">
        <v>0</v>
      </c>
      <c r="M588" s="106">
        <v>0</v>
      </c>
      <c r="N588" s="133">
        <f t="shared" si="679"/>
        <v>6</v>
      </c>
      <c r="O588" s="71">
        <v>2</v>
      </c>
      <c r="P588" s="71"/>
      <c r="Q588" s="132"/>
      <c r="R588" s="119" t="s">
        <v>51</v>
      </c>
      <c r="S588" s="120" t="s">
        <v>275</v>
      </c>
      <c r="T588" s="251"/>
      <c r="U588" s="119">
        <v>20</v>
      </c>
      <c r="V588" s="199">
        <v>0</v>
      </c>
      <c r="W588" s="103">
        <v>0</v>
      </c>
      <c r="X588" s="104">
        <v>6</v>
      </c>
      <c r="Y588" s="105">
        <v>0</v>
      </c>
      <c r="Z588" s="106">
        <v>0</v>
      </c>
      <c r="AA588" s="133">
        <f t="shared" si="677"/>
        <v>6</v>
      </c>
      <c r="AB588" s="71">
        <v>12</v>
      </c>
      <c r="AC588" s="119">
        <v>10</v>
      </c>
      <c r="AD588" s="199">
        <v>0</v>
      </c>
      <c r="AE588" s="103">
        <v>0</v>
      </c>
      <c r="AF588" s="104">
        <v>6</v>
      </c>
      <c r="AG588" s="105">
        <v>0</v>
      </c>
      <c r="AH588" s="106">
        <v>0</v>
      </c>
      <c r="AI588" s="133">
        <f t="shared" si="678"/>
        <v>6</v>
      </c>
      <c r="AJ588" s="71">
        <v>2</v>
      </c>
      <c r="AK588" s="119"/>
      <c r="AL588" s="119"/>
      <c r="AM588" s="46"/>
      <c r="AN588" s="119"/>
      <c r="AO588" s="46"/>
      <c r="AP588" s="119" t="s">
        <v>200</v>
      </c>
      <c r="AQ588" s="119">
        <v>10</v>
      </c>
      <c r="AR588" s="161">
        <v>10</v>
      </c>
      <c r="AS588" s="162">
        <v>0</v>
      </c>
      <c r="AT588" s="163">
        <v>0</v>
      </c>
      <c r="AU588" s="119"/>
      <c r="AV588" s="119"/>
      <c r="AW588" s="119"/>
      <c r="AX588" s="117" t="s">
        <v>201</v>
      </c>
    </row>
    <row r="589" spans="1:50" s="9" customFormat="1" ht="54" x14ac:dyDescent="0.25">
      <c r="A589" s="311"/>
      <c r="B589" s="115" t="s">
        <v>224</v>
      </c>
      <c r="C589" s="115" t="s">
        <v>202</v>
      </c>
      <c r="D589" s="117" t="s">
        <v>197</v>
      </c>
      <c r="E589" s="117" t="s">
        <v>70</v>
      </c>
      <c r="F589" s="251"/>
      <c r="G589" s="119" t="s">
        <v>227</v>
      </c>
      <c r="H589" s="121">
        <v>20</v>
      </c>
      <c r="I589" s="199">
        <v>0</v>
      </c>
      <c r="J589" s="103">
        <v>0</v>
      </c>
      <c r="K589" s="104">
        <v>6</v>
      </c>
      <c r="L589" s="105">
        <v>0</v>
      </c>
      <c r="M589" s="106">
        <v>0</v>
      </c>
      <c r="N589" s="133">
        <f t="shared" si="679"/>
        <v>6</v>
      </c>
      <c r="O589" s="71">
        <v>10</v>
      </c>
      <c r="P589" s="71"/>
      <c r="Q589" s="132"/>
      <c r="R589" s="119" t="s">
        <v>428</v>
      </c>
      <c r="S589" s="120" t="s">
        <v>232</v>
      </c>
      <c r="T589" s="251"/>
      <c r="U589" s="119">
        <v>20</v>
      </c>
      <c r="V589" s="199">
        <v>0</v>
      </c>
      <c r="W589" s="103">
        <v>0</v>
      </c>
      <c r="X589" s="104">
        <v>6</v>
      </c>
      <c r="Y589" s="105">
        <v>0</v>
      </c>
      <c r="Z589" s="106">
        <v>0</v>
      </c>
      <c r="AA589" s="133">
        <f t="shared" si="677"/>
        <v>6</v>
      </c>
      <c r="AB589" s="71">
        <v>10</v>
      </c>
      <c r="AC589" s="119">
        <v>30</v>
      </c>
      <c r="AD589" s="199">
        <v>0</v>
      </c>
      <c r="AE589" s="103">
        <v>0</v>
      </c>
      <c r="AF589" s="104">
        <v>6</v>
      </c>
      <c r="AG589" s="105">
        <v>0</v>
      </c>
      <c r="AH589" s="106">
        <v>0</v>
      </c>
      <c r="AI589" s="133">
        <f t="shared" si="678"/>
        <v>6</v>
      </c>
      <c r="AJ589" s="71">
        <v>10</v>
      </c>
      <c r="AK589" s="119"/>
      <c r="AL589" s="119"/>
      <c r="AM589" s="46"/>
      <c r="AN589" s="119"/>
      <c r="AO589" s="46"/>
      <c r="AP589" s="119" t="s">
        <v>200</v>
      </c>
      <c r="AQ589" s="119">
        <v>30</v>
      </c>
      <c r="AR589" s="161">
        <v>30</v>
      </c>
      <c r="AS589" s="162">
        <v>0</v>
      </c>
      <c r="AT589" s="163">
        <v>0</v>
      </c>
      <c r="AU589" s="119"/>
      <c r="AV589" s="119"/>
      <c r="AW589" s="119"/>
      <c r="AX589" s="117" t="s">
        <v>201</v>
      </c>
    </row>
    <row r="590" spans="1:50" s="9" customFormat="1" ht="54" x14ac:dyDescent="0.25">
      <c r="A590" s="311"/>
      <c r="B590" s="115" t="s">
        <v>224</v>
      </c>
      <c r="C590" s="115" t="s">
        <v>202</v>
      </c>
      <c r="D590" s="117" t="s">
        <v>197</v>
      </c>
      <c r="E590" s="117" t="s">
        <v>70</v>
      </c>
      <c r="F590" s="251"/>
      <c r="G590" s="119" t="s">
        <v>227</v>
      </c>
      <c r="H590" s="121">
        <v>10</v>
      </c>
      <c r="I590" s="199">
        <v>0</v>
      </c>
      <c r="J590" s="103">
        <v>0</v>
      </c>
      <c r="K590" s="104">
        <v>4</v>
      </c>
      <c r="L590" s="105">
        <v>0</v>
      </c>
      <c r="M590" s="106">
        <v>0</v>
      </c>
      <c r="N590" s="133">
        <f t="shared" si="679"/>
        <v>4</v>
      </c>
      <c r="O590" s="71">
        <v>2</v>
      </c>
      <c r="P590" s="71"/>
      <c r="Q590" s="132"/>
      <c r="R590" s="119" t="s">
        <v>51</v>
      </c>
      <c r="S590" s="120" t="s">
        <v>430</v>
      </c>
      <c r="T590" s="251"/>
      <c r="U590" s="119">
        <v>10</v>
      </c>
      <c r="V590" s="199">
        <v>0</v>
      </c>
      <c r="W590" s="103">
        <v>0</v>
      </c>
      <c r="X590" s="104">
        <v>4</v>
      </c>
      <c r="Y590" s="105">
        <v>0</v>
      </c>
      <c r="Z590" s="106">
        <v>0</v>
      </c>
      <c r="AA590" s="133">
        <f t="shared" si="677"/>
        <v>4</v>
      </c>
      <c r="AB590" s="71">
        <v>2</v>
      </c>
      <c r="AC590" s="119">
        <v>10</v>
      </c>
      <c r="AD590" s="199">
        <v>0</v>
      </c>
      <c r="AE590" s="103">
        <v>0</v>
      </c>
      <c r="AF590" s="104">
        <v>4</v>
      </c>
      <c r="AG590" s="105">
        <v>0</v>
      </c>
      <c r="AH590" s="106">
        <v>0</v>
      </c>
      <c r="AI590" s="133">
        <f t="shared" si="678"/>
        <v>4</v>
      </c>
      <c r="AJ590" s="71">
        <v>2</v>
      </c>
      <c r="AK590" s="119"/>
      <c r="AL590" s="119"/>
      <c r="AM590" s="46"/>
      <c r="AN590" s="119"/>
      <c r="AO590" s="46"/>
      <c r="AP590" s="119" t="s">
        <v>200</v>
      </c>
      <c r="AQ590" s="119">
        <v>10</v>
      </c>
      <c r="AR590" s="161">
        <v>10</v>
      </c>
      <c r="AS590" s="162">
        <v>0</v>
      </c>
      <c r="AT590" s="163">
        <v>0</v>
      </c>
      <c r="AU590" s="119"/>
      <c r="AV590" s="119"/>
      <c r="AW590" s="119"/>
      <c r="AX590" s="117" t="s">
        <v>201</v>
      </c>
    </row>
    <row r="591" spans="1:50" s="9" customFormat="1" ht="54" x14ac:dyDescent="0.25">
      <c r="A591" s="311"/>
      <c r="B591" s="115" t="s">
        <v>224</v>
      </c>
      <c r="C591" s="115" t="s">
        <v>202</v>
      </c>
      <c r="D591" s="117" t="s">
        <v>197</v>
      </c>
      <c r="E591" s="117" t="s">
        <v>70</v>
      </c>
      <c r="F591" s="251"/>
      <c r="G591" s="119" t="s">
        <v>229</v>
      </c>
      <c r="H591" s="121">
        <v>5</v>
      </c>
      <c r="I591" s="199">
        <v>0</v>
      </c>
      <c r="J591" s="103">
        <v>0</v>
      </c>
      <c r="K591" s="104">
        <v>5</v>
      </c>
      <c r="L591" s="105">
        <v>0</v>
      </c>
      <c r="M591" s="106">
        <v>1</v>
      </c>
      <c r="N591" s="133">
        <f t="shared" si="679"/>
        <v>6</v>
      </c>
      <c r="O591" s="71">
        <v>0</v>
      </c>
      <c r="P591" s="71"/>
      <c r="Q591" s="119"/>
      <c r="R591" s="119" t="s">
        <v>173</v>
      </c>
      <c r="S591" s="120" t="s">
        <v>232</v>
      </c>
      <c r="T591" s="251" t="s">
        <v>53</v>
      </c>
      <c r="U591" s="119">
        <v>5</v>
      </c>
      <c r="V591" s="199">
        <v>0</v>
      </c>
      <c r="W591" s="103">
        <v>0</v>
      </c>
      <c r="X591" s="104">
        <v>5</v>
      </c>
      <c r="Y591" s="105">
        <v>0</v>
      </c>
      <c r="Z591" s="106">
        <v>1</v>
      </c>
      <c r="AA591" s="133">
        <f t="shared" si="677"/>
        <v>6</v>
      </c>
      <c r="AB591" s="71">
        <v>0</v>
      </c>
      <c r="AC591" s="119">
        <v>5</v>
      </c>
      <c r="AD591" s="199">
        <v>0</v>
      </c>
      <c r="AE591" s="103">
        <v>0</v>
      </c>
      <c r="AF591" s="104">
        <v>5</v>
      </c>
      <c r="AG591" s="105">
        <v>0</v>
      </c>
      <c r="AH591" s="106">
        <v>1</v>
      </c>
      <c r="AI591" s="133">
        <f t="shared" si="678"/>
        <v>6</v>
      </c>
      <c r="AJ591" s="71">
        <v>0</v>
      </c>
      <c r="AK591" s="119"/>
      <c r="AL591" s="119"/>
      <c r="AM591" s="46"/>
      <c r="AN591" s="119"/>
      <c r="AO591" s="46"/>
      <c r="AP591" s="119" t="s">
        <v>200</v>
      </c>
      <c r="AQ591" s="119">
        <v>5</v>
      </c>
      <c r="AR591" s="161">
        <v>5</v>
      </c>
      <c r="AS591" s="162">
        <v>0</v>
      </c>
      <c r="AT591" s="163">
        <v>0</v>
      </c>
      <c r="AU591" s="119"/>
      <c r="AV591" s="119"/>
      <c r="AW591" s="119"/>
      <c r="AX591" s="117" t="s">
        <v>201</v>
      </c>
    </row>
    <row r="592" spans="1:50" s="9" customFormat="1" ht="54" x14ac:dyDescent="0.25">
      <c r="A592" s="311"/>
      <c r="B592" s="115" t="s">
        <v>224</v>
      </c>
      <c r="C592" s="115" t="s">
        <v>202</v>
      </c>
      <c r="D592" s="117" t="s">
        <v>197</v>
      </c>
      <c r="E592" s="117" t="s">
        <v>70</v>
      </c>
      <c r="F592" s="251"/>
      <c r="G592" s="119" t="s">
        <v>234</v>
      </c>
      <c r="H592" s="121">
        <v>25</v>
      </c>
      <c r="I592" s="199">
        <v>0</v>
      </c>
      <c r="J592" s="103">
        <v>0</v>
      </c>
      <c r="K592" s="104">
        <v>8</v>
      </c>
      <c r="L592" s="105">
        <v>0</v>
      </c>
      <c r="M592" s="106">
        <v>2</v>
      </c>
      <c r="N592" s="133">
        <f t="shared" si="679"/>
        <v>10</v>
      </c>
      <c r="O592" s="71">
        <v>15</v>
      </c>
      <c r="P592" s="71"/>
      <c r="Q592" s="132"/>
      <c r="R592" s="119" t="s">
        <v>427</v>
      </c>
      <c r="S592" s="120" t="s">
        <v>232</v>
      </c>
      <c r="T592" s="251"/>
      <c r="U592" s="119">
        <v>50</v>
      </c>
      <c r="V592" s="199">
        <v>0</v>
      </c>
      <c r="W592" s="103">
        <v>0</v>
      </c>
      <c r="X592" s="104">
        <v>8</v>
      </c>
      <c r="Y592" s="105">
        <v>0</v>
      </c>
      <c r="Z592" s="106">
        <v>2</v>
      </c>
      <c r="AA592" s="133">
        <f t="shared" si="677"/>
        <v>10</v>
      </c>
      <c r="AB592" s="71">
        <v>40</v>
      </c>
      <c r="AC592" s="119">
        <v>15</v>
      </c>
      <c r="AD592" s="199">
        <v>0</v>
      </c>
      <c r="AE592" s="103">
        <v>0</v>
      </c>
      <c r="AF592" s="104">
        <v>8</v>
      </c>
      <c r="AG592" s="105">
        <v>0</v>
      </c>
      <c r="AH592" s="106">
        <v>2</v>
      </c>
      <c r="AI592" s="133">
        <f t="shared" si="678"/>
        <v>10</v>
      </c>
      <c r="AJ592" s="71">
        <v>5</v>
      </c>
      <c r="AK592" s="119"/>
      <c r="AL592" s="119"/>
      <c r="AM592" s="46"/>
      <c r="AN592" s="119"/>
      <c r="AO592" s="46"/>
      <c r="AP592" s="119" t="s">
        <v>200</v>
      </c>
      <c r="AQ592" s="119">
        <v>15</v>
      </c>
      <c r="AR592" s="161">
        <v>15</v>
      </c>
      <c r="AS592" s="162">
        <v>0</v>
      </c>
      <c r="AT592" s="163">
        <v>0</v>
      </c>
      <c r="AU592" s="119"/>
      <c r="AV592" s="119"/>
      <c r="AW592" s="119"/>
      <c r="AX592" s="117" t="s">
        <v>201</v>
      </c>
    </row>
    <row r="593" spans="1:50" s="9" customFormat="1" ht="54" x14ac:dyDescent="0.25">
      <c r="A593" s="311"/>
      <c r="B593" s="115" t="s">
        <v>224</v>
      </c>
      <c r="C593" s="115" t="s">
        <v>202</v>
      </c>
      <c r="D593" s="117" t="s">
        <v>197</v>
      </c>
      <c r="E593" s="117" t="s">
        <v>70</v>
      </c>
      <c r="F593" s="251"/>
      <c r="G593" s="119" t="s">
        <v>234</v>
      </c>
      <c r="H593" s="121">
        <v>25</v>
      </c>
      <c r="I593" s="199">
        <v>0</v>
      </c>
      <c r="J593" s="103">
        <v>0</v>
      </c>
      <c r="K593" s="104">
        <v>5</v>
      </c>
      <c r="L593" s="105">
        <v>0</v>
      </c>
      <c r="M593" s="106">
        <v>0</v>
      </c>
      <c r="N593" s="133">
        <f t="shared" si="679"/>
        <v>5</v>
      </c>
      <c r="O593" s="71">
        <v>20</v>
      </c>
      <c r="P593" s="71"/>
      <c r="Q593" s="132"/>
      <c r="R593" s="119" t="s">
        <v>51</v>
      </c>
      <c r="S593" s="120" t="s">
        <v>430</v>
      </c>
      <c r="T593" s="119" t="s">
        <v>73</v>
      </c>
      <c r="U593" s="119">
        <v>25</v>
      </c>
      <c r="V593" s="199">
        <v>0</v>
      </c>
      <c r="W593" s="103">
        <v>0</v>
      </c>
      <c r="X593" s="104">
        <v>5</v>
      </c>
      <c r="Y593" s="105">
        <v>0</v>
      </c>
      <c r="Z593" s="106">
        <v>0</v>
      </c>
      <c r="AA593" s="133">
        <f t="shared" si="677"/>
        <v>5</v>
      </c>
      <c r="AB593" s="71">
        <v>20</v>
      </c>
      <c r="AC593" s="119">
        <v>5</v>
      </c>
      <c r="AD593" s="199">
        <v>0</v>
      </c>
      <c r="AE593" s="103">
        <v>0</v>
      </c>
      <c r="AF593" s="104">
        <v>5</v>
      </c>
      <c r="AG593" s="105">
        <v>0</v>
      </c>
      <c r="AH593" s="106">
        <v>0</v>
      </c>
      <c r="AI593" s="133">
        <f t="shared" si="678"/>
        <v>5</v>
      </c>
      <c r="AJ593" s="71">
        <v>0</v>
      </c>
      <c r="AK593" s="119"/>
      <c r="AL593" s="119"/>
      <c r="AM593" s="46"/>
      <c r="AN593" s="119"/>
      <c r="AO593" s="46"/>
      <c r="AP593" s="119" t="s">
        <v>200</v>
      </c>
      <c r="AQ593" s="119">
        <v>5</v>
      </c>
      <c r="AR593" s="161">
        <v>5</v>
      </c>
      <c r="AS593" s="162">
        <v>0</v>
      </c>
      <c r="AT593" s="163">
        <v>0</v>
      </c>
      <c r="AU593" s="119"/>
      <c r="AV593" s="119"/>
      <c r="AW593" s="119"/>
      <c r="AX593" s="117" t="s">
        <v>201</v>
      </c>
    </row>
    <row r="594" spans="1:50" s="9" customFormat="1" ht="54" x14ac:dyDescent="0.25">
      <c r="A594" s="311"/>
      <c r="B594" s="115" t="s">
        <v>224</v>
      </c>
      <c r="C594" s="115" t="s">
        <v>202</v>
      </c>
      <c r="D594" s="117" t="s">
        <v>197</v>
      </c>
      <c r="E594" s="117" t="s">
        <v>70</v>
      </c>
      <c r="F594" s="251"/>
      <c r="G594" s="119" t="s">
        <v>172</v>
      </c>
      <c r="H594" s="121">
        <v>70</v>
      </c>
      <c r="I594" s="199">
        <v>0</v>
      </c>
      <c r="J594" s="103">
        <v>1</v>
      </c>
      <c r="K594" s="104">
        <v>30</v>
      </c>
      <c r="L594" s="105">
        <v>20</v>
      </c>
      <c r="M594" s="106">
        <v>4</v>
      </c>
      <c r="N594" s="133">
        <f t="shared" si="679"/>
        <v>55</v>
      </c>
      <c r="O594" s="71">
        <v>10</v>
      </c>
      <c r="P594" s="71"/>
      <c r="Q594" s="119"/>
      <c r="R594" s="119" t="s">
        <v>173</v>
      </c>
      <c r="S594" s="120" t="s">
        <v>232</v>
      </c>
      <c r="T594" s="251" t="s">
        <v>77</v>
      </c>
      <c r="U594" s="119">
        <v>80</v>
      </c>
      <c r="V594" s="199">
        <v>0</v>
      </c>
      <c r="W594" s="103">
        <v>1</v>
      </c>
      <c r="X594" s="104">
        <v>30</v>
      </c>
      <c r="Y594" s="105">
        <v>20</v>
      </c>
      <c r="Z594" s="106">
        <v>4</v>
      </c>
      <c r="AA594" s="133">
        <f t="shared" si="677"/>
        <v>55</v>
      </c>
      <c r="AB594" s="71">
        <v>20</v>
      </c>
      <c r="AC594" s="119">
        <v>150</v>
      </c>
      <c r="AD594" s="199">
        <v>0</v>
      </c>
      <c r="AE594" s="103">
        <v>2</v>
      </c>
      <c r="AF594" s="104">
        <v>50</v>
      </c>
      <c r="AG594" s="105">
        <v>0</v>
      </c>
      <c r="AH594" s="106">
        <v>20</v>
      </c>
      <c r="AI594" s="133">
        <f t="shared" si="678"/>
        <v>72</v>
      </c>
      <c r="AJ594" s="71">
        <v>0</v>
      </c>
      <c r="AK594" s="119"/>
      <c r="AL594" s="119"/>
      <c r="AM594" s="46"/>
      <c r="AN594" s="119"/>
      <c r="AO594" s="46"/>
      <c r="AP594" s="119" t="s">
        <v>200</v>
      </c>
      <c r="AQ594" s="119">
        <v>150</v>
      </c>
      <c r="AR594" s="161">
        <v>150</v>
      </c>
      <c r="AS594" s="162">
        <v>0</v>
      </c>
      <c r="AT594" s="163">
        <v>0</v>
      </c>
      <c r="AU594" s="119"/>
      <c r="AV594" s="119"/>
      <c r="AW594" s="119"/>
      <c r="AX594" s="117" t="s">
        <v>201</v>
      </c>
    </row>
    <row r="595" spans="1:50" s="9" customFormat="1" ht="54" x14ac:dyDescent="0.25">
      <c r="A595" s="311"/>
      <c r="B595" s="115" t="s">
        <v>224</v>
      </c>
      <c r="C595" s="115" t="s">
        <v>202</v>
      </c>
      <c r="D595" s="117" t="s">
        <v>197</v>
      </c>
      <c r="E595" s="117" t="s">
        <v>70</v>
      </c>
      <c r="F595" s="251"/>
      <c r="G595" s="119" t="s">
        <v>235</v>
      </c>
      <c r="H595" s="121">
        <v>5</v>
      </c>
      <c r="I595" s="199">
        <v>2</v>
      </c>
      <c r="J595" s="103">
        <v>5</v>
      </c>
      <c r="K595" s="104">
        <v>0</v>
      </c>
      <c r="L595" s="105">
        <v>0</v>
      </c>
      <c r="M595" s="106">
        <v>0</v>
      </c>
      <c r="N595" s="133">
        <f t="shared" si="679"/>
        <v>7</v>
      </c>
      <c r="O595" s="71">
        <v>0</v>
      </c>
      <c r="P595" s="71"/>
      <c r="Q595" s="119"/>
      <c r="R595" s="119" t="s">
        <v>173</v>
      </c>
      <c r="S595" s="120" t="s">
        <v>232</v>
      </c>
      <c r="T595" s="251"/>
      <c r="U595" s="119">
        <v>5</v>
      </c>
      <c r="V595" s="199">
        <v>2</v>
      </c>
      <c r="W595" s="103">
        <v>5</v>
      </c>
      <c r="X595" s="104">
        <v>0</v>
      </c>
      <c r="Y595" s="105">
        <v>0</v>
      </c>
      <c r="Z595" s="106">
        <v>0</v>
      </c>
      <c r="AA595" s="133">
        <f t="shared" si="677"/>
        <v>7</v>
      </c>
      <c r="AB595" s="71">
        <v>0</v>
      </c>
      <c r="AC595" s="119">
        <v>10</v>
      </c>
      <c r="AD595" s="199">
        <v>4</v>
      </c>
      <c r="AE595" s="103">
        <v>10</v>
      </c>
      <c r="AF595" s="104">
        <v>0</v>
      </c>
      <c r="AG595" s="105">
        <v>0</v>
      </c>
      <c r="AH595" s="106">
        <v>0</v>
      </c>
      <c r="AI595" s="133">
        <f t="shared" si="678"/>
        <v>14</v>
      </c>
      <c r="AJ595" s="71">
        <v>0</v>
      </c>
      <c r="AK595" s="119"/>
      <c r="AL595" s="119"/>
      <c r="AM595" s="46"/>
      <c r="AN595" s="119"/>
      <c r="AO595" s="46"/>
      <c r="AP595" s="119" t="s">
        <v>200</v>
      </c>
      <c r="AQ595" s="119">
        <v>10</v>
      </c>
      <c r="AR595" s="161">
        <v>10</v>
      </c>
      <c r="AS595" s="162">
        <v>0</v>
      </c>
      <c r="AT595" s="163">
        <v>0</v>
      </c>
      <c r="AU595" s="119"/>
      <c r="AV595" s="119"/>
      <c r="AW595" s="119"/>
      <c r="AX595" s="117" t="s">
        <v>201</v>
      </c>
    </row>
    <row r="596" spans="1:50" s="9" customFormat="1" ht="54" x14ac:dyDescent="0.25">
      <c r="A596" s="311"/>
      <c r="B596" s="115" t="s">
        <v>224</v>
      </c>
      <c r="C596" s="115" t="s">
        <v>202</v>
      </c>
      <c r="D596" s="117" t="s">
        <v>197</v>
      </c>
      <c r="E596" s="117" t="s">
        <v>70</v>
      </c>
      <c r="F596" s="251"/>
      <c r="G596" s="119" t="s">
        <v>387</v>
      </c>
      <c r="H596" s="121">
        <v>2</v>
      </c>
      <c r="I596" s="199">
        <v>0</v>
      </c>
      <c r="J596" s="103">
        <v>0</v>
      </c>
      <c r="K596" s="104">
        <v>0</v>
      </c>
      <c r="L596" s="105">
        <v>0</v>
      </c>
      <c r="M596" s="106">
        <v>1</v>
      </c>
      <c r="N596" s="133">
        <f t="shared" si="679"/>
        <v>1</v>
      </c>
      <c r="O596" s="71">
        <v>0</v>
      </c>
      <c r="P596" s="71"/>
      <c r="Q596" s="119"/>
      <c r="R596" s="119" t="s">
        <v>173</v>
      </c>
      <c r="S596" s="120" t="s">
        <v>232</v>
      </c>
      <c r="T596" s="251"/>
      <c r="U596" s="119">
        <v>10</v>
      </c>
      <c r="V596" s="199">
        <v>0</v>
      </c>
      <c r="W596" s="103">
        <v>0</v>
      </c>
      <c r="X596" s="104">
        <v>0</v>
      </c>
      <c r="Y596" s="105">
        <v>0</v>
      </c>
      <c r="Z596" s="106">
        <v>5</v>
      </c>
      <c r="AA596" s="133">
        <f t="shared" si="677"/>
        <v>5</v>
      </c>
      <c r="AB596" s="71">
        <v>0</v>
      </c>
      <c r="AC596" s="119">
        <v>10</v>
      </c>
      <c r="AD596" s="199">
        <v>0</v>
      </c>
      <c r="AE596" s="103">
        <v>0</v>
      </c>
      <c r="AF596" s="104">
        <v>0</v>
      </c>
      <c r="AG596" s="105">
        <v>0</v>
      </c>
      <c r="AH596" s="106">
        <v>5</v>
      </c>
      <c r="AI596" s="133">
        <f t="shared" si="678"/>
        <v>5</v>
      </c>
      <c r="AJ596" s="71">
        <v>0</v>
      </c>
      <c r="AK596" s="119"/>
      <c r="AL596" s="119"/>
      <c r="AM596" s="46"/>
      <c r="AN596" s="119"/>
      <c r="AO596" s="46"/>
      <c r="AP596" s="119" t="s">
        <v>200</v>
      </c>
      <c r="AQ596" s="119">
        <v>10</v>
      </c>
      <c r="AR596" s="161">
        <v>10</v>
      </c>
      <c r="AS596" s="162">
        <v>0</v>
      </c>
      <c r="AT596" s="163">
        <v>0</v>
      </c>
      <c r="AU596" s="119"/>
      <c r="AV596" s="119"/>
      <c r="AW596" s="119" t="s">
        <v>431</v>
      </c>
      <c r="AX596" s="117" t="s">
        <v>201</v>
      </c>
    </row>
    <row r="597" spans="1:50" s="181" customFormat="1" ht="54" x14ac:dyDescent="0.25">
      <c r="A597" s="311"/>
      <c r="B597" s="115" t="s">
        <v>224</v>
      </c>
      <c r="C597" s="115" t="s">
        <v>202</v>
      </c>
      <c r="D597" s="117" t="s">
        <v>197</v>
      </c>
      <c r="E597" s="117" t="s">
        <v>70</v>
      </c>
      <c r="F597" s="142" t="s">
        <v>61</v>
      </c>
      <c r="G597" s="127"/>
      <c r="H597" s="143">
        <f>SUM(H587:H596)</f>
        <v>242</v>
      </c>
      <c r="I597" s="143">
        <f t="shared" ref="I597" si="686">SUM(I587:I596)</f>
        <v>2</v>
      </c>
      <c r="J597" s="143">
        <f t="shared" ref="J597:M597" si="687">SUM(J587:J596)</f>
        <v>6</v>
      </c>
      <c r="K597" s="143">
        <f t="shared" si="687"/>
        <v>104</v>
      </c>
      <c r="L597" s="143">
        <f t="shared" si="687"/>
        <v>45</v>
      </c>
      <c r="M597" s="143">
        <f t="shared" si="687"/>
        <v>28</v>
      </c>
      <c r="N597" s="143">
        <f t="shared" si="679"/>
        <v>185</v>
      </c>
      <c r="O597" s="143">
        <f t="shared" ref="O597" si="688">SUM(O587:O596)</f>
        <v>79</v>
      </c>
      <c r="P597" s="143"/>
      <c r="Q597" s="177"/>
      <c r="R597" s="129"/>
      <c r="S597" s="178"/>
      <c r="T597" s="179"/>
      <c r="U597" s="143">
        <f>SUM(U587:U596)</f>
        <v>375</v>
      </c>
      <c r="V597" s="143">
        <f t="shared" ref="V597" si="689">SUM(V587:V596)</f>
        <v>2</v>
      </c>
      <c r="W597" s="143">
        <f t="shared" ref="W597:AJ597" si="690">SUM(W587:W596)</f>
        <v>6</v>
      </c>
      <c r="X597" s="143">
        <f t="shared" si="690"/>
        <v>104</v>
      </c>
      <c r="Y597" s="143">
        <f t="shared" si="690"/>
        <v>45</v>
      </c>
      <c r="Z597" s="143">
        <f t="shared" si="690"/>
        <v>32</v>
      </c>
      <c r="AA597" s="143">
        <f t="shared" si="677"/>
        <v>189</v>
      </c>
      <c r="AB597" s="143">
        <f t="shared" si="690"/>
        <v>169</v>
      </c>
      <c r="AC597" s="143">
        <f t="shared" si="690"/>
        <v>425</v>
      </c>
      <c r="AD597" s="143">
        <f t="shared" si="690"/>
        <v>4</v>
      </c>
      <c r="AE597" s="143">
        <f t="shared" si="690"/>
        <v>12</v>
      </c>
      <c r="AF597" s="143">
        <f t="shared" si="690"/>
        <v>124</v>
      </c>
      <c r="AG597" s="143">
        <f t="shared" ref="AG597" si="691">SUM(AG587:AG596)</f>
        <v>0</v>
      </c>
      <c r="AH597" s="143">
        <f t="shared" si="690"/>
        <v>48</v>
      </c>
      <c r="AI597" s="143">
        <f t="shared" si="678"/>
        <v>188</v>
      </c>
      <c r="AJ597" s="143">
        <f t="shared" si="690"/>
        <v>114</v>
      </c>
      <c r="AK597" s="142"/>
      <c r="AL597" s="142"/>
      <c r="AM597" s="142"/>
      <c r="AN597" s="142"/>
      <c r="AO597" s="142"/>
      <c r="AP597" s="127"/>
      <c r="AQ597" s="143">
        <f>SUM(AQ587:AQ596)</f>
        <v>425</v>
      </c>
      <c r="AR597" s="143">
        <f>SUM(AR587:AR596)</f>
        <v>425</v>
      </c>
      <c r="AS597" s="143">
        <f>SUM(AS587:AS596)</f>
        <v>0</v>
      </c>
      <c r="AT597" s="143">
        <f>SUM(AT587:AT596)</f>
        <v>0</v>
      </c>
      <c r="AU597" s="180"/>
      <c r="AV597" s="177"/>
      <c r="AW597" s="127"/>
      <c r="AX597" s="127" t="s">
        <v>201</v>
      </c>
    </row>
    <row r="598" spans="1:50" s="95" customFormat="1" ht="54" customHeight="1" x14ac:dyDescent="0.25">
      <c r="A598" s="311"/>
      <c r="B598" s="115" t="s">
        <v>224</v>
      </c>
      <c r="C598" s="115" t="s">
        <v>203</v>
      </c>
      <c r="D598" s="117" t="s">
        <v>197</v>
      </c>
      <c r="E598" s="117" t="s">
        <v>70</v>
      </c>
      <c r="F598" s="272" t="s">
        <v>49</v>
      </c>
      <c r="G598" s="119" t="s">
        <v>231</v>
      </c>
      <c r="H598" s="292">
        <v>100</v>
      </c>
      <c r="I598" s="238">
        <v>0</v>
      </c>
      <c r="J598" s="230">
        <v>0</v>
      </c>
      <c r="K598" s="224">
        <v>40</v>
      </c>
      <c r="L598" s="226">
        <v>25</v>
      </c>
      <c r="M598" s="232">
        <v>20</v>
      </c>
      <c r="N598" s="278">
        <f t="shared" si="679"/>
        <v>85</v>
      </c>
      <c r="O598" s="242">
        <v>65</v>
      </c>
      <c r="P598" s="71"/>
      <c r="Q598" s="272"/>
      <c r="R598" s="119" t="s">
        <v>427</v>
      </c>
      <c r="S598" s="120" t="s">
        <v>232</v>
      </c>
      <c r="T598" s="251" t="s">
        <v>53</v>
      </c>
      <c r="U598" s="272">
        <v>200</v>
      </c>
      <c r="V598" s="238">
        <v>0</v>
      </c>
      <c r="W598" s="230">
        <v>0</v>
      </c>
      <c r="X598" s="224">
        <v>40</v>
      </c>
      <c r="Y598" s="226">
        <v>25</v>
      </c>
      <c r="Z598" s="232">
        <v>20</v>
      </c>
      <c r="AA598" s="278">
        <f t="shared" si="677"/>
        <v>85</v>
      </c>
      <c r="AB598" s="242">
        <v>115</v>
      </c>
      <c r="AC598" s="272">
        <v>200</v>
      </c>
      <c r="AD598" s="238">
        <v>0</v>
      </c>
      <c r="AE598" s="230">
        <v>0</v>
      </c>
      <c r="AF598" s="224">
        <v>45</v>
      </c>
      <c r="AG598" s="226">
        <v>0</v>
      </c>
      <c r="AH598" s="232">
        <v>20</v>
      </c>
      <c r="AI598" s="278">
        <f t="shared" si="678"/>
        <v>65</v>
      </c>
      <c r="AJ598" s="242">
        <v>110</v>
      </c>
      <c r="AK598" s="272"/>
      <c r="AL598" s="272"/>
      <c r="AM598" s="243"/>
      <c r="AN598" s="272"/>
      <c r="AO598" s="72"/>
      <c r="AP598" s="119" t="s">
        <v>432</v>
      </c>
      <c r="AQ598" s="272">
        <v>200</v>
      </c>
      <c r="AR598" s="281">
        <v>200</v>
      </c>
      <c r="AS598" s="282">
        <v>0</v>
      </c>
      <c r="AT598" s="283">
        <v>0</v>
      </c>
      <c r="AU598" s="272"/>
      <c r="AV598" s="272"/>
      <c r="AW598" s="119"/>
      <c r="AX598" s="117" t="s">
        <v>201</v>
      </c>
    </row>
    <row r="599" spans="1:50" s="176" customFormat="1" ht="54" customHeight="1" x14ac:dyDescent="0.25">
      <c r="A599" s="311"/>
      <c r="B599" s="115" t="s">
        <v>224</v>
      </c>
      <c r="C599" s="115" t="s">
        <v>203</v>
      </c>
      <c r="D599" s="117" t="s">
        <v>197</v>
      </c>
      <c r="E599" s="117" t="s">
        <v>70</v>
      </c>
      <c r="F599" s="272"/>
      <c r="G599" s="119" t="s">
        <v>231</v>
      </c>
      <c r="H599" s="292"/>
      <c r="I599" s="239"/>
      <c r="J599" s="231"/>
      <c r="K599" s="225"/>
      <c r="L599" s="227"/>
      <c r="M599" s="233"/>
      <c r="N599" s="278">
        <f t="shared" si="679"/>
        <v>0</v>
      </c>
      <c r="O599" s="242"/>
      <c r="P599" s="71"/>
      <c r="Q599" s="272"/>
      <c r="R599" s="119" t="s">
        <v>51</v>
      </c>
      <c r="S599" s="120" t="s">
        <v>433</v>
      </c>
      <c r="T599" s="251"/>
      <c r="U599" s="272"/>
      <c r="V599" s="239"/>
      <c r="W599" s="231"/>
      <c r="X599" s="225"/>
      <c r="Y599" s="227"/>
      <c r="Z599" s="233"/>
      <c r="AA599" s="278">
        <f t="shared" si="677"/>
        <v>0</v>
      </c>
      <c r="AB599" s="242"/>
      <c r="AC599" s="272"/>
      <c r="AD599" s="239"/>
      <c r="AE599" s="231"/>
      <c r="AF599" s="225"/>
      <c r="AG599" s="227"/>
      <c r="AH599" s="233"/>
      <c r="AI599" s="278">
        <f t="shared" si="678"/>
        <v>0</v>
      </c>
      <c r="AJ599" s="242"/>
      <c r="AK599" s="272"/>
      <c r="AL599" s="272"/>
      <c r="AM599" s="243"/>
      <c r="AN599" s="272"/>
      <c r="AO599" s="72"/>
      <c r="AP599" s="119" t="s">
        <v>432</v>
      </c>
      <c r="AQ599" s="272"/>
      <c r="AR599" s="281"/>
      <c r="AS599" s="282"/>
      <c r="AT599" s="283"/>
      <c r="AU599" s="272"/>
      <c r="AV599" s="272"/>
      <c r="AW599" s="119"/>
      <c r="AX599" s="117" t="s">
        <v>201</v>
      </c>
    </row>
    <row r="600" spans="1:50" s="95" customFormat="1" ht="54" customHeight="1" x14ac:dyDescent="0.25">
      <c r="A600" s="311"/>
      <c r="B600" s="115" t="s">
        <v>224</v>
      </c>
      <c r="C600" s="115" t="s">
        <v>203</v>
      </c>
      <c r="D600" s="117" t="s">
        <v>197</v>
      </c>
      <c r="E600" s="117" t="s">
        <v>70</v>
      </c>
      <c r="F600" s="272"/>
      <c r="G600" s="119" t="s">
        <v>227</v>
      </c>
      <c r="H600" s="292">
        <v>15</v>
      </c>
      <c r="I600" s="238">
        <v>0</v>
      </c>
      <c r="J600" s="230">
        <v>0</v>
      </c>
      <c r="K600" s="224">
        <v>12</v>
      </c>
      <c r="L600" s="226">
        <v>0</v>
      </c>
      <c r="M600" s="232">
        <v>0</v>
      </c>
      <c r="N600" s="278">
        <f t="shared" si="679"/>
        <v>12</v>
      </c>
      <c r="O600" s="242">
        <v>10</v>
      </c>
      <c r="P600" s="71"/>
      <c r="Q600" s="272"/>
      <c r="R600" s="119" t="s">
        <v>428</v>
      </c>
      <c r="S600" s="120" t="s">
        <v>232</v>
      </c>
      <c r="T600" s="251"/>
      <c r="U600" s="251">
        <v>50</v>
      </c>
      <c r="V600" s="238">
        <v>0</v>
      </c>
      <c r="W600" s="230">
        <v>0</v>
      </c>
      <c r="X600" s="224">
        <v>12</v>
      </c>
      <c r="Y600" s="226">
        <v>0</v>
      </c>
      <c r="Z600" s="232">
        <v>0</v>
      </c>
      <c r="AA600" s="278">
        <f t="shared" si="677"/>
        <v>12</v>
      </c>
      <c r="AB600" s="242">
        <v>30</v>
      </c>
      <c r="AC600" s="251">
        <v>50</v>
      </c>
      <c r="AD600" s="238">
        <v>0</v>
      </c>
      <c r="AE600" s="230">
        <v>0</v>
      </c>
      <c r="AF600" s="224">
        <v>22</v>
      </c>
      <c r="AG600" s="226">
        <v>0</v>
      </c>
      <c r="AH600" s="232">
        <v>0</v>
      </c>
      <c r="AI600" s="278">
        <f t="shared" si="678"/>
        <v>22</v>
      </c>
      <c r="AJ600" s="242">
        <v>20</v>
      </c>
      <c r="AK600" s="272"/>
      <c r="AL600" s="272"/>
      <c r="AM600" s="243"/>
      <c r="AN600" s="272"/>
      <c r="AO600" s="72"/>
      <c r="AP600" s="119" t="s">
        <v>432</v>
      </c>
      <c r="AQ600" s="272">
        <v>50</v>
      </c>
      <c r="AR600" s="281">
        <v>50</v>
      </c>
      <c r="AS600" s="282">
        <v>0</v>
      </c>
      <c r="AT600" s="283">
        <v>0</v>
      </c>
      <c r="AU600" s="272"/>
      <c r="AV600" s="272"/>
      <c r="AW600" s="119"/>
      <c r="AX600" s="117" t="s">
        <v>201</v>
      </c>
    </row>
    <row r="601" spans="1:50" s="95" customFormat="1" ht="54" customHeight="1" x14ac:dyDescent="0.25">
      <c r="A601" s="311"/>
      <c r="B601" s="115" t="s">
        <v>224</v>
      </c>
      <c r="C601" s="115" t="s">
        <v>203</v>
      </c>
      <c r="D601" s="117" t="s">
        <v>197</v>
      </c>
      <c r="E601" s="117" t="s">
        <v>70</v>
      </c>
      <c r="F601" s="272"/>
      <c r="G601" s="119" t="s">
        <v>227</v>
      </c>
      <c r="H601" s="292"/>
      <c r="I601" s="239"/>
      <c r="J601" s="231"/>
      <c r="K601" s="225"/>
      <c r="L601" s="227"/>
      <c r="M601" s="233"/>
      <c r="N601" s="278">
        <f t="shared" si="679"/>
        <v>0</v>
      </c>
      <c r="O601" s="242"/>
      <c r="P601" s="71"/>
      <c r="Q601" s="272"/>
      <c r="R601" s="119" t="s">
        <v>51</v>
      </c>
      <c r="S601" s="120" t="s">
        <v>433</v>
      </c>
      <c r="T601" s="251"/>
      <c r="U601" s="251"/>
      <c r="V601" s="239"/>
      <c r="W601" s="231"/>
      <c r="X601" s="225"/>
      <c r="Y601" s="227"/>
      <c r="Z601" s="233"/>
      <c r="AA601" s="278">
        <f t="shared" si="677"/>
        <v>0</v>
      </c>
      <c r="AB601" s="242"/>
      <c r="AC601" s="251"/>
      <c r="AD601" s="239"/>
      <c r="AE601" s="231"/>
      <c r="AF601" s="225"/>
      <c r="AG601" s="227"/>
      <c r="AH601" s="233"/>
      <c r="AI601" s="278">
        <f t="shared" si="678"/>
        <v>0</v>
      </c>
      <c r="AJ601" s="242"/>
      <c r="AK601" s="272"/>
      <c r="AL601" s="272"/>
      <c r="AM601" s="243"/>
      <c r="AN601" s="272"/>
      <c r="AO601" s="72"/>
      <c r="AP601" s="119" t="s">
        <v>432</v>
      </c>
      <c r="AQ601" s="272"/>
      <c r="AR601" s="281"/>
      <c r="AS601" s="282"/>
      <c r="AT601" s="283"/>
      <c r="AU601" s="272"/>
      <c r="AV601" s="272"/>
      <c r="AW601" s="119"/>
      <c r="AX601" s="117" t="s">
        <v>201</v>
      </c>
    </row>
    <row r="602" spans="1:50" s="95" customFormat="1" ht="54" customHeight="1" x14ac:dyDescent="0.25">
      <c r="A602" s="311"/>
      <c r="B602" s="115" t="s">
        <v>224</v>
      </c>
      <c r="C602" s="115" t="s">
        <v>203</v>
      </c>
      <c r="D602" s="117" t="s">
        <v>197</v>
      </c>
      <c r="E602" s="117" t="s">
        <v>70</v>
      </c>
      <c r="F602" s="272"/>
      <c r="G602" s="119" t="s">
        <v>234</v>
      </c>
      <c r="H602" s="121">
        <v>30</v>
      </c>
      <c r="I602" s="199">
        <v>0</v>
      </c>
      <c r="J602" s="103">
        <v>0</v>
      </c>
      <c r="K602" s="104">
        <v>8</v>
      </c>
      <c r="L602" s="105">
        <v>0</v>
      </c>
      <c r="M602" s="106">
        <v>2</v>
      </c>
      <c r="N602" s="133">
        <f t="shared" si="679"/>
        <v>10</v>
      </c>
      <c r="O602" s="71">
        <v>20</v>
      </c>
      <c r="P602" s="71"/>
      <c r="Q602" s="251"/>
      <c r="R602" s="119" t="s">
        <v>427</v>
      </c>
      <c r="S602" s="120" t="s">
        <v>232</v>
      </c>
      <c r="T602" s="251"/>
      <c r="U602" s="119">
        <v>30</v>
      </c>
      <c r="V602" s="199">
        <v>0</v>
      </c>
      <c r="W602" s="103">
        <v>0</v>
      </c>
      <c r="X602" s="104">
        <v>8</v>
      </c>
      <c r="Y602" s="105">
        <v>0</v>
      </c>
      <c r="Z602" s="106">
        <v>2</v>
      </c>
      <c r="AA602" s="133">
        <f t="shared" si="677"/>
        <v>10</v>
      </c>
      <c r="AB602" s="71">
        <v>20</v>
      </c>
      <c r="AC602" s="119">
        <v>10</v>
      </c>
      <c r="AD602" s="199">
        <v>0</v>
      </c>
      <c r="AE602" s="103">
        <v>0</v>
      </c>
      <c r="AF602" s="104">
        <v>8</v>
      </c>
      <c r="AG602" s="105">
        <v>0</v>
      </c>
      <c r="AH602" s="106">
        <v>2</v>
      </c>
      <c r="AI602" s="133">
        <f t="shared" si="678"/>
        <v>10</v>
      </c>
      <c r="AJ602" s="71">
        <v>0</v>
      </c>
      <c r="AK602" s="119"/>
      <c r="AL602" s="119"/>
      <c r="AM602" s="46"/>
      <c r="AN602" s="119"/>
      <c r="AO602" s="46"/>
      <c r="AP602" s="119" t="s">
        <v>432</v>
      </c>
      <c r="AQ602" s="119">
        <v>10</v>
      </c>
      <c r="AR602" s="161">
        <v>10</v>
      </c>
      <c r="AS602" s="162">
        <v>0</v>
      </c>
      <c r="AT602" s="163">
        <v>0</v>
      </c>
      <c r="AU602" s="136"/>
      <c r="AV602" s="136"/>
      <c r="AW602" s="119"/>
      <c r="AX602" s="117" t="s">
        <v>201</v>
      </c>
    </row>
    <row r="603" spans="1:50" s="95" customFormat="1" ht="54" customHeight="1" x14ac:dyDescent="0.25">
      <c r="A603" s="311"/>
      <c r="B603" s="115" t="s">
        <v>224</v>
      </c>
      <c r="C603" s="115" t="s">
        <v>203</v>
      </c>
      <c r="D603" s="117" t="s">
        <v>197</v>
      </c>
      <c r="E603" s="117" t="s">
        <v>70</v>
      </c>
      <c r="F603" s="272"/>
      <c r="G603" s="119" t="s">
        <v>234</v>
      </c>
      <c r="H603" s="121">
        <v>5</v>
      </c>
      <c r="I603" s="199">
        <v>0</v>
      </c>
      <c r="J603" s="103">
        <v>0</v>
      </c>
      <c r="K603" s="104">
        <v>5</v>
      </c>
      <c r="L603" s="105">
        <v>0</v>
      </c>
      <c r="M603" s="106">
        <v>0</v>
      </c>
      <c r="N603" s="133">
        <f t="shared" si="679"/>
        <v>5</v>
      </c>
      <c r="O603" s="71">
        <v>0</v>
      </c>
      <c r="P603" s="71"/>
      <c r="Q603" s="251"/>
      <c r="R603" s="119" t="s">
        <v>51</v>
      </c>
      <c r="S603" s="119" t="s">
        <v>433</v>
      </c>
      <c r="T603" s="119" t="s">
        <v>73</v>
      </c>
      <c r="U603" s="119">
        <v>15</v>
      </c>
      <c r="V603" s="199">
        <v>0</v>
      </c>
      <c r="W603" s="103">
        <v>0</v>
      </c>
      <c r="X603" s="104">
        <v>5</v>
      </c>
      <c r="Y603" s="105">
        <v>0</v>
      </c>
      <c r="Z603" s="106">
        <v>0</v>
      </c>
      <c r="AA603" s="133">
        <f t="shared" si="677"/>
        <v>5</v>
      </c>
      <c r="AB603" s="71">
        <v>10</v>
      </c>
      <c r="AC603" s="119">
        <v>5</v>
      </c>
      <c r="AD603" s="199">
        <v>0</v>
      </c>
      <c r="AE603" s="103">
        <v>0</v>
      </c>
      <c r="AF603" s="104">
        <v>5</v>
      </c>
      <c r="AG603" s="105">
        <v>0</v>
      </c>
      <c r="AH603" s="106">
        <v>0</v>
      </c>
      <c r="AI603" s="133">
        <f t="shared" si="678"/>
        <v>5</v>
      </c>
      <c r="AJ603" s="71">
        <v>0</v>
      </c>
      <c r="AK603" s="119"/>
      <c r="AL603" s="119"/>
      <c r="AM603" s="46"/>
      <c r="AN603" s="119"/>
      <c r="AO603" s="46"/>
      <c r="AP603" s="119" t="s">
        <v>432</v>
      </c>
      <c r="AQ603" s="136">
        <v>5</v>
      </c>
      <c r="AR603" s="161">
        <v>5</v>
      </c>
      <c r="AS603" s="162">
        <v>0</v>
      </c>
      <c r="AT603" s="163">
        <v>0</v>
      </c>
      <c r="AU603" s="136"/>
      <c r="AV603" s="136"/>
      <c r="AW603" s="119"/>
      <c r="AX603" s="117" t="s">
        <v>201</v>
      </c>
    </row>
    <row r="604" spans="1:50" s="95" customFormat="1" ht="72" x14ac:dyDescent="0.25">
      <c r="A604" s="311"/>
      <c r="B604" s="115" t="s">
        <v>224</v>
      </c>
      <c r="C604" s="115" t="s">
        <v>203</v>
      </c>
      <c r="D604" s="117" t="s">
        <v>197</v>
      </c>
      <c r="E604" s="117" t="s">
        <v>70</v>
      </c>
      <c r="F604" s="272"/>
      <c r="G604" s="119" t="s">
        <v>172</v>
      </c>
      <c r="H604" s="151">
        <v>35</v>
      </c>
      <c r="I604" s="197">
        <v>0</v>
      </c>
      <c r="J604" s="90">
        <v>1</v>
      </c>
      <c r="K604" s="91">
        <v>5</v>
      </c>
      <c r="L604" s="92">
        <v>20</v>
      </c>
      <c r="M604" s="81">
        <v>4</v>
      </c>
      <c r="N604" s="133">
        <f t="shared" si="679"/>
        <v>30</v>
      </c>
      <c r="O604" s="71">
        <v>10</v>
      </c>
      <c r="P604" s="71"/>
      <c r="Q604" s="137"/>
      <c r="R604" s="119" t="s">
        <v>173</v>
      </c>
      <c r="S604" s="120" t="s">
        <v>232</v>
      </c>
      <c r="T604" s="119" t="s">
        <v>53</v>
      </c>
      <c r="U604" s="119">
        <v>80</v>
      </c>
      <c r="V604" s="197">
        <v>0</v>
      </c>
      <c r="W604" s="90">
        <v>1</v>
      </c>
      <c r="X604" s="91">
        <v>5</v>
      </c>
      <c r="Y604" s="92">
        <v>20</v>
      </c>
      <c r="Z604" s="81">
        <v>4</v>
      </c>
      <c r="AA604" s="133">
        <f t="shared" si="677"/>
        <v>30</v>
      </c>
      <c r="AB604" s="71">
        <v>55</v>
      </c>
      <c r="AC604" s="119">
        <v>100</v>
      </c>
      <c r="AD604" s="197">
        <v>0</v>
      </c>
      <c r="AE604" s="90">
        <v>2</v>
      </c>
      <c r="AF604" s="91">
        <v>2</v>
      </c>
      <c r="AG604" s="92">
        <v>0</v>
      </c>
      <c r="AH604" s="81">
        <v>2</v>
      </c>
      <c r="AI604" s="133">
        <f t="shared" si="678"/>
        <v>6</v>
      </c>
      <c r="AJ604" s="71">
        <v>90</v>
      </c>
      <c r="AK604" s="136"/>
      <c r="AL604" s="136"/>
      <c r="AM604" s="72"/>
      <c r="AN604" s="136"/>
      <c r="AO604" s="72"/>
      <c r="AP604" s="119" t="s">
        <v>432</v>
      </c>
      <c r="AQ604" s="136">
        <v>100</v>
      </c>
      <c r="AR604" s="161">
        <v>100</v>
      </c>
      <c r="AS604" s="162">
        <v>0</v>
      </c>
      <c r="AT604" s="163">
        <v>0</v>
      </c>
      <c r="AU604" s="175"/>
      <c r="AV604" s="137"/>
      <c r="AW604" s="119"/>
      <c r="AX604" s="117" t="s">
        <v>201</v>
      </c>
    </row>
    <row r="605" spans="1:50" s="95" customFormat="1" ht="36" x14ac:dyDescent="0.25">
      <c r="A605" s="311"/>
      <c r="B605" s="115" t="s">
        <v>224</v>
      </c>
      <c r="C605" s="115" t="s">
        <v>203</v>
      </c>
      <c r="D605" s="117" t="s">
        <v>197</v>
      </c>
      <c r="E605" s="117" t="s">
        <v>70</v>
      </c>
      <c r="F605" s="142" t="s">
        <v>61</v>
      </c>
      <c r="G605" s="127"/>
      <c r="H605" s="143">
        <f>SUM(H598:H604)</f>
        <v>185</v>
      </c>
      <c r="I605" s="143">
        <f t="shared" ref="I605" si="692">SUM(I598:I604)</f>
        <v>0</v>
      </c>
      <c r="J605" s="143">
        <f t="shared" ref="J605:M605" si="693">SUM(J598:J604)</f>
        <v>1</v>
      </c>
      <c r="K605" s="143">
        <f t="shared" si="693"/>
        <v>70</v>
      </c>
      <c r="L605" s="143">
        <f t="shared" si="693"/>
        <v>45</v>
      </c>
      <c r="M605" s="143">
        <f t="shared" si="693"/>
        <v>26</v>
      </c>
      <c r="N605" s="143">
        <f t="shared" si="679"/>
        <v>142</v>
      </c>
      <c r="O605" s="143">
        <f t="shared" ref="O605" si="694">SUM(O598:O604)</f>
        <v>105</v>
      </c>
      <c r="P605" s="143"/>
      <c r="Q605" s="177"/>
      <c r="R605" s="129"/>
      <c r="S605" s="178"/>
      <c r="T605" s="179"/>
      <c r="U605" s="143">
        <f>SUM(U598:U604)</f>
        <v>375</v>
      </c>
      <c r="V605" s="143">
        <f t="shared" ref="V605" si="695">SUM(V598:V604)</f>
        <v>0</v>
      </c>
      <c r="W605" s="143">
        <f t="shared" ref="W605:Z605" si="696">SUM(W598:W604)</f>
        <v>1</v>
      </c>
      <c r="X605" s="143">
        <f t="shared" si="696"/>
        <v>70</v>
      </c>
      <c r="Y605" s="143">
        <f t="shared" si="696"/>
        <v>45</v>
      </c>
      <c r="Z605" s="143">
        <f t="shared" si="696"/>
        <v>26</v>
      </c>
      <c r="AA605" s="143">
        <f t="shared" si="677"/>
        <v>142</v>
      </c>
      <c r="AB605" s="143">
        <f t="shared" ref="AB605:AJ605" si="697">SUM(AB598:AB604)</f>
        <v>230</v>
      </c>
      <c r="AC605" s="143">
        <f t="shared" si="697"/>
        <v>365</v>
      </c>
      <c r="AD605" s="143">
        <f t="shared" si="697"/>
        <v>0</v>
      </c>
      <c r="AE605" s="143">
        <f t="shared" si="697"/>
        <v>2</v>
      </c>
      <c r="AF605" s="143">
        <f t="shared" si="697"/>
        <v>82</v>
      </c>
      <c r="AG605" s="143">
        <f t="shared" si="697"/>
        <v>0</v>
      </c>
      <c r="AH605" s="143">
        <f t="shared" si="697"/>
        <v>24</v>
      </c>
      <c r="AI605" s="143">
        <f t="shared" si="678"/>
        <v>108</v>
      </c>
      <c r="AJ605" s="143">
        <f t="shared" si="697"/>
        <v>220</v>
      </c>
      <c r="AK605" s="142"/>
      <c r="AL605" s="142"/>
      <c r="AM605" s="142"/>
      <c r="AN605" s="142"/>
      <c r="AO605" s="142"/>
      <c r="AP605" s="127"/>
      <c r="AQ605" s="143">
        <f>SUM(AQ598:AQ604)</f>
        <v>365</v>
      </c>
      <c r="AR605" s="143">
        <f>SUM(AR598:AR604)</f>
        <v>365</v>
      </c>
      <c r="AS605" s="143">
        <f>SUM(AS598:AS604)</f>
        <v>0</v>
      </c>
      <c r="AT605" s="143">
        <f>SUM(AT598:AT604)</f>
        <v>0</v>
      </c>
      <c r="AU605" s="180"/>
      <c r="AV605" s="177"/>
      <c r="AW605" s="127"/>
      <c r="AX605" s="127" t="s">
        <v>201</v>
      </c>
    </row>
    <row r="606" spans="1:50" s="95" customFormat="1" ht="54" customHeight="1" x14ac:dyDescent="0.25">
      <c r="A606" s="311"/>
      <c r="B606" s="115" t="s">
        <v>224</v>
      </c>
      <c r="C606" s="115" t="s">
        <v>205</v>
      </c>
      <c r="D606" s="117" t="s">
        <v>197</v>
      </c>
      <c r="E606" s="117" t="s">
        <v>70</v>
      </c>
      <c r="F606" s="272" t="s">
        <v>49</v>
      </c>
      <c r="G606" s="119" t="s">
        <v>231</v>
      </c>
      <c r="H606" s="292">
        <v>100</v>
      </c>
      <c r="I606" s="238">
        <v>0</v>
      </c>
      <c r="J606" s="230">
        <v>0</v>
      </c>
      <c r="K606" s="224">
        <v>40</v>
      </c>
      <c r="L606" s="226">
        <v>25</v>
      </c>
      <c r="M606" s="232">
        <v>20</v>
      </c>
      <c r="N606" s="278">
        <f t="shared" si="679"/>
        <v>85</v>
      </c>
      <c r="O606" s="242">
        <v>15</v>
      </c>
      <c r="P606" s="71"/>
      <c r="Q606" s="272"/>
      <c r="R606" s="119" t="s">
        <v>427</v>
      </c>
      <c r="S606" s="120" t="s">
        <v>232</v>
      </c>
      <c r="T606" s="251" t="s">
        <v>53</v>
      </c>
      <c r="U606" s="272">
        <v>200</v>
      </c>
      <c r="V606" s="238">
        <v>0</v>
      </c>
      <c r="W606" s="230">
        <v>0</v>
      </c>
      <c r="X606" s="224">
        <v>40</v>
      </c>
      <c r="Y606" s="226">
        <v>25</v>
      </c>
      <c r="Z606" s="232">
        <v>20</v>
      </c>
      <c r="AA606" s="278">
        <f t="shared" si="677"/>
        <v>85</v>
      </c>
      <c r="AB606" s="242">
        <v>115</v>
      </c>
      <c r="AC606" s="272">
        <v>200</v>
      </c>
      <c r="AD606" s="238">
        <v>0</v>
      </c>
      <c r="AE606" s="230">
        <v>0</v>
      </c>
      <c r="AF606" s="224">
        <v>45</v>
      </c>
      <c r="AG606" s="226">
        <v>0</v>
      </c>
      <c r="AH606" s="232">
        <v>20</v>
      </c>
      <c r="AI606" s="278">
        <f t="shared" si="678"/>
        <v>65</v>
      </c>
      <c r="AJ606" s="242">
        <v>110</v>
      </c>
      <c r="AK606" s="272"/>
      <c r="AL606" s="272"/>
      <c r="AM606" s="243"/>
      <c r="AN606" s="272"/>
      <c r="AO606" s="72"/>
      <c r="AP606" s="119" t="s">
        <v>432</v>
      </c>
      <c r="AQ606" s="272">
        <v>200</v>
      </c>
      <c r="AR606" s="281">
        <v>200</v>
      </c>
      <c r="AS606" s="282">
        <v>0</v>
      </c>
      <c r="AT606" s="283">
        <v>0</v>
      </c>
      <c r="AU606" s="272"/>
      <c r="AV606" s="272"/>
      <c r="AW606" s="119"/>
      <c r="AX606" s="117" t="s">
        <v>201</v>
      </c>
    </row>
    <row r="607" spans="1:50" s="176" customFormat="1" ht="54" customHeight="1" x14ac:dyDescent="0.25">
      <c r="A607" s="311"/>
      <c r="B607" s="115" t="s">
        <v>224</v>
      </c>
      <c r="C607" s="115" t="s">
        <v>205</v>
      </c>
      <c r="D607" s="117" t="s">
        <v>197</v>
      </c>
      <c r="E607" s="117" t="s">
        <v>70</v>
      </c>
      <c r="F607" s="272"/>
      <c r="G607" s="119" t="s">
        <v>231</v>
      </c>
      <c r="H607" s="292"/>
      <c r="I607" s="239"/>
      <c r="J607" s="231"/>
      <c r="K607" s="225"/>
      <c r="L607" s="227"/>
      <c r="M607" s="233"/>
      <c r="N607" s="278">
        <f t="shared" si="679"/>
        <v>0</v>
      </c>
      <c r="O607" s="242"/>
      <c r="P607" s="71"/>
      <c r="Q607" s="272"/>
      <c r="R607" s="119" t="s">
        <v>51</v>
      </c>
      <c r="S607" s="120" t="s">
        <v>433</v>
      </c>
      <c r="T607" s="251"/>
      <c r="U607" s="272"/>
      <c r="V607" s="239"/>
      <c r="W607" s="231"/>
      <c r="X607" s="225"/>
      <c r="Y607" s="227"/>
      <c r="Z607" s="233"/>
      <c r="AA607" s="278">
        <f t="shared" si="677"/>
        <v>0</v>
      </c>
      <c r="AB607" s="242"/>
      <c r="AC607" s="272"/>
      <c r="AD607" s="239"/>
      <c r="AE607" s="231"/>
      <c r="AF607" s="225"/>
      <c r="AG607" s="227"/>
      <c r="AH607" s="233"/>
      <c r="AI607" s="278">
        <f t="shared" si="678"/>
        <v>0</v>
      </c>
      <c r="AJ607" s="242"/>
      <c r="AK607" s="272"/>
      <c r="AL607" s="272"/>
      <c r="AM607" s="243"/>
      <c r="AN607" s="272"/>
      <c r="AO607" s="72"/>
      <c r="AP607" s="119" t="s">
        <v>432</v>
      </c>
      <c r="AQ607" s="272"/>
      <c r="AR607" s="281"/>
      <c r="AS607" s="282"/>
      <c r="AT607" s="283"/>
      <c r="AU607" s="272"/>
      <c r="AV607" s="272"/>
      <c r="AW607" s="119"/>
      <c r="AX607" s="117" t="s">
        <v>201</v>
      </c>
    </row>
    <row r="608" spans="1:50" s="95" customFormat="1" ht="54" customHeight="1" x14ac:dyDescent="0.25">
      <c r="A608" s="311"/>
      <c r="B608" s="115" t="s">
        <v>224</v>
      </c>
      <c r="C608" s="115" t="s">
        <v>205</v>
      </c>
      <c r="D608" s="117" t="s">
        <v>197</v>
      </c>
      <c r="E608" s="117" t="s">
        <v>70</v>
      </c>
      <c r="F608" s="272"/>
      <c r="G608" s="119" t="s">
        <v>227</v>
      </c>
      <c r="H608" s="292">
        <v>15</v>
      </c>
      <c r="I608" s="238">
        <v>0</v>
      </c>
      <c r="J608" s="230">
        <v>0</v>
      </c>
      <c r="K608" s="224">
        <v>12</v>
      </c>
      <c r="L608" s="226">
        <v>0</v>
      </c>
      <c r="M608" s="232">
        <v>0</v>
      </c>
      <c r="N608" s="278">
        <f t="shared" si="679"/>
        <v>12</v>
      </c>
      <c r="O608" s="242">
        <v>10</v>
      </c>
      <c r="P608" s="71"/>
      <c r="Q608" s="272"/>
      <c r="R608" s="119" t="s">
        <v>428</v>
      </c>
      <c r="S608" s="120" t="s">
        <v>232</v>
      </c>
      <c r="T608" s="251"/>
      <c r="U608" s="251">
        <v>50</v>
      </c>
      <c r="V608" s="238">
        <v>0</v>
      </c>
      <c r="W608" s="230">
        <v>0</v>
      </c>
      <c r="X608" s="224">
        <v>12</v>
      </c>
      <c r="Y608" s="226">
        <v>0</v>
      </c>
      <c r="Z608" s="232">
        <v>0</v>
      </c>
      <c r="AA608" s="278">
        <f t="shared" si="677"/>
        <v>12</v>
      </c>
      <c r="AB608" s="242">
        <v>30</v>
      </c>
      <c r="AC608" s="251">
        <v>50</v>
      </c>
      <c r="AD608" s="238">
        <v>0</v>
      </c>
      <c r="AE608" s="230">
        <v>0</v>
      </c>
      <c r="AF608" s="224">
        <v>22</v>
      </c>
      <c r="AG608" s="226">
        <v>0</v>
      </c>
      <c r="AH608" s="232">
        <v>0</v>
      </c>
      <c r="AI608" s="278">
        <f t="shared" si="678"/>
        <v>22</v>
      </c>
      <c r="AJ608" s="242">
        <v>20</v>
      </c>
      <c r="AK608" s="272"/>
      <c r="AL608" s="272"/>
      <c r="AM608" s="243"/>
      <c r="AN608" s="272"/>
      <c r="AO608" s="72"/>
      <c r="AP608" s="119" t="s">
        <v>432</v>
      </c>
      <c r="AQ608" s="272">
        <v>50</v>
      </c>
      <c r="AR608" s="281">
        <v>50</v>
      </c>
      <c r="AS608" s="282">
        <v>0</v>
      </c>
      <c r="AT608" s="283">
        <v>0</v>
      </c>
      <c r="AU608" s="272"/>
      <c r="AV608" s="272"/>
      <c r="AW608" s="119"/>
      <c r="AX608" s="117" t="s">
        <v>201</v>
      </c>
    </row>
    <row r="609" spans="1:50" s="95" customFormat="1" ht="54" customHeight="1" x14ac:dyDescent="0.25">
      <c r="A609" s="311"/>
      <c r="B609" s="115" t="s">
        <v>224</v>
      </c>
      <c r="C609" s="115" t="s">
        <v>205</v>
      </c>
      <c r="D609" s="117" t="s">
        <v>197</v>
      </c>
      <c r="E609" s="117" t="s">
        <v>70</v>
      </c>
      <c r="F609" s="272"/>
      <c r="G609" s="119" t="s">
        <v>227</v>
      </c>
      <c r="H609" s="292"/>
      <c r="I609" s="239"/>
      <c r="J609" s="231"/>
      <c r="K609" s="225"/>
      <c r="L609" s="227"/>
      <c r="M609" s="233"/>
      <c r="N609" s="278">
        <f t="shared" si="679"/>
        <v>0</v>
      </c>
      <c r="O609" s="242"/>
      <c r="P609" s="71"/>
      <c r="Q609" s="272"/>
      <c r="R609" s="119" t="s">
        <v>51</v>
      </c>
      <c r="S609" s="120" t="s">
        <v>433</v>
      </c>
      <c r="T609" s="251"/>
      <c r="U609" s="251"/>
      <c r="V609" s="239"/>
      <c r="W609" s="231"/>
      <c r="X609" s="225"/>
      <c r="Y609" s="227"/>
      <c r="Z609" s="233"/>
      <c r="AA609" s="278">
        <f t="shared" si="677"/>
        <v>0</v>
      </c>
      <c r="AB609" s="242"/>
      <c r="AC609" s="251"/>
      <c r="AD609" s="239"/>
      <c r="AE609" s="231"/>
      <c r="AF609" s="225"/>
      <c r="AG609" s="227"/>
      <c r="AH609" s="233"/>
      <c r="AI609" s="278">
        <f t="shared" si="678"/>
        <v>0</v>
      </c>
      <c r="AJ609" s="242"/>
      <c r="AK609" s="272"/>
      <c r="AL609" s="272"/>
      <c r="AM609" s="243"/>
      <c r="AN609" s="272"/>
      <c r="AO609" s="72"/>
      <c r="AP609" s="119" t="s">
        <v>432</v>
      </c>
      <c r="AQ609" s="272"/>
      <c r="AR609" s="281"/>
      <c r="AS609" s="282"/>
      <c r="AT609" s="283"/>
      <c r="AU609" s="272"/>
      <c r="AV609" s="272"/>
      <c r="AW609" s="119"/>
      <c r="AX609" s="117" t="s">
        <v>201</v>
      </c>
    </row>
    <row r="610" spans="1:50" s="95" customFormat="1" ht="54" customHeight="1" x14ac:dyDescent="0.25">
      <c r="A610" s="311"/>
      <c r="B610" s="115" t="s">
        <v>224</v>
      </c>
      <c r="C610" s="115" t="s">
        <v>205</v>
      </c>
      <c r="D610" s="117" t="s">
        <v>197</v>
      </c>
      <c r="E610" s="117" t="s">
        <v>70</v>
      </c>
      <c r="F610" s="272"/>
      <c r="G610" s="119" t="s">
        <v>234</v>
      </c>
      <c r="H610" s="121">
        <v>30</v>
      </c>
      <c r="I610" s="199">
        <v>0</v>
      </c>
      <c r="J610" s="103">
        <v>0</v>
      </c>
      <c r="K610" s="104">
        <v>8</v>
      </c>
      <c r="L610" s="105">
        <v>0</v>
      </c>
      <c r="M610" s="106">
        <v>2</v>
      </c>
      <c r="N610" s="133">
        <f t="shared" si="679"/>
        <v>10</v>
      </c>
      <c r="O610" s="71">
        <v>20</v>
      </c>
      <c r="P610" s="71"/>
      <c r="Q610" s="251"/>
      <c r="R610" s="119" t="s">
        <v>427</v>
      </c>
      <c r="S610" s="120" t="s">
        <v>232</v>
      </c>
      <c r="T610" s="251"/>
      <c r="U610" s="119">
        <v>30</v>
      </c>
      <c r="V610" s="199">
        <v>0</v>
      </c>
      <c r="W610" s="103">
        <v>0</v>
      </c>
      <c r="X610" s="104">
        <v>8</v>
      </c>
      <c r="Y610" s="105">
        <v>0</v>
      </c>
      <c r="Z610" s="106">
        <v>2</v>
      </c>
      <c r="AA610" s="133">
        <f t="shared" si="677"/>
        <v>10</v>
      </c>
      <c r="AB610" s="71">
        <v>20</v>
      </c>
      <c r="AC610" s="119">
        <v>10</v>
      </c>
      <c r="AD610" s="199">
        <v>0</v>
      </c>
      <c r="AE610" s="103">
        <v>0</v>
      </c>
      <c r="AF610" s="104">
        <v>8</v>
      </c>
      <c r="AG610" s="105">
        <v>0</v>
      </c>
      <c r="AH610" s="106">
        <v>2</v>
      </c>
      <c r="AI610" s="133">
        <f t="shared" si="678"/>
        <v>10</v>
      </c>
      <c r="AJ610" s="71">
        <v>0</v>
      </c>
      <c r="AK610" s="119"/>
      <c r="AL610" s="119"/>
      <c r="AM610" s="46"/>
      <c r="AN610" s="119"/>
      <c r="AO610" s="46"/>
      <c r="AP610" s="119" t="s">
        <v>432</v>
      </c>
      <c r="AQ610" s="119">
        <v>10</v>
      </c>
      <c r="AR610" s="161">
        <v>10</v>
      </c>
      <c r="AS610" s="162">
        <v>0</v>
      </c>
      <c r="AT610" s="163">
        <v>0</v>
      </c>
      <c r="AU610" s="136"/>
      <c r="AV610" s="136"/>
      <c r="AW610" s="119"/>
      <c r="AX610" s="117" t="s">
        <v>201</v>
      </c>
    </row>
    <row r="611" spans="1:50" s="95" customFormat="1" ht="54" customHeight="1" x14ac:dyDescent="0.25">
      <c r="A611" s="311"/>
      <c r="B611" s="115" t="s">
        <v>224</v>
      </c>
      <c r="C611" s="115" t="s">
        <v>205</v>
      </c>
      <c r="D611" s="117" t="s">
        <v>197</v>
      </c>
      <c r="E611" s="117" t="s">
        <v>70</v>
      </c>
      <c r="F611" s="272"/>
      <c r="G611" s="119" t="s">
        <v>234</v>
      </c>
      <c r="H611" s="121">
        <v>5</v>
      </c>
      <c r="I611" s="199">
        <v>0</v>
      </c>
      <c r="J611" s="103">
        <v>0</v>
      </c>
      <c r="K611" s="104">
        <v>5</v>
      </c>
      <c r="L611" s="105">
        <v>0</v>
      </c>
      <c r="M611" s="106">
        <v>0</v>
      </c>
      <c r="N611" s="133">
        <f t="shared" si="679"/>
        <v>5</v>
      </c>
      <c r="O611" s="71">
        <v>0</v>
      </c>
      <c r="P611" s="71"/>
      <c r="Q611" s="251"/>
      <c r="R611" s="119" t="s">
        <v>51</v>
      </c>
      <c r="S611" s="119" t="s">
        <v>433</v>
      </c>
      <c r="T611" s="119" t="s">
        <v>73</v>
      </c>
      <c r="U611" s="119">
        <v>15</v>
      </c>
      <c r="V611" s="199">
        <v>0</v>
      </c>
      <c r="W611" s="103">
        <v>0</v>
      </c>
      <c r="X611" s="104">
        <v>5</v>
      </c>
      <c r="Y611" s="105">
        <v>0</v>
      </c>
      <c r="Z611" s="106">
        <v>0</v>
      </c>
      <c r="AA611" s="133">
        <f t="shared" si="677"/>
        <v>5</v>
      </c>
      <c r="AB611" s="71">
        <v>10</v>
      </c>
      <c r="AC611" s="119">
        <v>5</v>
      </c>
      <c r="AD611" s="199">
        <v>0</v>
      </c>
      <c r="AE611" s="103">
        <v>0</v>
      </c>
      <c r="AF611" s="104">
        <v>5</v>
      </c>
      <c r="AG611" s="105">
        <v>0</v>
      </c>
      <c r="AH611" s="106">
        <v>0</v>
      </c>
      <c r="AI611" s="133">
        <f t="shared" si="678"/>
        <v>5</v>
      </c>
      <c r="AJ611" s="71">
        <v>0</v>
      </c>
      <c r="AK611" s="119"/>
      <c r="AL611" s="119"/>
      <c r="AM611" s="46"/>
      <c r="AN611" s="119"/>
      <c r="AO611" s="46"/>
      <c r="AP611" s="119" t="s">
        <v>432</v>
      </c>
      <c r="AQ611" s="136">
        <v>5</v>
      </c>
      <c r="AR611" s="161">
        <v>5</v>
      </c>
      <c r="AS611" s="162">
        <v>0</v>
      </c>
      <c r="AT611" s="163">
        <v>0</v>
      </c>
      <c r="AU611" s="136"/>
      <c r="AV611" s="136"/>
      <c r="AW611" s="119"/>
      <c r="AX611" s="117" t="s">
        <v>201</v>
      </c>
    </row>
    <row r="612" spans="1:50" s="95" customFormat="1" ht="72" x14ac:dyDescent="0.25">
      <c r="A612" s="311"/>
      <c r="B612" s="115" t="s">
        <v>224</v>
      </c>
      <c r="C612" s="115" t="s">
        <v>205</v>
      </c>
      <c r="D612" s="117" t="s">
        <v>197</v>
      </c>
      <c r="E612" s="117" t="s">
        <v>70</v>
      </c>
      <c r="F612" s="272"/>
      <c r="G612" s="119" t="s">
        <v>172</v>
      </c>
      <c r="H612" s="151">
        <v>35</v>
      </c>
      <c r="I612" s="197">
        <v>0</v>
      </c>
      <c r="J612" s="90">
        <v>1</v>
      </c>
      <c r="K612" s="91">
        <v>5</v>
      </c>
      <c r="L612" s="92">
        <v>10</v>
      </c>
      <c r="M612" s="81">
        <v>4</v>
      </c>
      <c r="N612" s="133">
        <f t="shared" si="679"/>
        <v>20</v>
      </c>
      <c r="O612" s="71">
        <v>10</v>
      </c>
      <c r="P612" s="71"/>
      <c r="Q612" s="137"/>
      <c r="R612" s="119" t="s">
        <v>173</v>
      </c>
      <c r="S612" s="120" t="s">
        <v>232</v>
      </c>
      <c r="T612" s="119" t="s">
        <v>53</v>
      </c>
      <c r="U612" s="119">
        <v>80</v>
      </c>
      <c r="V612" s="197">
        <v>0</v>
      </c>
      <c r="W612" s="90">
        <v>1</v>
      </c>
      <c r="X612" s="91">
        <v>5</v>
      </c>
      <c r="Y612" s="92">
        <v>10</v>
      </c>
      <c r="Z612" s="81">
        <v>4</v>
      </c>
      <c r="AA612" s="133">
        <f t="shared" si="677"/>
        <v>20</v>
      </c>
      <c r="AB612" s="71">
        <v>55</v>
      </c>
      <c r="AC612" s="119">
        <v>100</v>
      </c>
      <c r="AD612" s="197">
        <v>0</v>
      </c>
      <c r="AE612" s="90">
        <v>2</v>
      </c>
      <c r="AF612" s="91">
        <v>2</v>
      </c>
      <c r="AG612" s="92">
        <v>0</v>
      </c>
      <c r="AH612" s="81">
        <v>2</v>
      </c>
      <c r="AI612" s="133">
        <f t="shared" si="678"/>
        <v>6</v>
      </c>
      <c r="AJ612" s="71">
        <v>90</v>
      </c>
      <c r="AK612" s="136"/>
      <c r="AL612" s="136"/>
      <c r="AM612" s="72"/>
      <c r="AN612" s="136"/>
      <c r="AO612" s="72"/>
      <c r="AP612" s="119" t="s">
        <v>432</v>
      </c>
      <c r="AQ612" s="136">
        <v>100</v>
      </c>
      <c r="AR612" s="161">
        <v>100</v>
      </c>
      <c r="AS612" s="162">
        <v>0</v>
      </c>
      <c r="AT612" s="163">
        <v>0</v>
      </c>
      <c r="AU612" s="175"/>
      <c r="AV612" s="137"/>
      <c r="AW612" s="119"/>
      <c r="AX612" s="117" t="s">
        <v>201</v>
      </c>
    </row>
    <row r="613" spans="1:50" s="95" customFormat="1" ht="36" x14ac:dyDescent="0.25">
      <c r="A613" s="311"/>
      <c r="B613" s="115" t="s">
        <v>224</v>
      </c>
      <c r="C613" s="115" t="s">
        <v>205</v>
      </c>
      <c r="D613" s="117" t="s">
        <v>197</v>
      </c>
      <c r="E613" s="117" t="s">
        <v>70</v>
      </c>
      <c r="F613" s="142" t="s">
        <v>61</v>
      </c>
      <c r="G613" s="127"/>
      <c r="H613" s="143">
        <f>SUM(H606:H612)</f>
        <v>185</v>
      </c>
      <c r="I613" s="143">
        <f t="shared" ref="I613" si="698">SUM(I606:I612)</f>
        <v>0</v>
      </c>
      <c r="J613" s="143">
        <f t="shared" ref="J613:M613" si="699">SUM(J606:J612)</f>
        <v>1</v>
      </c>
      <c r="K613" s="143">
        <f t="shared" si="699"/>
        <v>70</v>
      </c>
      <c r="L613" s="143">
        <f t="shared" si="699"/>
        <v>35</v>
      </c>
      <c r="M613" s="143">
        <f t="shared" si="699"/>
        <v>26</v>
      </c>
      <c r="N613" s="143">
        <f t="shared" si="679"/>
        <v>132</v>
      </c>
      <c r="O613" s="143">
        <f t="shared" ref="O613" si="700">SUM(O606:O612)</f>
        <v>55</v>
      </c>
      <c r="P613" s="143"/>
      <c r="Q613" s="177"/>
      <c r="R613" s="129"/>
      <c r="S613" s="178"/>
      <c r="T613" s="179"/>
      <c r="U613" s="143">
        <f>SUM(U606:U612)</f>
        <v>375</v>
      </c>
      <c r="V613" s="143">
        <f t="shared" ref="V613" si="701">SUM(V606:V612)</f>
        <v>0</v>
      </c>
      <c r="W613" s="143">
        <f t="shared" ref="W613:Z613" si="702">SUM(W606:W612)</f>
        <v>1</v>
      </c>
      <c r="X613" s="143">
        <f t="shared" si="702"/>
        <v>70</v>
      </c>
      <c r="Y613" s="143">
        <f t="shared" si="702"/>
        <v>35</v>
      </c>
      <c r="Z613" s="143">
        <f t="shared" si="702"/>
        <v>26</v>
      </c>
      <c r="AA613" s="143">
        <f t="shared" si="677"/>
        <v>132</v>
      </c>
      <c r="AB613" s="143">
        <f t="shared" ref="AB613:AJ613" si="703">SUM(AB606:AB612)</f>
        <v>230</v>
      </c>
      <c r="AC613" s="143">
        <f t="shared" si="703"/>
        <v>365</v>
      </c>
      <c r="AD613" s="143">
        <f t="shared" si="703"/>
        <v>0</v>
      </c>
      <c r="AE613" s="143">
        <f t="shared" si="703"/>
        <v>2</v>
      </c>
      <c r="AF613" s="143">
        <f t="shared" si="703"/>
        <v>82</v>
      </c>
      <c r="AG613" s="143">
        <f t="shared" si="703"/>
        <v>0</v>
      </c>
      <c r="AH613" s="143">
        <f t="shared" si="703"/>
        <v>24</v>
      </c>
      <c r="AI613" s="143">
        <f t="shared" si="678"/>
        <v>108</v>
      </c>
      <c r="AJ613" s="143">
        <f t="shared" si="703"/>
        <v>220</v>
      </c>
      <c r="AK613" s="142"/>
      <c r="AL613" s="142"/>
      <c r="AM613" s="142"/>
      <c r="AN613" s="142"/>
      <c r="AO613" s="142"/>
      <c r="AP613" s="127"/>
      <c r="AQ613" s="143">
        <f>SUM(AQ606:AQ612)</f>
        <v>365</v>
      </c>
      <c r="AR613" s="143">
        <f>SUM(AR606:AR612)</f>
        <v>365</v>
      </c>
      <c r="AS613" s="143">
        <f>SUM(AS606:AS612)</f>
        <v>0</v>
      </c>
      <c r="AT613" s="143">
        <f>SUM(AT606:AT612)</f>
        <v>0</v>
      </c>
      <c r="AU613" s="180"/>
      <c r="AV613" s="177"/>
      <c r="AW613" s="127"/>
      <c r="AX613" s="127" t="s">
        <v>201</v>
      </c>
    </row>
    <row r="614" spans="1:50" s="77" customFormat="1" ht="56.25" x14ac:dyDescent="0.25">
      <c r="A614" s="311"/>
      <c r="B614" s="115" t="s">
        <v>224</v>
      </c>
      <c r="C614" s="115" t="s">
        <v>206</v>
      </c>
      <c r="D614" s="117" t="s">
        <v>197</v>
      </c>
      <c r="E614" s="117" t="s">
        <v>70</v>
      </c>
      <c r="F614" s="272" t="s">
        <v>49</v>
      </c>
      <c r="G614" s="119" t="s">
        <v>231</v>
      </c>
      <c r="H614" s="292">
        <v>25</v>
      </c>
      <c r="I614" s="238">
        <v>0</v>
      </c>
      <c r="J614" s="230">
        <v>20</v>
      </c>
      <c r="K614" s="224">
        <v>20</v>
      </c>
      <c r="L614" s="226">
        <v>25</v>
      </c>
      <c r="M614" s="232">
        <v>20</v>
      </c>
      <c r="N614" s="234">
        <f t="shared" si="679"/>
        <v>85</v>
      </c>
      <c r="O614" s="243">
        <v>5</v>
      </c>
      <c r="P614" s="72"/>
      <c r="Q614" s="272"/>
      <c r="R614" s="119" t="s">
        <v>114</v>
      </c>
      <c r="S614" s="120" t="s">
        <v>434</v>
      </c>
      <c r="T614" s="251" t="s">
        <v>73</v>
      </c>
      <c r="U614" s="272">
        <v>50</v>
      </c>
      <c r="V614" s="238">
        <v>0</v>
      </c>
      <c r="W614" s="230">
        <v>20</v>
      </c>
      <c r="X614" s="224">
        <v>20</v>
      </c>
      <c r="Y614" s="226">
        <v>25</v>
      </c>
      <c r="Z614" s="232">
        <v>20</v>
      </c>
      <c r="AA614" s="234">
        <f t="shared" si="677"/>
        <v>85</v>
      </c>
      <c r="AB614" s="243">
        <v>15</v>
      </c>
      <c r="AC614" s="272">
        <v>50</v>
      </c>
      <c r="AD614" s="238">
        <v>0</v>
      </c>
      <c r="AE614" s="230">
        <v>10</v>
      </c>
      <c r="AF614" s="224">
        <v>10</v>
      </c>
      <c r="AG614" s="226">
        <v>0</v>
      </c>
      <c r="AH614" s="232">
        <v>10</v>
      </c>
      <c r="AI614" s="278">
        <f t="shared" si="678"/>
        <v>30</v>
      </c>
      <c r="AJ614" s="242">
        <v>15</v>
      </c>
      <c r="AK614" s="272"/>
      <c r="AL614" s="272"/>
      <c r="AM614" s="243"/>
      <c r="AN614" s="272"/>
      <c r="AO614" s="72"/>
      <c r="AP614" s="119" t="s">
        <v>204</v>
      </c>
      <c r="AQ614" s="272">
        <v>50</v>
      </c>
      <c r="AR614" s="281">
        <v>50</v>
      </c>
      <c r="AS614" s="282">
        <v>0</v>
      </c>
      <c r="AT614" s="283">
        <v>0</v>
      </c>
      <c r="AU614" s="272"/>
      <c r="AV614" s="272"/>
      <c r="AW614" s="119"/>
      <c r="AX614" s="117" t="s">
        <v>201</v>
      </c>
    </row>
    <row r="615" spans="1:50" s="77" customFormat="1" ht="54" x14ac:dyDescent="0.25">
      <c r="A615" s="311"/>
      <c r="B615" s="115" t="s">
        <v>224</v>
      </c>
      <c r="C615" s="115" t="s">
        <v>206</v>
      </c>
      <c r="D615" s="117" t="s">
        <v>197</v>
      </c>
      <c r="E615" s="117" t="s">
        <v>70</v>
      </c>
      <c r="F615" s="272"/>
      <c r="G615" s="119" t="s">
        <v>231</v>
      </c>
      <c r="H615" s="292"/>
      <c r="I615" s="239"/>
      <c r="J615" s="231"/>
      <c r="K615" s="225"/>
      <c r="L615" s="227"/>
      <c r="M615" s="233"/>
      <c r="N615" s="234">
        <f t="shared" si="679"/>
        <v>0</v>
      </c>
      <c r="O615" s="243"/>
      <c r="P615" s="72"/>
      <c r="Q615" s="272"/>
      <c r="R615" s="119" t="s">
        <v>427</v>
      </c>
      <c r="S615" s="120" t="s">
        <v>232</v>
      </c>
      <c r="T615" s="251"/>
      <c r="U615" s="272"/>
      <c r="V615" s="239"/>
      <c r="W615" s="231"/>
      <c r="X615" s="225"/>
      <c r="Y615" s="227"/>
      <c r="Z615" s="233"/>
      <c r="AA615" s="234">
        <f t="shared" si="677"/>
        <v>0</v>
      </c>
      <c r="AB615" s="243"/>
      <c r="AC615" s="272"/>
      <c r="AD615" s="239"/>
      <c r="AE615" s="231"/>
      <c r="AF615" s="225"/>
      <c r="AG615" s="227"/>
      <c r="AH615" s="233"/>
      <c r="AI615" s="278">
        <f t="shared" si="678"/>
        <v>0</v>
      </c>
      <c r="AJ615" s="242"/>
      <c r="AK615" s="272"/>
      <c r="AL615" s="272"/>
      <c r="AM615" s="243"/>
      <c r="AN615" s="272"/>
      <c r="AO615" s="72"/>
      <c r="AP615" s="119" t="s">
        <v>204</v>
      </c>
      <c r="AQ615" s="272"/>
      <c r="AR615" s="281"/>
      <c r="AS615" s="282"/>
      <c r="AT615" s="283"/>
      <c r="AU615" s="272"/>
      <c r="AV615" s="272"/>
      <c r="AW615" s="119"/>
      <c r="AX615" s="117" t="s">
        <v>201</v>
      </c>
    </row>
    <row r="616" spans="1:50" s="77" customFormat="1" ht="54" x14ac:dyDescent="0.25">
      <c r="A616" s="311"/>
      <c r="B616" s="115" t="s">
        <v>224</v>
      </c>
      <c r="C616" s="115" t="s">
        <v>206</v>
      </c>
      <c r="D616" s="117" t="s">
        <v>197</v>
      </c>
      <c r="E616" s="117" t="s">
        <v>70</v>
      </c>
      <c r="F616" s="272"/>
      <c r="G616" s="136" t="s">
        <v>227</v>
      </c>
      <c r="H616" s="292">
        <v>5</v>
      </c>
      <c r="I616" s="238">
        <v>0</v>
      </c>
      <c r="J616" s="230">
        <v>0</v>
      </c>
      <c r="K616" s="224">
        <v>0</v>
      </c>
      <c r="L616" s="226">
        <v>0</v>
      </c>
      <c r="M616" s="232">
        <v>0</v>
      </c>
      <c r="N616" s="234">
        <f t="shared" si="679"/>
        <v>0</v>
      </c>
      <c r="O616" s="243">
        <v>4</v>
      </c>
      <c r="P616" s="72"/>
      <c r="Q616" s="272"/>
      <c r="R616" s="119" t="s">
        <v>114</v>
      </c>
      <c r="S616" s="120" t="s">
        <v>435</v>
      </c>
      <c r="T616" s="251"/>
      <c r="U616" s="272">
        <v>20</v>
      </c>
      <c r="V616" s="238">
        <v>0</v>
      </c>
      <c r="W616" s="230">
        <v>0</v>
      </c>
      <c r="X616" s="224">
        <v>0</v>
      </c>
      <c r="Y616" s="226">
        <v>0</v>
      </c>
      <c r="Z616" s="232">
        <v>0</v>
      </c>
      <c r="AA616" s="234">
        <f t="shared" si="677"/>
        <v>0</v>
      </c>
      <c r="AB616" s="243">
        <v>15</v>
      </c>
      <c r="AC616" s="272">
        <v>5</v>
      </c>
      <c r="AD616" s="238">
        <v>0</v>
      </c>
      <c r="AE616" s="230">
        <v>0</v>
      </c>
      <c r="AF616" s="224">
        <v>0</v>
      </c>
      <c r="AG616" s="226">
        <v>0</v>
      </c>
      <c r="AH616" s="232">
        <v>0</v>
      </c>
      <c r="AI616" s="278">
        <f t="shared" si="678"/>
        <v>0</v>
      </c>
      <c r="AJ616" s="242">
        <v>0</v>
      </c>
      <c r="AK616" s="272"/>
      <c r="AL616" s="272"/>
      <c r="AM616" s="243"/>
      <c r="AN616" s="272"/>
      <c r="AO616" s="72"/>
      <c r="AP616" s="119" t="s">
        <v>204</v>
      </c>
      <c r="AQ616" s="272">
        <v>5</v>
      </c>
      <c r="AR616" s="281">
        <v>5</v>
      </c>
      <c r="AS616" s="282">
        <v>0</v>
      </c>
      <c r="AT616" s="283">
        <v>0</v>
      </c>
      <c r="AU616" s="272"/>
      <c r="AV616" s="272"/>
      <c r="AW616" s="119"/>
      <c r="AX616" s="117" t="s">
        <v>201</v>
      </c>
    </row>
    <row r="617" spans="1:50" s="77" customFormat="1" ht="54" x14ac:dyDescent="0.25">
      <c r="A617" s="311"/>
      <c r="B617" s="115" t="s">
        <v>224</v>
      </c>
      <c r="C617" s="115" t="s">
        <v>206</v>
      </c>
      <c r="D617" s="117" t="s">
        <v>197</v>
      </c>
      <c r="E617" s="117" t="s">
        <v>70</v>
      </c>
      <c r="F617" s="272"/>
      <c r="G617" s="136" t="s">
        <v>227</v>
      </c>
      <c r="H617" s="292"/>
      <c r="I617" s="239"/>
      <c r="J617" s="231"/>
      <c r="K617" s="225"/>
      <c r="L617" s="227"/>
      <c r="M617" s="233"/>
      <c r="N617" s="234">
        <f t="shared" si="679"/>
        <v>0</v>
      </c>
      <c r="O617" s="243"/>
      <c r="P617" s="72"/>
      <c r="Q617" s="272"/>
      <c r="R617" s="119" t="s">
        <v>428</v>
      </c>
      <c r="S617" s="120" t="s">
        <v>232</v>
      </c>
      <c r="T617" s="251"/>
      <c r="U617" s="272"/>
      <c r="V617" s="239"/>
      <c r="W617" s="231"/>
      <c r="X617" s="225"/>
      <c r="Y617" s="227"/>
      <c r="Z617" s="233"/>
      <c r="AA617" s="234">
        <f t="shared" si="677"/>
        <v>0</v>
      </c>
      <c r="AB617" s="243"/>
      <c r="AC617" s="272"/>
      <c r="AD617" s="239"/>
      <c r="AE617" s="231"/>
      <c r="AF617" s="225"/>
      <c r="AG617" s="227"/>
      <c r="AH617" s="233"/>
      <c r="AI617" s="278">
        <f t="shared" si="678"/>
        <v>0</v>
      </c>
      <c r="AJ617" s="242"/>
      <c r="AK617" s="272"/>
      <c r="AL617" s="272"/>
      <c r="AM617" s="243"/>
      <c r="AN617" s="272"/>
      <c r="AO617" s="72"/>
      <c r="AP617" s="119" t="s">
        <v>204</v>
      </c>
      <c r="AQ617" s="272"/>
      <c r="AR617" s="281"/>
      <c r="AS617" s="282"/>
      <c r="AT617" s="283"/>
      <c r="AU617" s="272"/>
      <c r="AV617" s="272"/>
      <c r="AW617" s="119"/>
      <c r="AX617" s="117" t="s">
        <v>201</v>
      </c>
    </row>
    <row r="618" spans="1:50" s="77" customFormat="1" ht="54" x14ac:dyDescent="0.25">
      <c r="A618" s="311"/>
      <c r="B618" s="115" t="s">
        <v>224</v>
      </c>
      <c r="C618" s="115" t="s">
        <v>206</v>
      </c>
      <c r="D618" s="117" t="s">
        <v>197</v>
      </c>
      <c r="E618" s="117" t="s">
        <v>70</v>
      </c>
      <c r="F618" s="272"/>
      <c r="G618" s="136" t="s">
        <v>234</v>
      </c>
      <c r="H618" s="292">
        <v>40</v>
      </c>
      <c r="I618" s="238">
        <v>0</v>
      </c>
      <c r="J618" s="230">
        <v>0</v>
      </c>
      <c r="K618" s="224">
        <v>8</v>
      </c>
      <c r="L618" s="226">
        <v>0</v>
      </c>
      <c r="M618" s="232">
        <v>2</v>
      </c>
      <c r="N618" s="278">
        <f t="shared" si="679"/>
        <v>10</v>
      </c>
      <c r="O618" s="242">
        <v>30</v>
      </c>
      <c r="P618" s="71"/>
      <c r="Q618" s="272"/>
      <c r="R618" s="119" t="s">
        <v>114</v>
      </c>
      <c r="S618" s="120" t="s">
        <v>436</v>
      </c>
      <c r="T618" s="251"/>
      <c r="U618" s="251">
        <v>40</v>
      </c>
      <c r="V618" s="238">
        <v>0</v>
      </c>
      <c r="W618" s="230">
        <v>0</v>
      </c>
      <c r="X618" s="224">
        <v>8</v>
      </c>
      <c r="Y618" s="226">
        <v>0</v>
      </c>
      <c r="Z618" s="232">
        <v>2</v>
      </c>
      <c r="AA618" s="278">
        <f t="shared" si="677"/>
        <v>10</v>
      </c>
      <c r="AB618" s="242">
        <v>30</v>
      </c>
      <c r="AC618" s="251">
        <v>5</v>
      </c>
      <c r="AD618" s="238">
        <v>0</v>
      </c>
      <c r="AE618" s="230">
        <v>0</v>
      </c>
      <c r="AF618" s="224">
        <v>8</v>
      </c>
      <c r="AG618" s="226">
        <v>0</v>
      </c>
      <c r="AH618" s="232">
        <v>2</v>
      </c>
      <c r="AI618" s="278">
        <f t="shared" si="678"/>
        <v>10</v>
      </c>
      <c r="AJ618" s="242">
        <v>0</v>
      </c>
      <c r="AK618" s="251"/>
      <c r="AL618" s="251"/>
      <c r="AM618" s="218"/>
      <c r="AN618" s="251"/>
      <c r="AO618" s="46"/>
      <c r="AP618" s="119" t="s">
        <v>204</v>
      </c>
      <c r="AQ618" s="251">
        <v>5</v>
      </c>
      <c r="AR618" s="281">
        <v>5</v>
      </c>
      <c r="AS618" s="282">
        <v>0</v>
      </c>
      <c r="AT618" s="283">
        <v>0</v>
      </c>
      <c r="AU618" s="251"/>
      <c r="AV618" s="251"/>
      <c r="AW618" s="119"/>
      <c r="AX618" s="117" t="s">
        <v>201</v>
      </c>
    </row>
    <row r="619" spans="1:50" s="77" customFormat="1" ht="54" x14ac:dyDescent="0.25">
      <c r="A619" s="311"/>
      <c r="B619" s="115" t="s">
        <v>224</v>
      </c>
      <c r="C619" s="115" t="s">
        <v>206</v>
      </c>
      <c r="D619" s="117" t="s">
        <v>197</v>
      </c>
      <c r="E619" s="117" t="s">
        <v>70</v>
      </c>
      <c r="F619" s="272"/>
      <c r="G619" s="136" t="s">
        <v>234</v>
      </c>
      <c r="H619" s="292"/>
      <c r="I619" s="239"/>
      <c r="J619" s="231"/>
      <c r="K619" s="225"/>
      <c r="L619" s="227"/>
      <c r="M619" s="233"/>
      <c r="N619" s="278">
        <f t="shared" si="679"/>
        <v>0</v>
      </c>
      <c r="O619" s="242"/>
      <c r="P619" s="71"/>
      <c r="Q619" s="272"/>
      <c r="R619" s="119" t="s">
        <v>427</v>
      </c>
      <c r="S619" s="120" t="s">
        <v>232</v>
      </c>
      <c r="T619" s="251"/>
      <c r="U619" s="251"/>
      <c r="V619" s="239"/>
      <c r="W619" s="231"/>
      <c r="X619" s="225"/>
      <c r="Y619" s="227"/>
      <c r="Z619" s="233"/>
      <c r="AA619" s="278">
        <f t="shared" si="677"/>
        <v>0</v>
      </c>
      <c r="AB619" s="242"/>
      <c r="AC619" s="251"/>
      <c r="AD619" s="239"/>
      <c r="AE619" s="231"/>
      <c r="AF619" s="225"/>
      <c r="AG619" s="227"/>
      <c r="AH619" s="233"/>
      <c r="AI619" s="278">
        <f t="shared" si="678"/>
        <v>0</v>
      </c>
      <c r="AJ619" s="242"/>
      <c r="AK619" s="251"/>
      <c r="AL619" s="251"/>
      <c r="AM619" s="218"/>
      <c r="AN619" s="251"/>
      <c r="AO619" s="46"/>
      <c r="AP619" s="119" t="s">
        <v>204</v>
      </c>
      <c r="AQ619" s="251"/>
      <c r="AR619" s="281"/>
      <c r="AS619" s="282"/>
      <c r="AT619" s="283"/>
      <c r="AU619" s="251"/>
      <c r="AV619" s="251"/>
      <c r="AW619" s="119"/>
      <c r="AX619" s="117" t="s">
        <v>201</v>
      </c>
    </row>
    <row r="620" spans="1:50" s="77" customFormat="1" ht="72" x14ac:dyDescent="0.25">
      <c r="A620" s="311"/>
      <c r="B620" s="115" t="s">
        <v>224</v>
      </c>
      <c r="C620" s="115" t="s">
        <v>206</v>
      </c>
      <c r="D620" s="117" t="s">
        <v>197</v>
      </c>
      <c r="E620" s="117" t="s">
        <v>70</v>
      </c>
      <c r="F620" s="272"/>
      <c r="G620" s="119" t="s">
        <v>172</v>
      </c>
      <c r="H620" s="151">
        <v>1</v>
      </c>
      <c r="I620" s="197">
        <v>0</v>
      </c>
      <c r="J620" s="90">
        <v>1</v>
      </c>
      <c r="K620" s="91">
        <v>5</v>
      </c>
      <c r="L620" s="92">
        <v>10</v>
      </c>
      <c r="M620" s="81">
        <v>4</v>
      </c>
      <c r="N620" s="133">
        <f t="shared" si="679"/>
        <v>20</v>
      </c>
      <c r="O620" s="71">
        <v>0</v>
      </c>
      <c r="P620" s="71"/>
      <c r="Q620" s="137"/>
      <c r="R620" s="119" t="s">
        <v>173</v>
      </c>
      <c r="S620" s="120" t="s">
        <v>232</v>
      </c>
      <c r="T620" s="119" t="s">
        <v>53</v>
      </c>
      <c r="U620" s="119">
        <v>20</v>
      </c>
      <c r="V620" s="197">
        <v>0</v>
      </c>
      <c r="W620" s="90">
        <v>1</v>
      </c>
      <c r="X620" s="91">
        <v>5</v>
      </c>
      <c r="Y620" s="92">
        <v>10</v>
      </c>
      <c r="Z620" s="81">
        <v>4</v>
      </c>
      <c r="AA620" s="133">
        <f t="shared" si="677"/>
        <v>20</v>
      </c>
      <c r="AB620" s="71">
        <v>0</v>
      </c>
      <c r="AC620" s="119">
        <v>20</v>
      </c>
      <c r="AD620" s="197">
        <v>0</v>
      </c>
      <c r="AE620" s="90">
        <v>2</v>
      </c>
      <c r="AF620" s="91">
        <v>2</v>
      </c>
      <c r="AG620" s="92">
        <v>0</v>
      </c>
      <c r="AH620" s="81">
        <v>2</v>
      </c>
      <c r="AI620" s="133">
        <f t="shared" si="678"/>
        <v>6</v>
      </c>
      <c r="AJ620" s="71">
        <v>10</v>
      </c>
      <c r="AK620" s="136"/>
      <c r="AL620" s="136"/>
      <c r="AM620" s="72"/>
      <c r="AN620" s="136"/>
      <c r="AO620" s="72"/>
      <c r="AP620" s="119" t="s">
        <v>204</v>
      </c>
      <c r="AQ620" s="136">
        <v>20</v>
      </c>
      <c r="AR620" s="161">
        <v>20</v>
      </c>
      <c r="AS620" s="162">
        <v>0</v>
      </c>
      <c r="AT620" s="163">
        <v>0</v>
      </c>
      <c r="AU620" s="175"/>
      <c r="AV620" s="137"/>
      <c r="AW620" s="119"/>
      <c r="AX620" s="117" t="s">
        <v>201</v>
      </c>
    </row>
    <row r="621" spans="1:50" s="181" customFormat="1" ht="36" x14ac:dyDescent="0.25">
      <c r="A621" s="311"/>
      <c r="B621" s="115" t="s">
        <v>224</v>
      </c>
      <c r="C621" s="115" t="s">
        <v>206</v>
      </c>
      <c r="D621" s="117" t="s">
        <v>197</v>
      </c>
      <c r="E621" s="117" t="s">
        <v>70</v>
      </c>
      <c r="F621" s="142" t="s">
        <v>61</v>
      </c>
      <c r="G621" s="127"/>
      <c r="H621" s="143">
        <f>SUM(H614:H620)</f>
        <v>71</v>
      </c>
      <c r="I621" s="143">
        <f t="shared" ref="I621" si="704">SUM(I614:I620)</f>
        <v>0</v>
      </c>
      <c r="J621" s="143">
        <f t="shared" ref="J621:M621" si="705">SUM(J614:J620)</f>
        <v>21</v>
      </c>
      <c r="K621" s="143">
        <f t="shared" si="705"/>
        <v>33</v>
      </c>
      <c r="L621" s="143">
        <f t="shared" si="705"/>
        <v>35</v>
      </c>
      <c r="M621" s="143">
        <f t="shared" si="705"/>
        <v>26</v>
      </c>
      <c r="N621" s="143">
        <f t="shared" si="679"/>
        <v>115</v>
      </c>
      <c r="O621" s="143">
        <f t="shared" ref="O621" si="706">SUM(O614:O620)</f>
        <v>39</v>
      </c>
      <c r="P621" s="143"/>
      <c r="Q621" s="177"/>
      <c r="R621" s="129"/>
      <c r="S621" s="178"/>
      <c r="T621" s="179"/>
      <c r="U621" s="143">
        <f>SUM(U614:U620)</f>
        <v>130</v>
      </c>
      <c r="V621" s="143">
        <f t="shared" ref="V621" si="707">SUM(V614:V620)</f>
        <v>0</v>
      </c>
      <c r="W621" s="143">
        <f t="shared" ref="W621:Z621" si="708">SUM(W614:W620)</f>
        <v>21</v>
      </c>
      <c r="X621" s="143">
        <f t="shared" si="708"/>
        <v>33</v>
      </c>
      <c r="Y621" s="143">
        <f t="shared" si="708"/>
        <v>35</v>
      </c>
      <c r="Z621" s="143">
        <f t="shared" si="708"/>
        <v>26</v>
      </c>
      <c r="AA621" s="143">
        <f t="shared" si="677"/>
        <v>115</v>
      </c>
      <c r="AB621" s="143">
        <f t="shared" ref="AB621:AJ621" si="709">SUM(AB614:AB620)</f>
        <v>60</v>
      </c>
      <c r="AC621" s="143">
        <f t="shared" si="709"/>
        <v>80</v>
      </c>
      <c r="AD621" s="143">
        <f t="shared" si="709"/>
        <v>0</v>
      </c>
      <c r="AE621" s="143">
        <f t="shared" si="709"/>
        <v>12</v>
      </c>
      <c r="AF621" s="143">
        <f t="shared" si="709"/>
        <v>20</v>
      </c>
      <c r="AG621" s="143">
        <f t="shared" si="709"/>
        <v>0</v>
      </c>
      <c r="AH621" s="143">
        <f t="shared" si="709"/>
        <v>14</v>
      </c>
      <c r="AI621" s="143">
        <f t="shared" si="678"/>
        <v>46</v>
      </c>
      <c r="AJ621" s="143">
        <f t="shared" si="709"/>
        <v>25</v>
      </c>
      <c r="AK621" s="142"/>
      <c r="AL621" s="142"/>
      <c r="AM621" s="142"/>
      <c r="AN621" s="142"/>
      <c r="AO621" s="142"/>
      <c r="AP621" s="127"/>
      <c r="AQ621" s="143">
        <f>SUM(AQ614:AQ620)</f>
        <v>80</v>
      </c>
      <c r="AR621" s="143">
        <f>SUM(AR614:AR620)</f>
        <v>80</v>
      </c>
      <c r="AS621" s="143">
        <f>SUM(AS614:AS620)</f>
        <v>0</v>
      </c>
      <c r="AT621" s="143">
        <f>SUM(AT614:AT620)</f>
        <v>0</v>
      </c>
      <c r="AU621" s="180"/>
      <c r="AV621" s="177"/>
      <c r="AW621" s="127"/>
      <c r="AX621" s="127" t="s">
        <v>201</v>
      </c>
    </row>
    <row r="622" spans="1:50" s="9" customFormat="1" ht="54" x14ac:dyDescent="0.25">
      <c r="A622" s="312"/>
      <c r="B622" s="115" t="s">
        <v>224</v>
      </c>
      <c r="C622" s="115" t="s">
        <v>437</v>
      </c>
      <c r="D622" s="117" t="s">
        <v>197</v>
      </c>
      <c r="E622" s="117" t="s">
        <v>268</v>
      </c>
      <c r="F622" s="272" t="s">
        <v>49</v>
      </c>
      <c r="G622" s="119" t="s">
        <v>231</v>
      </c>
      <c r="H622" s="121">
        <v>120</v>
      </c>
      <c r="I622" s="199">
        <v>0</v>
      </c>
      <c r="J622" s="103">
        <v>0</v>
      </c>
      <c r="K622" s="104">
        <v>40</v>
      </c>
      <c r="L622" s="105">
        <v>25</v>
      </c>
      <c r="M622" s="106">
        <v>20</v>
      </c>
      <c r="N622" s="70">
        <f t="shared" si="679"/>
        <v>85</v>
      </c>
      <c r="O622" s="72">
        <v>35</v>
      </c>
      <c r="P622" s="72"/>
      <c r="Q622" s="132"/>
      <c r="R622" s="119" t="s">
        <v>427</v>
      </c>
      <c r="S622" s="120" t="s">
        <v>232</v>
      </c>
      <c r="T622" s="251" t="s">
        <v>73</v>
      </c>
      <c r="U622" s="119">
        <v>120</v>
      </c>
      <c r="V622" s="199">
        <v>0</v>
      </c>
      <c r="W622" s="103">
        <v>0</v>
      </c>
      <c r="X622" s="104">
        <v>40</v>
      </c>
      <c r="Y622" s="105">
        <v>25</v>
      </c>
      <c r="Z622" s="106">
        <v>20</v>
      </c>
      <c r="AA622" s="70">
        <f t="shared" si="677"/>
        <v>85</v>
      </c>
      <c r="AB622" s="72">
        <v>35</v>
      </c>
      <c r="AC622" s="119">
        <v>120</v>
      </c>
      <c r="AD622" s="199">
        <v>0</v>
      </c>
      <c r="AE622" s="103">
        <v>0</v>
      </c>
      <c r="AF622" s="104">
        <v>40</v>
      </c>
      <c r="AG622" s="105">
        <v>0</v>
      </c>
      <c r="AH622" s="106">
        <v>20</v>
      </c>
      <c r="AI622" s="133">
        <f t="shared" si="678"/>
        <v>60</v>
      </c>
      <c r="AJ622" s="71">
        <v>35</v>
      </c>
      <c r="AK622" s="119"/>
      <c r="AL622" s="119"/>
      <c r="AM622" s="46"/>
      <c r="AN622" s="119"/>
      <c r="AO622" s="46"/>
      <c r="AP622" s="119" t="s">
        <v>204</v>
      </c>
      <c r="AQ622" s="119">
        <v>120</v>
      </c>
      <c r="AR622" s="161">
        <v>120</v>
      </c>
      <c r="AS622" s="162">
        <v>0</v>
      </c>
      <c r="AT622" s="163">
        <v>0</v>
      </c>
      <c r="AU622" s="119"/>
      <c r="AV622" s="119"/>
      <c r="AW622" s="119"/>
      <c r="AX622" s="117" t="s">
        <v>201</v>
      </c>
    </row>
    <row r="623" spans="1:50" s="9" customFormat="1" ht="54" x14ac:dyDescent="0.25">
      <c r="A623" s="312"/>
      <c r="B623" s="115" t="s">
        <v>224</v>
      </c>
      <c r="C623" s="115" t="s">
        <v>437</v>
      </c>
      <c r="D623" s="117" t="s">
        <v>197</v>
      </c>
      <c r="E623" s="117" t="s">
        <v>268</v>
      </c>
      <c r="F623" s="272"/>
      <c r="G623" s="119" t="s">
        <v>227</v>
      </c>
      <c r="H623" s="121">
        <v>20</v>
      </c>
      <c r="I623" s="199">
        <v>0</v>
      </c>
      <c r="J623" s="103">
        <v>0</v>
      </c>
      <c r="K623" s="104">
        <v>6</v>
      </c>
      <c r="L623" s="105">
        <v>0</v>
      </c>
      <c r="M623" s="106">
        <v>0</v>
      </c>
      <c r="N623" s="133">
        <f t="shared" si="679"/>
        <v>6</v>
      </c>
      <c r="O623" s="71">
        <v>10</v>
      </c>
      <c r="P623" s="71"/>
      <c r="Q623" s="132"/>
      <c r="R623" s="119" t="s">
        <v>173</v>
      </c>
      <c r="S623" s="120" t="s">
        <v>232</v>
      </c>
      <c r="T623" s="251"/>
      <c r="U623" s="119">
        <v>20</v>
      </c>
      <c r="V623" s="199">
        <v>0</v>
      </c>
      <c r="W623" s="103">
        <v>0</v>
      </c>
      <c r="X623" s="104">
        <v>6</v>
      </c>
      <c r="Y623" s="105">
        <v>0</v>
      </c>
      <c r="Z623" s="106">
        <v>0</v>
      </c>
      <c r="AA623" s="133">
        <f t="shared" si="677"/>
        <v>6</v>
      </c>
      <c r="AB623" s="71">
        <v>10</v>
      </c>
      <c r="AC623" s="119">
        <v>30</v>
      </c>
      <c r="AD623" s="199">
        <v>0</v>
      </c>
      <c r="AE623" s="103">
        <v>0</v>
      </c>
      <c r="AF623" s="104">
        <v>6</v>
      </c>
      <c r="AG623" s="105">
        <v>0</v>
      </c>
      <c r="AH623" s="106">
        <v>0</v>
      </c>
      <c r="AI623" s="133">
        <f t="shared" si="678"/>
        <v>6</v>
      </c>
      <c r="AJ623" s="71">
        <v>10</v>
      </c>
      <c r="AK623" s="119"/>
      <c r="AL623" s="119"/>
      <c r="AM623" s="46"/>
      <c r="AN623" s="119"/>
      <c r="AO623" s="46"/>
      <c r="AP623" s="119" t="s">
        <v>204</v>
      </c>
      <c r="AQ623" s="119">
        <v>30</v>
      </c>
      <c r="AR623" s="161">
        <v>30</v>
      </c>
      <c r="AS623" s="162">
        <v>0</v>
      </c>
      <c r="AT623" s="163">
        <v>0</v>
      </c>
      <c r="AU623" s="119"/>
      <c r="AV623" s="119"/>
      <c r="AW623" s="119"/>
      <c r="AX623" s="117" t="s">
        <v>201</v>
      </c>
    </row>
    <row r="624" spans="1:50" s="9" customFormat="1" ht="54" x14ac:dyDescent="0.25">
      <c r="A624" s="312"/>
      <c r="B624" s="115" t="s">
        <v>224</v>
      </c>
      <c r="C624" s="115" t="s">
        <v>437</v>
      </c>
      <c r="D624" s="117" t="s">
        <v>197</v>
      </c>
      <c r="E624" s="117" t="s">
        <v>268</v>
      </c>
      <c r="F624" s="272"/>
      <c r="G624" s="119" t="s">
        <v>229</v>
      </c>
      <c r="H624" s="121">
        <v>5</v>
      </c>
      <c r="I624" s="199">
        <v>0</v>
      </c>
      <c r="J624" s="103">
        <v>0</v>
      </c>
      <c r="K624" s="104">
        <v>5</v>
      </c>
      <c r="L624" s="105">
        <v>0</v>
      </c>
      <c r="M624" s="106">
        <v>1</v>
      </c>
      <c r="N624" s="133">
        <f t="shared" si="679"/>
        <v>6</v>
      </c>
      <c r="O624" s="71">
        <v>0</v>
      </c>
      <c r="P624" s="71"/>
      <c r="Q624" s="119"/>
      <c r="R624" s="119" t="s">
        <v>173</v>
      </c>
      <c r="S624" s="120" t="s">
        <v>232</v>
      </c>
      <c r="T624" s="251" t="s">
        <v>53</v>
      </c>
      <c r="U624" s="119">
        <v>5</v>
      </c>
      <c r="V624" s="199">
        <v>0</v>
      </c>
      <c r="W624" s="103">
        <v>0</v>
      </c>
      <c r="X624" s="104">
        <v>5</v>
      </c>
      <c r="Y624" s="105">
        <v>0</v>
      </c>
      <c r="Z624" s="106">
        <v>1</v>
      </c>
      <c r="AA624" s="133">
        <f t="shared" si="677"/>
        <v>6</v>
      </c>
      <c r="AB624" s="71">
        <v>0</v>
      </c>
      <c r="AC624" s="119">
        <v>5</v>
      </c>
      <c r="AD624" s="199">
        <v>0</v>
      </c>
      <c r="AE624" s="103">
        <v>0</v>
      </c>
      <c r="AF624" s="104">
        <v>5</v>
      </c>
      <c r="AG624" s="105">
        <v>0</v>
      </c>
      <c r="AH624" s="106">
        <v>1</v>
      </c>
      <c r="AI624" s="133">
        <f t="shared" si="678"/>
        <v>6</v>
      </c>
      <c r="AJ624" s="71">
        <v>0</v>
      </c>
      <c r="AK624" s="119"/>
      <c r="AL624" s="119"/>
      <c r="AM624" s="46"/>
      <c r="AN624" s="119"/>
      <c r="AO624" s="46"/>
      <c r="AP624" s="119" t="s">
        <v>204</v>
      </c>
      <c r="AQ624" s="119">
        <v>5</v>
      </c>
      <c r="AR624" s="161">
        <v>5</v>
      </c>
      <c r="AS624" s="162">
        <v>0</v>
      </c>
      <c r="AT624" s="163">
        <v>0</v>
      </c>
      <c r="AU624" s="119"/>
      <c r="AV624" s="119"/>
      <c r="AW624" s="119"/>
      <c r="AX624" s="117" t="s">
        <v>201</v>
      </c>
    </row>
    <row r="625" spans="1:286" s="9" customFormat="1" ht="36" x14ac:dyDescent="0.25">
      <c r="A625" s="312"/>
      <c r="B625" s="115" t="s">
        <v>224</v>
      </c>
      <c r="C625" s="115" t="s">
        <v>437</v>
      </c>
      <c r="D625" s="117" t="s">
        <v>197</v>
      </c>
      <c r="E625" s="117" t="s">
        <v>268</v>
      </c>
      <c r="F625" s="272"/>
      <c r="G625" s="119" t="s">
        <v>234</v>
      </c>
      <c r="H625" s="121">
        <v>10</v>
      </c>
      <c r="I625" s="199">
        <v>0</v>
      </c>
      <c r="J625" s="103">
        <v>0</v>
      </c>
      <c r="K625" s="104">
        <v>8</v>
      </c>
      <c r="L625" s="105">
        <v>0</v>
      </c>
      <c r="M625" s="106">
        <v>2</v>
      </c>
      <c r="N625" s="133">
        <f t="shared" si="679"/>
        <v>10</v>
      </c>
      <c r="O625" s="71">
        <v>0</v>
      </c>
      <c r="P625" s="71"/>
      <c r="Q625" s="132"/>
      <c r="R625" s="119" t="s">
        <v>427</v>
      </c>
      <c r="S625" s="120" t="s">
        <v>232</v>
      </c>
      <c r="T625" s="251"/>
      <c r="U625" s="119">
        <v>10</v>
      </c>
      <c r="V625" s="199">
        <v>0</v>
      </c>
      <c r="W625" s="103">
        <v>0</v>
      </c>
      <c r="X625" s="104">
        <v>8</v>
      </c>
      <c r="Y625" s="105">
        <v>0</v>
      </c>
      <c r="Z625" s="106">
        <v>2</v>
      </c>
      <c r="AA625" s="133">
        <f t="shared" si="677"/>
        <v>10</v>
      </c>
      <c r="AB625" s="71">
        <v>0</v>
      </c>
      <c r="AC625" s="119">
        <v>10</v>
      </c>
      <c r="AD625" s="199">
        <v>0</v>
      </c>
      <c r="AE625" s="103">
        <v>0</v>
      </c>
      <c r="AF625" s="104">
        <v>8</v>
      </c>
      <c r="AG625" s="105">
        <v>0</v>
      </c>
      <c r="AH625" s="106">
        <v>2</v>
      </c>
      <c r="AI625" s="133">
        <f t="shared" si="678"/>
        <v>10</v>
      </c>
      <c r="AJ625" s="71">
        <v>0</v>
      </c>
      <c r="AK625" s="119"/>
      <c r="AL625" s="119"/>
      <c r="AM625" s="46"/>
      <c r="AN625" s="119"/>
      <c r="AO625" s="46"/>
      <c r="AP625" s="119" t="s">
        <v>438</v>
      </c>
      <c r="AQ625" s="119">
        <v>10</v>
      </c>
      <c r="AR625" s="161">
        <v>10</v>
      </c>
      <c r="AS625" s="162">
        <v>0</v>
      </c>
      <c r="AT625" s="163">
        <v>0</v>
      </c>
      <c r="AU625" s="119"/>
      <c r="AV625" s="119"/>
      <c r="AW625" s="119"/>
      <c r="AX625" s="117" t="s">
        <v>201</v>
      </c>
    </row>
    <row r="626" spans="1:286" s="9" customFormat="1" ht="54" x14ac:dyDescent="0.25">
      <c r="A626" s="312"/>
      <c r="B626" s="115" t="s">
        <v>224</v>
      </c>
      <c r="C626" s="115" t="s">
        <v>437</v>
      </c>
      <c r="D626" s="117" t="s">
        <v>197</v>
      </c>
      <c r="E626" s="117" t="s">
        <v>268</v>
      </c>
      <c r="F626" s="272"/>
      <c r="G626" s="119" t="s">
        <v>172</v>
      </c>
      <c r="H626" s="121">
        <v>60</v>
      </c>
      <c r="I626" s="199">
        <v>0</v>
      </c>
      <c r="J626" s="103">
        <v>1</v>
      </c>
      <c r="K626" s="104">
        <v>30</v>
      </c>
      <c r="L626" s="105">
        <v>0</v>
      </c>
      <c r="M626" s="106">
        <v>4</v>
      </c>
      <c r="N626" s="133">
        <f t="shared" si="679"/>
        <v>35</v>
      </c>
      <c r="O626" s="71">
        <v>0</v>
      </c>
      <c r="P626" s="71"/>
      <c r="Q626" s="119"/>
      <c r="R626" s="119" t="s">
        <v>173</v>
      </c>
      <c r="S626" s="120" t="s">
        <v>232</v>
      </c>
      <c r="T626" s="251" t="s">
        <v>77</v>
      </c>
      <c r="U626" s="119">
        <v>60</v>
      </c>
      <c r="V626" s="199">
        <v>0</v>
      </c>
      <c r="W626" s="103">
        <v>1</v>
      </c>
      <c r="X626" s="104">
        <v>30</v>
      </c>
      <c r="Y626" s="105">
        <v>0</v>
      </c>
      <c r="Z626" s="106">
        <v>4</v>
      </c>
      <c r="AA626" s="133">
        <f t="shared" si="677"/>
        <v>35</v>
      </c>
      <c r="AB626" s="71">
        <v>0</v>
      </c>
      <c r="AC626" s="119">
        <v>150</v>
      </c>
      <c r="AD626" s="199">
        <v>0</v>
      </c>
      <c r="AE626" s="103">
        <v>2</v>
      </c>
      <c r="AF626" s="104">
        <v>50</v>
      </c>
      <c r="AG626" s="105">
        <v>0</v>
      </c>
      <c r="AH626" s="106">
        <v>20</v>
      </c>
      <c r="AI626" s="133">
        <f t="shared" si="678"/>
        <v>72</v>
      </c>
      <c r="AJ626" s="71">
        <v>0</v>
      </c>
      <c r="AK626" s="119"/>
      <c r="AL626" s="119"/>
      <c r="AM626" s="46"/>
      <c r="AN626" s="119"/>
      <c r="AO626" s="46"/>
      <c r="AP626" s="119" t="s">
        <v>204</v>
      </c>
      <c r="AQ626" s="119">
        <v>150</v>
      </c>
      <c r="AR626" s="161">
        <v>150</v>
      </c>
      <c r="AS626" s="162">
        <v>0</v>
      </c>
      <c r="AT626" s="163">
        <v>0</v>
      </c>
      <c r="AU626" s="119"/>
      <c r="AV626" s="119"/>
      <c r="AW626" s="119"/>
      <c r="AX626" s="117" t="s">
        <v>201</v>
      </c>
    </row>
    <row r="627" spans="1:286" s="9" customFormat="1" ht="54" x14ac:dyDescent="0.25">
      <c r="A627" s="312"/>
      <c r="B627" s="115" t="s">
        <v>224</v>
      </c>
      <c r="C627" s="115" t="s">
        <v>437</v>
      </c>
      <c r="D627" s="117" t="s">
        <v>197</v>
      </c>
      <c r="E627" s="117" t="s">
        <v>268</v>
      </c>
      <c r="F627" s="272"/>
      <c r="G627" s="119" t="s">
        <v>235</v>
      </c>
      <c r="H627" s="121">
        <v>5</v>
      </c>
      <c r="I627" s="199">
        <v>2</v>
      </c>
      <c r="J627" s="103">
        <v>5</v>
      </c>
      <c r="K627" s="104">
        <v>0</v>
      </c>
      <c r="L627" s="105">
        <v>0</v>
      </c>
      <c r="M627" s="106">
        <v>0</v>
      </c>
      <c r="N627" s="133">
        <f t="shared" si="679"/>
        <v>7</v>
      </c>
      <c r="O627" s="71">
        <v>0</v>
      </c>
      <c r="P627" s="71"/>
      <c r="Q627" s="119"/>
      <c r="R627" s="119" t="s">
        <v>173</v>
      </c>
      <c r="S627" s="120" t="s">
        <v>232</v>
      </c>
      <c r="T627" s="251"/>
      <c r="U627" s="119">
        <v>5</v>
      </c>
      <c r="V627" s="199">
        <v>2</v>
      </c>
      <c r="W627" s="103">
        <v>5</v>
      </c>
      <c r="X627" s="104">
        <v>0</v>
      </c>
      <c r="Y627" s="105">
        <v>0</v>
      </c>
      <c r="Z627" s="106">
        <v>0</v>
      </c>
      <c r="AA627" s="133">
        <f t="shared" si="677"/>
        <v>7</v>
      </c>
      <c r="AB627" s="71">
        <v>0</v>
      </c>
      <c r="AC627" s="119">
        <v>10</v>
      </c>
      <c r="AD627" s="199">
        <v>4</v>
      </c>
      <c r="AE627" s="103">
        <v>10</v>
      </c>
      <c r="AF627" s="104">
        <v>0</v>
      </c>
      <c r="AG627" s="105">
        <v>0</v>
      </c>
      <c r="AH627" s="106">
        <v>0</v>
      </c>
      <c r="AI627" s="133">
        <f t="shared" si="678"/>
        <v>14</v>
      </c>
      <c r="AJ627" s="71">
        <v>0</v>
      </c>
      <c r="AK627" s="119"/>
      <c r="AL627" s="119"/>
      <c r="AM627" s="46"/>
      <c r="AN627" s="119"/>
      <c r="AO627" s="46"/>
      <c r="AP627" s="119" t="s">
        <v>204</v>
      </c>
      <c r="AQ627" s="119">
        <v>10</v>
      </c>
      <c r="AR627" s="161">
        <v>10</v>
      </c>
      <c r="AS627" s="162">
        <v>0</v>
      </c>
      <c r="AT627" s="163">
        <v>0</v>
      </c>
      <c r="AU627" s="119"/>
      <c r="AV627" s="119"/>
      <c r="AW627" s="119"/>
      <c r="AX627" s="117" t="s">
        <v>201</v>
      </c>
    </row>
    <row r="628" spans="1:286" s="9" customFormat="1" ht="180" customHeight="1" x14ac:dyDescent="0.25">
      <c r="A628" s="312"/>
      <c r="B628" s="115" t="s">
        <v>224</v>
      </c>
      <c r="C628" s="115" t="s">
        <v>437</v>
      </c>
      <c r="D628" s="117" t="s">
        <v>197</v>
      </c>
      <c r="E628" s="117" t="s">
        <v>268</v>
      </c>
      <c r="F628" s="272"/>
      <c r="G628" s="119" t="s">
        <v>439</v>
      </c>
      <c r="H628" s="121">
        <v>2</v>
      </c>
      <c r="I628" s="199">
        <v>0</v>
      </c>
      <c r="J628" s="103">
        <v>0</v>
      </c>
      <c r="K628" s="104">
        <v>0</v>
      </c>
      <c r="L628" s="105">
        <v>0</v>
      </c>
      <c r="M628" s="106">
        <v>1</v>
      </c>
      <c r="N628" s="133">
        <f t="shared" si="679"/>
        <v>1</v>
      </c>
      <c r="O628" s="71">
        <v>0</v>
      </c>
      <c r="P628" s="71"/>
      <c r="Q628" s="119"/>
      <c r="R628" s="119" t="s">
        <v>173</v>
      </c>
      <c r="S628" s="120" t="s">
        <v>232</v>
      </c>
      <c r="T628" s="251"/>
      <c r="U628" s="119">
        <v>10</v>
      </c>
      <c r="V628" s="199">
        <v>0</v>
      </c>
      <c r="W628" s="103">
        <v>0</v>
      </c>
      <c r="X628" s="104">
        <v>0</v>
      </c>
      <c r="Y628" s="105">
        <v>0</v>
      </c>
      <c r="Z628" s="106">
        <v>5</v>
      </c>
      <c r="AA628" s="133">
        <f t="shared" si="677"/>
        <v>5</v>
      </c>
      <c r="AB628" s="71">
        <v>0</v>
      </c>
      <c r="AC628" s="119">
        <v>10</v>
      </c>
      <c r="AD628" s="199">
        <v>0</v>
      </c>
      <c r="AE628" s="103">
        <v>0</v>
      </c>
      <c r="AF628" s="104">
        <v>0</v>
      </c>
      <c r="AG628" s="105">
        <v>0</v>
      </c>
      <c r="AH628" s="106">
        <v>5</v>
      </c>
      <c r="AI628" s="133">
        <f t="shared" si="678"/>
        <v>5</v>
      </c>
      <c r="AJ628" s="71">
        <v>0</v>
      </c>
      <c r="AK628" s="119"/>
      <c r="AL628" s="119"/>
      <c r="AM628" s="46"/>
      <c r="AN628" s="119"/>
      <c r="AO628" s="46"/>
      <c r="AP628" s="119" t="s">
        <v>204</v>
      </c>
      <c r="AQ628" s="119">
        <v>10</v>
      </c>
      <c r="AR628" s="161">
        <v>10</v>
      </c>
      <c r="AS628" s="162">
        <v>0</v>
      </c>
      <c r="AT628" s="163">
        <v>0</v>
      </c>
      <c r="AU628" s="119"/>
      <c r="AV628" s="119"/>
      <c r="AW628" s="119" t="s">
        <v>431</v>
      </c>
      <c r="AX628" s="117" t="s">
        <v>201</v>
      </c>
    </row>
    <row r="629" spans="1:286" s="95" customFormat="1" ht="36" x14ac:dyDescent="0.25">
      <c r="A629" s="312"/>
      <c r="B629" s="115" t="s">
        <v>224</v>
      </c>
      <c r="C629" s="115" t="s">
        <v>437</v>
      </c>
      <c r="D629" s="146" t="s">
        <v>197</v>
      </c>
      <c r="E629" s="146" t="s">
        <v>268</v>
      </c>
      <c r="F629" s="142" t="s">
        <v>61</v>
      </c>
      <c r="G629" s="127"/>
      <c r="H629" s="143">
        <f>SUM(H622:H628)</f>
        <v>222</v>
      </c>
      <c r="I629" s="143">
        <f t="shared" ref="I629" si="710">SUM(I622:I628)</f>
        <v>2</v>
      </c>
      <c r="J629" s="143">
        <f t="shared" ref="J629:O629" si="711">SUM(J622:J628)</f>
        <v>6</v>
      </c>
      <c r="K629" s="143">
        <f t="shared" si="711"/>
        <v>89</v>
      </c>
      <c r="L629" s="143">
        <f t="shared" si="711"/>
        <v>25</v>
      </c>
      <c r="M629" s="143">
        <f t="shared" si="711"/>
        <v>28</v>
      </c>
      <c r="N629" s="143">
        <f t="shared" si="679"/>
        <v>150</v>
      </c>
      <c r="O629" s="143">
        <f t="shared" si="711"/>
        <v>45</v>
      </c>
      <c r="P629" s="142"/>
      <c r="Q629" s="177"/>
      <c r="R629" s="129"/>
      <c r="S629" s="178"/>
      <c r="T629" s="179"/>
      <c r="U629" s="142">
        <f>SUM(U622:U628)</f>
        <v>230</v>
      </c>
      <c r="V629" s="142">
        <f t="shared" ref="V629" si="712">SUM(V622:V628)</f>
        <v>2</v>
      </c>
      <c r="W629" s="142">
        <f t="shared" ref="W629:AJ629" si="713">SUM(W622:W628)</f>
        <v>6</v>
      </c>
      <c r="X629" s="142">
        <f t="shared" si="713"/>
        <v>89</v>
      </c>
      <c r="Y629" s="143">
        <f t="shared" si="713"/>
        <v>25</v>
      </c>
      <c r="Z629" s="142">
        <f t="shared" si="713"/>
        <v>32</v>
      </c>
      <c r="AA629" s="142">
        <f t="shared" si="677"/>
        <v>154</v>
      </c>
      <c r="AB629" s="142">
        <f t="shared" si="713"/>
        <v>45</v>
      </c>
      <c r="AC629" s="142">
        <f t="shared" si="713"/>
        <v>335</v>
      </c>
      <c r="AD629" s="142">
        <f t="shared" si="713"/>
        <v>4</v>
      </c>
      <c r="AE629" s="142">
        <f t="shared" si="713"/>
        <v>12</v>
      </c>
      <c r="AF629" s="142">
        <f t="shared" si="713"/>
        <v>109</v>
      </c>
      <c r="AG629" s="142">
        <f t="shared" ref="AG629" si="714">SUM(AG622:AG628)</f>
        <v>0</v>
      </c>
      <c r="AH629" s="142">
        <f t="shared" si="713"/>
        <v>48</v>
      </c>
      <c r="AI629" s="142">
        <f t="shared" si="678"/>
        <v>173</v>
      </c>
      <c r="AJ629" s="142">
        <f t="shared" si="713"/>
        <v>45</v>
      </c>
      <c r="AK629" s="142"/>
      <c r="AL629" s="142"/>
      <c r="AM629" s="142"/>
      <c r="AN629" s="142"/>
      <c r="AO629" s="142"/>
      <c r="AP629" s="127"/>
      <c r="AQ629" s="142">
        <f>SUM(AQ622:AQ628)</f>
        <v>335</v>
      </c>
      <c r="AR629" s="142">
        <f>SUM(AR622:AR628)</f>
        <v>335</v>
      </c>
      <c r="AS629" s="142">
        <f>SUM(AS622:AS628)</f>
        <v>0</v>
      </c>
      <c r="AT629" s="142">
        <f>SUM(AT622:AT628)</f>
        <v>0</v>
      </c>
      <c r="AU629" s="180"/>
      <c r="AV629" s="177"/>
      <c r="AW629" s="127"/>
      <c r="AX629" s="127" t="s">
        <v>68</v>
      </c>
    </row>
    <row r="630" spans="1:286" s="95" customFormat="1" ht="36" customHeight="1" x14ac:dyDescent="0.25">
      <c r="A630" s="182"/>
      <c r="B630" s="115" t="s">
        <v>224</v>
      </c>
      <c r="C630" s="115" t="s">
        <v>440</v>
      </c>
      <c r="D630" s="117" t="s">
        <v>441</v>
      </c>
      <c r="E630" s="117" t="s">
        <v>70</v>
      </c>
      <c r="F630" s="272" t="s">
        <v>49</v>
      </c>
      <c r="G630" s="183" t="s">
        <v>442</v>
      </c>
      <c r="H630" s="136">
        <v>20</v>
      </c>
      <c r="I630" s="197">
        <v>0</v>
      </c>
      <c r="J630" s="90">
        <v>0</v>
      </c>
      <c r="K630" s="91">
        <v>3</v>
      </c>
      <c r="L630" s="92">
        <v>0</v>
      </c>
      <c r="M630" s="81">
        <v>2</v>
      </c>
      <c r="N630" s="133">
        <f t="shared" si="679"/>
        <v>5</v>
      </c>
      <c r="O630" s="71">
        <v>15</v>
      </c>
      <c r="P630" s="71"/>
      <c r="Q630" s="137"/>
      <c r="R630" s="119" t="s">
        <v>51</v>
      </c>
      <c r="S630" s="120" t="s">
        <v>443</v>
      </c>
      <c r="T630" s="251" t="s">
        <v>77</v>
      </c>
      <c r="U630" s="136">
        <v>20</v>
      </c>
      <c r="V630" s="197">
        <v>0</v>
      </c>
      <c r="W630" s="90">
        <v>0</v>
      </c>
      <c r="X630" s="91">
        <v>3</v>
      </c>
      <c r="Y630" s="92">
        <v>0</v>
      </c>
      <c r="Z630" s="81">
        <v>2</v>
      </c>
      <c r="AA630" s="133">
        <f t="shared" si="677"/>
        <v>5</v>
      </c>
      <c r="AB630" s="71">
        <v>15</v>
      </c>
      <c r="AC630" s="136">
        <v>0</v>
      </c>
      <c r="AD630" s="197">
        <v>0</v>
      </c>
      <c r="AE630" s="90">
        <v>0</v>
      </c>
      <c r="AF630" s="91">
        <v>0</v>
      </c>
      <c r="AG630" s="92">
        <v>0</v>
      </c>
      <c r="AH630" s="81">
        <v>0</v>
      </c>
      <c r="AI630" s="133">
        <f t="shared" si="678"/>
        <v>0</v>
      </c>
      <c r="AJ630" s="71">
        <v>0</v>
      </c>
      <c r="AK630" s="136"/>
      <c r="AL630" s="136"/>
      <c r="AM630" s="72"/>
      <c r="AN630" s="136"/>
      <c r="AO630" s="72"/>
      <c r="AP630" s="119"/>
      <c r="AQ630" s="136"/>
      <c r="AR630" s="161"/>
      <c r="AS630" s="162"/>
      <c r="AT630" s="163"/>
      <c r="AU630" s="119"/>
      <c r="AV630" s="136"/>
      <c r="AW630" s="119"/>
      <c r="AX630" s="117" t="s">
        <v>147</v>
      </c>
    </row>
    <row r="631" spans="1:286" s="95" customFormat="1" ht="36" customHeight="1" x14ac:dyDescent="0.25">
      <c r="A631" s="184"/>
      <c r="B631" s="115" t="s">
        <v>224</v>
      </c>
      <c r="C631" s="115" t="s">
        <v>440</v>
      </c>
      <c r="D631" s="117" t="s">
        <v>441</v>
      </c>
      <c r="E631" s="117" t="s">
        <v>70</v>
      </c>
      <c r="F631" s="272"/>
      <c r="G631" s="183" t="s">
        <v>444</v>
      </c>
      <c r="H631" s="136">
        <v>20</v>
      </c>
      <c r="I631" s="197">
        <v>0</v>
      </c>
      <c r="J631" s="90">
        <v>0</v>
      </c>
      <c r="K631" s="91">
        <v>5</v>
      </c>
      <c r="L631" s="92">
        <v>0</v>
      </c>
      <c r="M631" s="81">
        <v>0</v>
      </c>
      <c r="N631" s="133">
        <f t="shared" si="679"/>
        <v>5</v>
      </c>
      <c r="O631" s="71">
        <v>15</v>
      </c>
      <c r="P631" s="71"/>
      <c r="Q631" s="137"/>
      <c r="R631" s="119" t="s">
        <v>51</v>
      </c>
      <c r="S631" s="120" t="s">
        <v>443</v>
      </c>
      <c r="T631" s="251"/>
      <c r="U631" s="136">
        <v>20</v>
      </c>
      <c r="V631" s="197">
        <v>0</v>
      </c>
      <c r="W631" s="90">
        <v>0</v>
      </c>
      <c r="X631" s="91">
        <v>5</v>
      </c>
      <c r="Y631" s="92">
        <v>0</v>
      </c>
      <c r="Z631" s="81">
        <v>0</v>
      </c>
      <c r="AA631" s="133">
        <f t="shared" si="677"/>
        <v>5</v>
      </c>
      <c r="AB631" s="71">
        <v>15</v>
      </c>
      <c r="AC631" s="136">
        <v>0</v>
      </c>
      <c r="AD631" s="197">
        <v>0</v>
      </c>
      <c r="AE631" s="90">
        <v>0</v>
      </c>
      <c r="AF631" s="91">
        <v>0</v>
      </c>
      <c r="AG631" s="92">
        <v>0</v>
      </c>
      <c r="AH631" s="81">
        <v>0</v>
      </c>
      <c r="AI631" s="133">
        <f t="shared" si="678"/>
        <v>0</v>
      </c>
      <c r="AJ631" s="71">
        <v>0</v>
      </c>
      <c r="AK631" s="136"/>
      <c r="AL631" s="136"/>
      <c r="AM631" s="72"/>
      <c r="AN631" s="136"/>
      <c r="AO631" s="72"/>
      <c r="AP631" s="119"/>
      <c r="AQ631" s="136"/>
      <c r="AR631" s="161"/>
      <c r="AS631" s="162"/>
      <c r="AT631" s="163"/>
      <c r="AU631" s="119"/>
      <c r="AV631" s="136"/>
      <c r="AW631" s="119"/>
      <c r="AX631" s="117" t="s">
        <v>147</v>
      </c>
    </row>
    <row r="632" spans="1:286" s="187" customFormat="1" ht="36" x14ac:dyDescent="0.25">
      <c r="A632" s="185"/>
      <c r="B632" s="115" t="s">
        <v>224</v>
      </c>
      <c r="C632" s="115" t="s">
        <v>440</v>
      </c>
      <c r="D632" s="117" t="s">
        <v>441</v>
      </c>
      <c r="E632" s="117" t="s">
        <v>70</v>
      </c>
      <c r="F632" s="142" t="s">
        <v>61</v>
      </c>
      <c r="G632" s="186"/>
      <c r="H632" s="143">
        <f>SUM(H630:H631)</f>
        <v>40</v>
      </c>
      <c r="I632" s="143">
        <f t="shared" ref="I632" si="715">SUM(I630:I631)</f>
        <v>0</v>
      </c>
      <c r="J632" s="143">
        <f t="shared" ref="J632:M632" si="716">SUM(J630:J631)</f>
        <v>0</v>
      </c>
      <c r="K632" s="143">
        <f t="shared" si="716"/>
        <v>8</v>
      </c>
      <c r="L632" s="143">
        <f t="shared" si="716"/>
        <v>0</v>
      </c>
      <c r="M632" s="143">
        <f t="shared" si="716"/>
        <v>2</v>
      </c>
      <c r="N632" s="143">
        <f t="shared" si="679"/>
        <v>10</v>
      </c>
      <c r="O632" s="143">
        <f>SUM(O630:O631)</f>
        <v>30</v>
      </c>
      <c r="P632" s="143"/>
      <c r="Q632" s="177"/>
      <c r="R632" s="129"/>
      <c r="S632" s="127"/>
      <c r="T632" s="130"/>
      <c r="U632" s="143">
        <f t="shared" ref="U632:AJ632" si="717">SUM(U630:U631)</f>
        <v>40</v>
      </c>
      <c r="V632" s="143"/>
      <c r="W632" s="143"/>
      <c r="X632" s="143"/>
      <c r="Y632" s="143">
        <f t="shared" ref="Y632" si="718">SUM(Y630:Y631)</f>
        <v>0</v>
      </c>
      <c r="Z632" s="143"/>
      <c r="AA632" s="143">
        <f t="shared" si="677"/>
        <v>0</v>
      </c>
      <c r="AB632" s="143">
        <f t="shared" si="717"/>
        <v>30</v>
      </c>
      <c r="AC632" s="142">
        <f t="shared" si="717"/>
        <v>0</v>
      </c>
      <c r="AD632" s="142">
        <f t="shared" si="717"/>
        <v>0</v>
      </c>
      <c r="AE632" s="142">
        <f t="shared" si="717"/>
        <v>0</v>
      </c>
      <c r="AF632" s="142">
        <f t="shared" si="717"/>
        <v>0</v>
      </c>
      <c r="AG632" s="143"/>
      <c r="AH632" s="142">
        <f t="shared" si="717"/>
        <v>0</v>
      </c>
      <c r="AI632" s="142">
        <f t="shared" si="678"/>
        <v>0</v>
      </c>
      <c r="AJ632" s="143">
        <f t="shared" si="717"/>
        <v>0</v>
      </c>
      <c r="AK632" s="142"/>
      <c r="AL632" s="142"/>
      <c r="AM632" s="142"/>
      <c r="AN632" s="142"/>
      <c r="AO632" s="142"/>
      <c r="AP632" s="129"/>
      <c r="AQ632" s="142">
        <f>SUM(AQ630:AQ631)</f>
        <v>0</v>
      </c>
      <c r="AR632" s="142">
        <f>SUM(AR630:AR631)</f>
        <v>0</v>
      </c>
      <c r="AS632" s="142">
        <f>SUM(AS630:AS631)</f>
        <v>0</v>
      </c>
      <c r="AT632" s="142">
        <f>SUM(AT630:AT631)</f>
        <v>0</v>
      </c>
      <c r="AU632" s="129"/>
      <c r="AV632" s="142"/>
      <c r="AW632" s="127"/>
      <c r="AX632" s="127" t="s">
        <v>147</v>
      </c>
      <c r="AY632" s="95"/>
      <c r="AZ632" s="95"/>
      <c r="BA632" s="95"/>
      <c r="BB632" s="181"/>
      <c r="BC632" s="181"/>
      <c r="BD632" s="181"/>
      <c r="BE632" s="181"/>
      <c r="BF632" s="181"/>
      <c r="BG632" s="181"/>
      <c r="BH632" s="181"/>
      <c r="BI632" s="181"/>
      <c r="BJ632" s="181"/>
      <c r="BK632" s="181"/>
      <c r="BL632" s="181"/>
      <c r="BM632" s="181"/>
      <c r="BN632" s="181"/>
      <c r="BO632" s="181"/>
      <c r="BP632" s="181"/>
      <c r="BQ632" s="181"/>
      <c r="BR632" s="181"/>
      <c r="BS632" s="181"/>
      <c r="BT632" s="181"/>
      <c r="BU632" s="181"/>
      <c r="BV632" s="181"/>
      <c r="BW632" s="181"/>
      <c r="BX632" s="181"/>
      <c r="BY632" s="181"/>
      <c r="BZ632" s="181"/>
      <c r="CA632" s="181"/>
      <c r="CB632" s="181"/>
      <c r="CC632" s="181"/>
      <c r="CD632" s="181"/>
      <c r="CE632" s="181"/>
      <c r="CF632" s="181"/>
      <c r="CG632" s="181"/>
      <c r="CH632" s="181"/>
      <c r="CI632" s="181"/>
      <c r="CJ632" s="181"/>
      <c r="CK632" s="181"/>
      <c r="CL632" s="181"/>
      <c r="CM632" s="181"/>
      <c r="CN632" s="181"/>
      <c r="CO632" s="181"/>
      <c r="CP632" s="181"/>
      <c r="CQ632" s="181"/>
      <c r="CR632" s="181"/>
      <c r="CS632" s="181"/>
      <c r="CT632" s="181"/>
      <c r="CU632" s="181"/>
      <c r="CV632" s="181"/>
      <c r="CW632" s="181"/>
      <c r="CX632" s="181"/>
      <c r="CY632" s="181"/>
      <c r="CZ632" s="181"/>
      <c r="DA632" s="181"/>
      <c r="DB632" s="181"/>
      <c r="DC632" s="181"/>
      <c r="DD632" s="181"/>
      <c r="DE632" s="181"/>
      <c r="DF632" s="181"/>
      <c r="DG632" s="181"/>
      <c r="DH632" s="181"/>
      <c r="DI632" s="181"/>
      <c r="DJ632" s="181"/>
      <c r="DK632" s="181"/>
      <c r="DL632" s="181"/>
      <c r="DM632" s="181"/>
      <c r="DN632" s="181"/>
      <c r="DO632" s="181"/>
      <c r="DP632" s="181"/>
      <c r="DQ632" s="181"/>
      <c r="DR632" s="181"/>
      <c r="DS632" s="181"/>
      <c r="DT632" s="181"/>
      <c r="DU632" s="181"/>
      <c r="DV632" s="181"/>
      <c r="DW632" s="181"/>
      <c r="DX632" s="181"/>
      <c r="DY632" s="181"/>
      <c r="DZ632" s="181"/>
      <c r="EA632" s="181"/>
      <c r="EB632" s="181"/>
      <c r="EC632" s="181"/>
      <c r="ED632" s="181"/>
      <c r="EE632" s="181"/>
      <c r="EF632" s="181"/>
      <c r="EG632" s="181"/>
      <c r="EH632" s="181"/>
      <c r="EI632" s="181"/>
      <c r="EJ632" s="181"/>
      <c r="EK632" s="181"/>
      <c r="EL632" s="181"/>
      <c r="EM632" s="181"/>
      <c r="EN632" s="181"/>
      <c r="EO632" s="181"/>
      <c r="EP632" s="181"/>
      <c r="EQ632" s="181"/>
      <c r="ER632" s="181"/>
      <c r="ES632" s="181"/>
      <c r="ET632" s="181"/>
      <c r="EU632" s="181"/>
      <c r="EV632" s="181"/>
      <c r="EW632" s="181"/>
      <c r="EX632" s="181"/>
      <c r="EY632" s="181"/>
      <c r="EZ632" s="181"/>
      <c r="FA632" s="181"/>
      <c r="FB632" s="181"/>
      <c r="FC632" s="181"/>
      <c r="FD632" s="181"/>
      <c r="FE632" s="181"/>
      <c r="FF632" s="181"/>
      <c r="FG632" s="181"/>
      <c r="FH632" s="181"/>
      <c r="FI632" s="181"/>
      <c r="FJ632" s="181"/>
      <c r="FK632" s="181"/>
      <c r="FL632" s="181"/>
      <c r="FM632" s="181"/>
      <c r="FN632" s="181"/>
      <c r="FO632" s="181"/>
      <c r="FP632" s="181"/>
      <c r="FQ632" s="181"/>
      <c r="FR632" s="181"/>
      <c r="FS632" s="181"/>
      <c r="FT632" s="181"/>
      <c r="FU632" s="181"/>
      <c r="FV632" s="181"/>
      <c r="FW632" s="181"/>
      <c r="FX632" s="181"/>
      <c r="FY632" s="181"/>
      <c r="FZ632" s="181"/>
      <c r="GA632" s="181"/>
      <c r="GB632" s="181"/>
      <c r="GC632" s="181"/>
      <c r="GD632" s="181"/>
      <c r="GE632" s="181"/>
      <c r="GF632" s="181"/>
      <c r="GG632" s="181"/>
      <c r="GH632" s="181"/>
      <c r="GI632" s="181"/>
      <c r="GJ632" s="181"/>
      <c r="GK632" s="181"/>
      <c r="GL632" s="181"/>
      <c r="GM632" s="181"/>
      <c r="GN632" s="181"/>
      <c r="GO632" s="181"/>
      <c r="GP632" s="181"/>
      <c r="GQ632" s="181"/>
      <c r="GR632" s="181"/>
      <c r="GS632" s="181"/>
      <c r="GT632" s="181"/>
      <c r="GU632" s="181"/>
      <c r="GV632" s="181"/>
      <c r="GW632" s="181"/>
      <c r="GX632" s="181"/>
      <c r="GY632" s="181"/>
      <c r="GZ632" s="181"/>
      <c r="HA632" s="181"/>
      <c r="HB632" s="181"/>
      <c r="HC632" s="181"/>
      <c r="HD632" s="181"/>
      <c r="HE632" s="181"/>
      <c r="HF632" s="181"/>
      <c r="HG632" s="181"/>
      <c r="HH632" s="181"/>
      <c r="HI632" s="181"/>
      <c r="HJ632" s="181"/>
      <c r="HK632" s="181"/>
      <c r="HL632" s="181"/>
      <c r="HM632" s="181"/>
      <c r="HN632" s="181"/>
      <c r="HO632" s="181"/>
      <c r="HP632" s="181"/>
      <c r="HQ632" s="181"/>
      <c r="HR632" s="181"/>
      <c r="HS632" s="181"/>
      <c r="HT632" s="181"/>
      <c r="HU632" s="181"/>
      <c r="HV632" s="181"/>
      <c r="HW632" s="181"/>
      <c r="HX632" s="181"/>
      <c r="HY632" s="181"/>
      <c r="HZ632" s="181"/>
      <c r="IA632" s="181"/>
      <c r="IB632" s="181"/>
      <c r="IC632" s="181"/>
      <c r="ID632" s="181"/>
      <c r="IE632" s="181"/>
      <c r="IF632" s="181"/>
      <c r="IG632" s="181"/>
      <c r="IH632" s="181"/>
      <c r="II632" s="181"/>
      <c r="IJ632" s="181"/>
      <c r="IK632" s="181"/>
      <c r="IL632" s="181"/>
      <c r="IM632" s="181"/>
      <c r="IN632" s="181"/>
      <c r="IO632" s="181"/>
      <c r="IP632" s="181"/>
      <c r="IQ632" s="181"/>
      <c r="IR632" s="181"/>
      <c r="IS632" s="181"/>
      <c r="IT632" s="181"/>
      <c r="IU632" s="181"/>
      <c r="IV632" s="181"/>
      <c r="IW632" s="181"/>
      <c r="IX632" s="181"/>
      <c r="IY632" s="181"/>
      <c r="IZ632" s="181"/>
      <c r="JA632" s="181"/>
      <c r="JB632" s="181"/>
      <c r="JC632" s="181"/>
      <c r="JD632" s="181"/>
      <c r="JE632" s="181"/>
      <c r="JF632" s="181"/>
      <c r="JG632" s="181"/>
      <c r="JH632" s="181"/>
      <c r="JI632" s="181"/>
      <c r="JJ632" s="181"/>
      <c r="JK632" s="181"/>
      <c r="JL632" s="181"/>
      <c r="JM632" s="181"/>
      <c r="JN632" s="181"/>
      <c r="JO632" s="181"/>
      <c r="JP632" s="181"/>
      <c r="JQ632" s="181"/>
      <c r="JR632" s="181"/>
      <c r="JS632" s="181"/>
      <c r="JT632" s="181"/>
      <c r="JU632" s="181"/>
      <c r="JV632" s="181"/>
      <c r="JW632" s="181"/>
      <c r="JX632" s="181"/>
      <c r="JY632" s="181"/>
      <c r="JZ632" s="181"/>
    </row>
    <row r="633" spans="1:286" s="188" customFormat="1" ht="36" x14ac:dyDescent="0.25">
      <c r="A633" s="313"/>
      <c r="B633" s="115" t="s">
        <v>224</v>
      </c>
      <c r="C633" s="115" t="s">
        <v>445</v>
      </c>
      <c r="D633" s="117" t="s">
        <v>208</v>
      </c>
      <c r="E633" s="146" t="s">
        <v>75</v>
      </c>
      <c r="F633" s="272"/>
      <c r="G633" s="119" t="s">
        <v>178</v>
      </c>
      <c r="H633" s="119">
        <v>60</v>
      </c>
      <c r="I633" s="197">
        <v>0</v>
      </c>
      <c r="J633" s="90">
        <v>0</v>
      </c>
      <c r="K633" s="91">
        <v>0</v>
      </c>
      <c r="L633" s="92">
        <v>0</v>
      </c>
      <c r="M633" s="81">
        <v>0</v>
      </c>
      <c r="N633" s="133">
        <f t="shared" si="679"/>
        <v>0</v>
      </c>
      <c r="O633" s="71">
        <v>60</v>
      </c>
      <c r="P633" s="71"/>
      <c r="Q633" s="119"/>
      <c r="R633" s="119" t="s">
        <v>51</v>
      </c>
      <c r="S633" s="120" t="s">
        <v>316</v>
      </c>
      <c r="T633" s="119" t="s">
        <v>242</v>
      </c>
      <c r="U633" s="119">
        <v>120</v>
      </c>
      <c r="V633" s="197">
        <v>0</v>
      </c>
      <c r="W633" s="90">
        <v>0</v>
      </c>
      <c r="X633" s="91">
        <v>0</v>
      </c>
      <c r="Y633" s="92">
        <v>0</v>
      </c>
      <c r="Z633" s="81">
        <v>0</v>
      </c>
      <c r="AA633" s="133">
        <f t="shared" si="677"/>
        <v>0</v>
      </c>
      <c r="AB633" s="71">
        <v>120</v>
      </c>
      <c r="AC633" s="119">
        <v>25</v>
      </c>
      <c r="AD633" s="197">
        <v>0</v>
      </c>
      <c r="AE633" s="90">
        <v>0</v>
      </c>
      <c r="AF633" s="91">
        <v>0</v>
      </c>
      <c r="AG633" s="92">
        <v>0</v>
      </c>
      <c r="AH633" s="81">
        <v>0</v>
      </c>
      <c r="AI633" s="133">
        <f t="shared" si="678"/>
        <v>0</v>
      </c>
      <c r="AJ633" s="71">
        <v>25</v>
      </c>
      <c r="AK633" s="119"/>
      <c r="AL633" s="119"/>
      <c r="AM633" s="46"/>
      <c r="AN633" s="119"/>
      <c r="AO633" s="46"/>
      <c r="AP633" s="119" t="s">
        <v>446</v>
      </c>
      <c r="AQ633" s="119">
        <v>25</v>
      </c>
      <c r="AR633" s="122">
        <v>0</v>
      </c>
      <c r="AS633" s="123">
        <v>0</v>
      </c>
      <c r="AT633" s="124">
        <v>25</v>
      </c>
      <c r="AU633" s="119"/>
      <c r="AV633" s="119"/>
      <c r="AW633" s="117"/>
      <c r="AX633" s="117" t="s">
        <v>214</v>
      </c>
    </row>
    <row r="634" spans="1:286" s="188" customFormat="1" ht="36" x14ac:dyDescent="0.25">
      <c r="A634" s="313"/>
      <c r="B634" s="115" t="s">
        <v>224</v>
      </c>
      <c r="C634" s="115" t="s">
        <v>445</v>
      </c>
      <c r="D634" s="117" t="s">
        <v>208</v>
      </c>
      <c r="E634" s="117" t="s">
        <v>75</v>
      </c>
      <c r="F634" s="272"/>
      <c r="G634" s="119" t="s">
        <v>227</v>
      </c>
      <c r="H634" s="119">
        <v>50</v>
      </c>
      <c r="I634" s="197">
        <v>0</v>
      </c>
      <c r="J634" s="90">
        <v>0</v>
      </c>
      <c r="K634" s="91">
        <v>0</v>
      </c>
      <c r="L634" s="92">
        <v>0</v>
      </c>
      <c r="M634" s="81">
        <v>0</v>
      </c>
      <c r="N634" s="133">
        <f t="shared" si="679"/>
        <v>0</v>
      </c>
      <c r="O634" s="71">
        <v>50</v>
      </c>
      <c r="P634" s="71"/>
      <c r="Q634" s="119"/>
      <c r="R634" s="119" t="s">
        <v>51</v>
      </c>
      <c r="S634" s="120" t="s">
        <v>316</v>
      </c>
      <c r="T634" s="119" t="s">
        <v>242</v>
      </c>
      <c r="U634" s="119">
        <v>60</v>
      </c>
      <c r="V634" s="197">
        <v>0</v>
      </c>
      <c r="W634" s="90">
        <v>0</v>
      </c>
      <c r="X634" s="91">
        <v>0</v>
      </c>
      <c r="Y634" s="92">
        <v>0</v>
      </c>
      <c r="Z634" s="81">
        <v>0</v>
      </c>
      <c r="AA634" s="133">
        <f t="shared" si="677"/>
        <v>0</v>
      </c>
      <c r="AB634" s="71">
        <v>60</v>
      </c>
      <c r="AC634" s="119">
        <v>5</v>
      </c>
      <c r="AD634" s="197">
        <v>0</v>
      </c>
      <c r="AE634" s="90">
        <v>0</v>
      </c>
      <c r="AF634" s="91">
        <v>0</v>
      </c>
      <c r="AG634" s="92">
        <v>0</v>
      </c>
      <c r="AH634" s="81">
        <v>0</v>
      </c>
      <c r="AI634" s="133">
        <f t="shared" si="678"/>
        <v>0</v>
      </c>
      <c r="AJ634" s="71">
        <v>5</v>
      </c>
      <c r="AK634" s="119"/>
      <c r="AL634" s="119"/>
      <c r="AM634" s="46"/>
      <c r="AN634" s="119"/>
      <c r="AO634" s="46"/>
      <c r="AP634" s="119" t="s">
        <v>446</v>
      </c>
      <c r="AQ634" s="119">
        <v>5</v>
      </c>
      <c r="AR634" s="122">
        <v>0</v>
      </c>
      <c r="AS634" s="123">
        <v>0</v>
      </c>
      <c r="AT634" s="124">
        <v>5</v>
      </c>
      <c r="AU634" s="119"/>
      <c r="AV634" s="119"/>
      <c r="AW634" s="117"/>
      <c r="AX634" s="117" t="s">
        <v>214</v>
      </c>
    </row>
    <row r="635" spans="1:286" s="181" customFormat="1" ht="36" x14ac:dyDescent="0.25">
      <c r="A635" s="313"/>
      <c r="B635" s="115" t="s">
        <v>224</v>
      </c>
      <c r="C635" s="115" t="s">
        <v>445</v>
      </c>
      <c r="D635" s="117" t="s">
        <v>208</v>
      </c>
      <c r="E635" s="117" t="s">
        <v>75</v>
      </c>
      <c r="F635" s="142" t="s">
        <v>61</v>
      </c>
      <c r="G635" s="127"/>
      <c r="H635" s="143">
        <f>SUM(H633:H634)</f>
        <v>110</v>
      </c>
      <c r="I635" s="143">
        <f t="shared" ref="I635" si="719">SUM(I633:I634)</f>
        <v>0</v>
      </c>
      <c r="J635" s="143">
        <f t="shared" ref="J635:M635" si="720">SUM(J633:J634)</f>
        <v>0</v>
      </c>
      <c r="K635" s="143">
        <f t="shared" si="720"/>
        <v>0</v>
      </c>
      <c r="L635" s="143">
        <f t="shared" si="720"/>
        <v>0</v>
      </c>
      <c r="M635" s="143">
        <f t="shared" si="720"/>
        <v>0</v>
      </c>
      <c r="N635" s="143">
        <f t="shared" si="679"/>
        <v>0</v>
      </c>
      <c r="O635" s="143">
        <f>SUM(O633:O634)</f>
        <v>110</v>
      </c>
      <c r="P635" s="143"/>
      <c r="Q635" s="177"/>
      <c r="R635" s="129"/>
      <c r="S635" s="172"/>
      <c r="T635" s="130"/>
      <c r="U635" s="143">
        <f>SUM(U633:U634)</f>
        <v>180</v>
      </c>
      <c r="V635" s="143"/>
      <c r="W635" s="143"/>
      <c r="X635" s="143"/>
      <c r="Y635" s="143">
        <f t="shared" ref="Y635" si="721">SUM(Y633:Y634)</f>
        <v>0</v>
      </c>
      <c r="Z635" s="143"/>
      <c r="AA635" s="143">
        <f t="shared" si="677"/>
        <v>0</v>
      </c>
      <c r="AB635" s="143">
        <f t="shared" ref="AB635:AJ635" si="722">SUM(AB633:AB634)</f>
        <v>180</v>
      </c>
      <c r="AC635" s="143">
        <f t="shared" si="722"/>
        <v>30</v>
      </c>
      <c r="AD635" s="143">
        <f t="shared" si="722"/>
        <v>0</v>
      </c>
      <c r="AE635" s="143">
        <f t="shared" si="722"/>
        <v>0</v>
      </c>
      <c r="AF635" s="143">
        <f t="shared" si="722"/>
        <v>0</v>
      </c>
      <c r="AG635" s="143"/>
      <c r="AH635" s="143">
        <f t="shared" si="722"/>
        <v>0</v>
      </c>
      <c r="AI635" s="143">
        <f t="shared" si="678"/>
        <v>0</v>
      </c>
      <c r="AJ635" s="143">
        <f t="shared" si="722"/>
        <v>30</v>
      </c>
      <c r="AK635" s="142"/>
      <c r="AL635" s="127"/>
      <c r="AM635" s="142"/>
      <c r="AN635" s="142"/>
      <c r="AO635" s="142"/>
      <c r="AP635" s="127"/>
      <c r="AQ635" s="143">
        <f>SUM(AQ633:AQ634)</f>
        <v>30</v>
      </c>
      <c r="AR635" s="143">
        <f t="shared" ref="AR635:AT635" si="723">SUM(AR633:AR634)</f>
        <v>0</v>
      </c>
      <c r="AS635" s="143">
        <f t="shared" si="723"/>
        <v>0</v>
      </c>
      <c r="AT635" s="143">
        <f t="shared" si="723"/>
        <v>30</v>
      </c>
      <c r="AU635" s="180"/>
      <c r="AV635" s="142"/>
      <c r="AW635" s="127"/>
      <c r="AX635" s="127" t="s">
        <v>214</v>
      </c>
    </row>
    <row r="636" spans="1:286" s="95" customFormat="1" ht="36" x14ac:dyDescent="0.25">
      <c r="A636" s="299"/>
      <c r="B636" s="115" t="s">
        <v>224</v>
      </c>
      <c r="C636" s="115" t="s">
        <v>447</v>
      </c>
      <c r="D636" s="117" t="s">
        <v>208</v>
      </c>
      <c r="E636" s="117" t="s">
        <v>75</v>
      </c>
      <c r="F636" s="270" t="s">
        <v>49</v>
      </c>
      <c r="G636" s="119" t="s">
        <v>178</v>
      </c>
      <c r="H636" s="136">
        <v>80</v>
      </c>
      <c r="I636" s="197">
        <v>0</v>
      </c>
      <c r="J636" s="90">
        <v>0</v>
      </c>
      <c r="K636" s="91">
        <v>0</v>
      </c>
      <c r="L636" s="92">
        <v>0</v>
      </c>
      <c r="M636" s="81">
        <v>0</v>
      </c>
      <c r="N636" s="133">
        <f t="shared" si="679"/>
        <v>0</v>
      </c>
      <c r="O636" s="71">
        <v>25</v>
      </c>
      <c r="P636" s="71"/>
      <c r="Q636" s="136"/>
      <c r="R636" s="119" t="s">
        <v>51</v>
      </c>
      <c r="S636" s="120" t="s">
        <v>158</v>
      </c>
      <c r="T636" s="251" t="s">
        <v>77</v>
      </c>
      <c r="U636" s="119">
        <v>200</v>
      </c>
      <c r="V636" s="197">
        <v>0</v>
      </c>
      <c r="W636" s="90">
        <v>0</v>
      </c>
      <c r="X636" s="91">
        <v>0</v>
      </c>
      <c r="Y636" s="92">
        <v>0</v>
      </c>
      <c r="Z636" s="81">
        <v>0</v>
      </c>
      <c r="AA636" s="133">
        <f t="shared" si="677"/>
        <v>0</v>
      </c>
      <c r="AB636" s="71">
        <v>200</v>
      </c>
      <c r="AC636" s="119">
        <v>50</v>
      </c>
      <c r="AD636" s="197">
        <v>0</v>
      </c>
      <c r="AE636" s="90">
        <v>0</v>
      </c>
      <c r="AF636" s="91">
        <v>0</v>
      </c>
      <c r="AG636" s="92">
        <v>0</v>
      </c>
      <c r="AH636" s="81">
        <v>0</v>
      </c>
      <c r="AI636" s="133">
        <f t="shared" si="678"/>
        <v>0</v>
      </c>
      <c r="AJ636" s="71">
        <v>50</v>
      </c>
      <c r="AK636" s="119"/>
      <c r="AL636" s="119"/>
      <c r="AM636" s="46"/>
      <c r="AN636" s="119"/>
      <c r="AO636" s="46"/>
      <c r="AP636" s="119" t="s">
        <v>448</v>
      </c>
      <c r="AQ636" s="119">
        <v>50</v>
      </c>
      <c r="AR636" s="122">
        <v>0</v>
      </c>
      <c r="AS636" s="123">
        <v>50</v>
      </c>
      <c r="AT636" s="124">
        <v>0</v>
      </c>
      <c r="AU636" s="119"/>
      <c r="AV636" s="119"/>
      <c r="AW636" s="119"/>
      <c r="AX636" s="117" t="s">
        <v>55</v>
      </c>
    </row>
    <row r="637" spans="1:286" s="95" customFormat="1" ht="36" x14ac:dyDescent="0.25">
      <c r="A637" s="299"/>
      <c r="B637" s="115" t="s">
        <v>224</v>
      </c>
      <c r="C637" s="115" t="s">
        <v>447</v>
      </c>
      <c r="D637" s="117" t="s">
        <v>208</v>
      </c>
      <c r="E637" s="117" t="s">
        <v>75</v>
      </c>
      <c r="F637" s="270"/>
      <c r="G637" s="119" t="s">
        <v>227</v>
      </c>
      <c r="H637" s="136">
        <v>80</v>
      </c>
      <c r="I637" s="197">
        <v>0</v>
      </c>
      <c r="J637" s="90">
        <v>0</v>
      </c>
      <c r="K637" s="91">
        <v>0</v>
      </c>
      <c r="L637" s="92">
        <v>0</v>
      </c>
      <c r="M637" s="81">
        <v>0</v>
      </c>
      <c r="N637" s="133">
        <f t="shared" si="679"/>
        <v>0</v>
      </c>
      <c r="O637" s="71">
        <v>90</v>
      </c>
      <c r="P637" s="71"/>
      <c r="Q637" s="136"/>
      <c r="R637" s="119" t="s">
        <v>51</v>
      </c>
      <c r="S637" s="120" t="s">
        <v>158</v>
      </c>
      <c r="T637" s="251"/>
      <c r="U637" s="119">
        <v>100</v>
      </c>
      <c r="V637" s="197">
        <v>0</v>
      </c>
      <c r="W637" s="90">
        <v>0</v>
      </c>
      <c r="X637" s="91">
        <v>0</v>
      </c>
      <c r="Y637" s="92">
        <v>0</v>
      </c>
      <c r="Z637" s="81">
        <v>0</v>
      </c>
      <c r="AA637" s="133">
        <f t="shared" si="677"/>
        <v>0</v>
      </c>
      <c r="AB637" s="71">
        <v>100</v>
      </c>
      <c r="AC637" s="119">
        <v>10</v>
      </c>
      <c r="AD637" s="197">
        <v>0</v>
      </c>
      <c r="AE637" s="90">
        <v>0</v>
      </c>
      <c r="AF637" s="91">
        <v>0</v>
      </c>
      <c r="AG637" s="92">
        <v>0</v>
      </c>
      <c r="AH637" s="81">
        <v>0</v>
      </c>
      <c r="AI637" s="133">
        <f t="shared" si="678"/>
        <v>0</v>
      </c>
      <c r="AJ637" s="71">
        <v>10</v>
      </c>
      <c r="AK637" s="119"/>
      <c r="AL637" s="119"/>
      <c r="AM637" s="46"/>
      <c r="AN637" s="119"/>
      <c r="AO637" s="46"/>
      <c r="AP637" s="119" t="s">
        <v>448</v>
      </c>
      <c r="AQ637" s="119">
        <v>10</v>
      </c>
      <c r="AR637" s="122">
        <v>0</v>
      </c>
      <c r="AS637" s="123">
        <v>10</v>
      </c>
      <c r="AT637" s="124">
        <v>0</v>
      </c>
      <c r="AU637" s="119"/>
      <c r="AV637" s="119"/>
      <c r="AW637" s="119"/>
      <c r="AX637" s="117" t="s">
        <v>55</v>
      </c>
    </row>
    <row r="638" spans="1:286" s="95" customFormat="1" ht="36" x14ac:dyDescent="0.25">
      <c r="A638" s="299"/>
      <c r="B638" s="115" t="s">
        <v>224</v>
      </c>
      <c r="C638" s="115" t="s">
        <v>447</v>
      </c>
      <c r="D638" s="117" t="s">
        <v>208</v>
      </c>
      <c r="E638" s="117" t="s">
        <v>75</v>
      </c>
      <c r="F638" s="270"/>
      <c r="G638" s="119" t="s">
        <v>229</v>
      </c>
      <c r="H638" s="136">
        <v>5</v>
      </c>
      <c r="I638" s="197">
        <v>0</v>
      </c>
      <c r="J638" s="90">
        <v>1</v>
      </c>
      <c r="K638" s="91">
        <v>3</v>
      </c>
      <c r="L638" s="92">
        <v>1</v>
      </c>
      <c r="M638" s="81">
        <v>0</v>
      </c>
      <c r="N638" s="133">
        <f t="shared" si="679"/>
        <v>5</v>
      </c>
      <c r="O638" s="71">
        <v>5</v>
      </c>
      <c r="P638" s="71"/>
      <c r="Q638" s="136"/>
      <c r="R638" s="119" t="s">
        <v>51</v>
      </c>
      <c r="S638" s="120" t="s">
        <v>158</v>
      </c>
      <c r="T638" s="251"/>
      <c r="U638" s="119">
        <v>15</v>
      </c>
      <c r="V638" s="197">
        <v>0</v>
      </c>
      <c r="W638" s="90">
        <v>1</v>
      </c>
      <c r="X638" s="91">
        <v>3</v>
      </c>
      <c r="Y638" s="92">
        <v>1</v>
      </c>
      <c r="Z638" s="81">
        <v>0</v>
      </c>
      <c r="AA638" s="133">
        <f t="shared" si="677"/>
        <v>5</v>
      </c>
      <c r="AB638" s="71">
        <v>15</v>
      </c>
      <c r="AC638" s="119">
        <v>2</v>
      </c>
      <c r="AD638" s="197">
        <v>0</v>
      </c>
      <c r="AE638" s="90">
        <v>1</v>
      </c>
      <c r="AF638" s="91">
        <v>3</v>
      </c>
      <c r="AG638" s="92">
        <v>0</v>
      </c>
      <c r="AH638" s="81">
        <v>0</v>
      </c>
      <c r="AI638" s="133">
        <f t="shared" si="678"/>
        <v>4</v>
      </c>
      <c r="AJ638" s="71">
        <v>2</v>
      </c>
      <c r="AK638" s="119"/>
      <c r="AL638" s="119"/>
      <c r="AM638" s="46"/>
      <c r="AN638" s="119"/>
      <c r="AO638" s="46"/>
      <c r="AP638" s="119" t="s">
        <v>448</v>
      </c>
      <c r="AQ638" s="119">
        <v>2</v>
      </c>
      <c r="AR638" s="122">
        <v>0</v>
      </c>
      <c r="AS638" s="123">
        <v>2</v>
      </c>
      <c r="AT638" s="124">
        <v>0</v>
      </c>
      <c r="AU638" s="119"/>
      <c r="AV638" s="119"/>
      <c r="AW638" s="119"/>
      <c r="AX638" s="117" t="s">
        <v>55</v>
      </c>
    </row>
    <row r="639" spans="1:286" s="181" customFormat="1" ht="36" x14ac:dyDescent="0.25">
      <c r="A639" s="299"/>
      <c r="B639" s="115" t="s">
        <v>224</v>
      </c>
      <c r="C639" s="115" t="s">
        <v>447</v>
      </c>
      <c r="D639" s="117" t="s">
        <v>208</v>
      </c>
      <c r="E639" s="117" t="s">
        <v>75</v>
      </c>
      <c r="F639" s="142" t="s">
        <v>61</v>
      </c>
      <c r="G639" s="127"/>
      <c r="H639" s="143">
        <f>SUM(H636:H638)</f>
        <v>165</v>
      </c>
      <c r="I639" s="143">
        <f t="shared" ref="I639" si="724">SUM(I636:I638)</f>
        <v>0</v>
      </c>
      <c r="J639" s="143">
        <f t="shared" ref="J639:M639" si="725">SUM(J636:J638)</f>
        <v>1</v>
      </c>
      <c r="K639" s="143">
        <f t="shared" si="725"/>
        <v>3</v>
      </c>
      <c r="L639" s="143">
        <f t="shared" si="725"/>
        <v>1</v>
      </c>
      <c r="M639" s="143">
        <f t="shared" si="725"/>
        <v>0</v>
      </c>
      <c r="N639" s="143">
        <f t="shared" si="679"/>
        <v>5</v>
      </c>
      <c r="O639" s="143">
        <f t="shared" ref="O639" si="726">SUM(O636:O638)</f>
        <v>120</v>
      </c>
      <c r="P639" s="143"/>
      <c r="Q639" s="177"/>
      <c r="R639" s="129"/>
      <c r="S639" s="172"/>
      <c r="T639" s="130"/>
      <c r="U639" s="143">
        <f>SUM(U636:U638)</f>
        <v>315</v>
      </c>
      <c r="V639" s="143">
        <f t="shared" ref="V639" si="727">SUM(V636:V638)</f>
        <v>0</v>
      </c>
      <c r="W639" s="143">
        <f t="shared" ref="W639:Z639" si="728">SUM(W636:W638)</f>
        <v>1</v>
      </c>
      <c r="X639" s="143">
        <f t="shared" si="728"/>
        <v>3</v>
      </c>
      <c r="Y639" s="143">
        <f t="shared" si="728"/>
        <v>1</v>
      </c>
      <c r="Z639" s="143">
        <f t="shared" si="728"/>
        <v>0</v>
      </c>
      <c r="AA639" s="143">
        <f t="shared" si="677"/>
        <v>5</v>
      </c>
      <c r="AB639" s="143">
        <f t="shared" ref="AB639:AJ639" si="729">SUM(AB636:AB638)</f>
        <v>315</v>
      </c>
      <c r="AC639" s="143">
        <f t="shared" si="729"/>
        <v>62</v>
      </c>
      <c r="AD639" s="143">
        <f t="shared" si="729"/>
        <v>0</v>
      </c>
      <c r="AE639" s="143">
        <f t="shared" si="729"/>
        <v>1</v>
      </c>
      <c r="AF639" s="143">
        <f t="shared" si="729"/>
        <v>3</v>
      </c>
      <c r="AG639" s="143">
        <f t="shared" si="729"/>
        <v>0</v>
      </c>
      <c r="AH639" s="143">
        <f t="shared" si="729"/>
        <v>0</v>
      </c>
      <c r="AI639" s="143">
        <f t="shared" si="678"/>
        <v>4</v>
      </c>
      <c r="AJ639" s="143">
        <f t="shared" si="729"/>
        <v>62</v>
      </c>
      <c r="AK639" s="142"/>
      <c r="AL639" s="127"/>
      <c r="AM639" s="142"/>
      <c r="AN639" s="142"/>
      <c r="AO639" s="142"/>
      <c r="AP639" s="127"/>
      <c r="AQ639" s="143">
        <f>SUM(AQ636:AQ638)</f>
        <v>62</v>
      </c>
      <c r="AR639" s="143">
        <f>SUM(AR636:AR638)</f>
        <v>0</v>
      </c>
      <c r="AS639" s="143">
        <f>SUM(AS636:AS638)</f>
        <v>62</v>
      </c>
      <c r="AT639" s="143">
        <f>SUM(AT636:AT638)</f>
        <v>0</v>
      </c>
      <c r="AU639" s="180"/>
      <c r="AV639" s="142"/>
      <c r="AW639" s="127"/>
      <c r="AX639" s="127" t="s">
        <v>55</v>
      </c>
    </row>
    <row r="640" spans="1:286" s="95" customFormat="1" ht="36" customHeight="1" x14ac:dyDescent="0.25">
      <c r="A640" s="299"/>
      <c r="B640" s="115" t="s">
        <v>224</v>
      </c>
      <c r="C640" s="115" t="s">
        <v>449</v>
      </c>
      <c r="D640" s="117" t="s">
        <v>208</v>
      </c>
      <c r="E640" s="117" t="s">
        <v>70</v>
      </c>
      <c r="F640" s="272" t="s">
        <v>49</v>
      </c>
      <c r="G640" s="119" t="s">
        <v>178</v>
      </c>
      <c r="H640" s="272">
        <v>100</v>
      </c>
      <c r="I640" s="238">
        <v>0</v>
      </c>
      <c r="J640" s="230">
        <v>5</v>
      </c>
      <c r="K640" s="224">
        <v>5</v>
      </c>
      <c r="L640" s="226">
        <v>1</v>
      </c>
      <c r="M640" s="232">
        <v>2</v>
      </c>
      <c r="N640" s="278">
        <f t="shared" si="679"/>
        <v>13</v>
      </c>
      <c r="O640" s="242">
        <v>90</v>
      </c>
      <c r="P640" s="71"/>
      <c r="Q640" s="272"/>
      <c r="R640" s="119" t="s">
        <v>51</v>
      </c>
      <c r="S640" s="120" t="s">
        <v>210</v>
      </c>
      <c r="T640" s="286" t="s">
        <v>211</v>
      </c>
      <c r="U640" s="136">
        <v>300</v>
      </c>
      <c r="V640" s="197">
        <v>1</v>
      </c>
      <c r="W640" s="90">
        <v>5</v>
      </c>
      <c r="X640" s="91">
        <v>3</v>
      </c>
      <c r="Y640" s="226">
        <v>1</v>
      </c>
      <c r="Z640" s="81">
        <v>2</v>
      </c>
      <c r="AA640" s="133">
        <f t="shared" si="677"/>
        <v>12</v>
      </c>
      <c r="AB640" s="71">
        <v>290</v>
      </c>
      <c r="AC640" s="136">
        <v>50</v>
      </c>
      <c r="AD640" s="197">
        <v>0</v>
      </c>
      <c r="AE640" s="90">
        <v>0</v>
      </c>
      <c r="AF640" s="91">
        <v>0</v>
      </c>
      <c r="AG640" s="92">
        <v>0</v>
      </c>
      <c r="AH640" s="81">
        <v>0</v>
      </c>
      <c r="AI640" s="133">
        <f t="shared" si="678"/>
        <v>0</v>
      </c>
      <c r="AJ640" s="71">
        <v>50</v>
      </c>
      <c r="AK640" s="272"/>
      <c r="AL640" s="119"/>
      <c r="AM640" s="94"/>
      <c r="AN640" s="272"/>
      <c r="AO640" s="72"/>
      <c r="AP640" s="119" t="s">
        <v>99</v>
      </c>
      <c r="AQ640" s="136">
        <v>50</v>
      </c>
      <c r="AR640" s="122">
        <v>0</v>
      </c>
      <c r="AS640" s="123">
        <v>0</v>
      </c>
      <c r="AT640" s="124">
        <v>50</v>
      </c>
      <c r="AU640" s="272"/>
      <c r="AV640" s="272"/>
      <c r="AW640" s="272"/>
      <c r="AX640" s="138" t="s">
        <v>87</v>
      </c>
    </row>
    <row r="641" spans="1:50" s="95" customFormat="1" ht="55.5" x14ac:dyDescent="0.25">
      <c r="A641" s="299"/>
      <c r="B641" s="115" t="s">
        <v>224</v>
      </c>
      <c r="C641" s="115" t="s">
        <v>449</v>
      </c>
      <c r="D641" s="117" t="s">
        <v>208</v>
      </c>
      <c r="E641" s="117" t="s">
        <v>70</v>
      </c>
      <c r="F641" s="272"/>
      <c r="G641" s="119" t="s">
        <v>178</v>
      </c>
      <c r="H641" s="272"/>
      <c r="I641" s="239"/>
      <c r="J641" s="231"/>
      <c r="K641" s="225"/>
      <c r="L641" s="227"/>
      <c r="M641" s="233"/>
      <c r="N641" s="278">
        <f t="shared" si="679"/>
        <v>0</v>
      </c>
      <c r="O641" s="242"/>
      <c r="P641" s="71"/>
      <c r="Q641" s="272"/>
      <c r="R641" s="119" t="s">
        <v>56</v>
      </c>
      <c r="S641" s="120" t="s">
        <v>450</v>
      </c>
      <c r="T641" s="286"/>
      <c r="U641" s="136" t="s">
        <v>85</v>
      </c>
      <c r="V641" s="197">
        <v>0</v>
      </c>
      <c r="W641" s="90">
        <v>0</v>
      </c>
      <c r="X641" s="91">
        <v>0</v>
      </c>
      <c r="Y641" s="227"/>
      <c r="Z641" s="81">
        <v>0</v>
      </c>
      <c r="AA641" s="133">
        <f t="shared" si="677"/>
        <v>0</v>
      </c>
      <c r="AB641" s="71">
        <v>40</v>
      </c>
      <c r="AC641" s="136" t="s">
        <v>85</v>
      </c>
      <c r="AD641" s="197">
        <v>0</v>
      </c>
      <c r="AE641" s="90">
        <v>0</v>
      </c>
      <c r="AF641" s="91">
        <v>0</v>
      </c>
      <c r="AG641" s="92">
        <v>0</v>
      </c>
      <c r="AH641" s="81">
        <v>0</v>
      </c>
      <c r="AI641" s="133">
        <f t="shared" si="678"/>
        <v>0</v>
      </c>
      <c r="AJ641" s="71">
        <v>0</v>
      </c>
      <c r="AK641" s="272"/>
      <c r="AL641" s="119" t="s">
        <v>133</v>
      </c>
      <c r="AM641" s="72">
        <v>40</v>
      </c>
      <c r="AN641" s="272"/>
      <c r="AO641" s="72"/>
      <c r="AP641" s="119" t="s">
        <v>58</v>
      </c>
      <c r="AQ641" s="136">
        <v>450</v>
      </c>
      <c r="AR641" s="122">
        <v>0</v>
      </c>
      <c r="AS641" s="123">
        <v>0</v>
      </c>
      <c r="AT641" s="124">
        <v>450</v>
      </c>
      <c r="AU641" s="272"/>
      <c r="AV641" s="272"/>
      <c r="AW641" s="272"/>
      <c r="AX641" s="138" t="s">
        <v>147</v>
      </c>
    </row>
    <row r="642" spans="1:50" s="95" customFormat="1" ht="55.5" x14ac:dyDescent="0.25">
      <c r="A642" s="299"/>
      <c r="B642" s="115" t="s">
        <v>224</v>
      </c>
      <c r="C642" s="115" t="s">
        <v>449</v>
      </c>
      <c r="D642" s="117" t="s">
        <v>208</v>
      </c>
      <c r="E642" s="117" t="s">
        <v>70</v>
      </c>
      <c r="F642" s="272"/>
      <c r="G642" s="119" t="s">
        <v>227</v>
      </c>
      <c r="H642" s="272">
        <v>40</v>
      </c>
      <c r="I642" s="238">
        <v>0</v>
      </c>
      <c r="J642" s="230">
        <v>0</v>
      </c>
      <c r="K642" s="224">
        <v>0</v>
      </c>
      <c r="L642" s="226">
        <v>0</v>
      </c>
      <c r="M642" s="232">
        <v>0</v>
      </c>
      <c r="N642" s="278">
        <f t="shared" si="679"/>
        <v>0</v>
      </c>
      <c r="O642" s="242">
        <v>40</v>
      </c>
      <c r="P642" s="71"/>
      <c r="Q642" s="272"/>
      <c r="R642" s="119" t="s">
        <v>51</v>
      </c>
      <c r="S642" s="120" t="s">
        <v>210</v>
      </c>
      <c r="T642" s="286"/>
      <c r="U642" s="136">
        <v>100</v>
      </c>
      <c r="V642" s="197">
        <v>0</v>
      </c>
      <c r="W642" s="90">
        <v>0</v>
      </c>
      <c r="X642" s="91">
        <v>0</v>
      </c>
      <c r="Y642" s="226">
        <v>0</v>
      </c>
      <c r="Z642" s="81">
        <v>0</v>
      </c>
      <c r="AA642" s="133">
        <f t="shared" si="677"/>
        <v>0</v>
      </c>
      <c r="AB642" s="71">
        <v>100</v>
      </c>
      <c r="AC642" s="136">
        <v>10</v>
      </c>
      <c r="AD642" s="197">
        <v>0</v>
      </c>
      <c r="AE642" s="90">
        <v>0</v>
      </c>
      <c r="AF642" s="91">
        <v>0</v>
      </c>
      <c r="AG642" s="92">
        <v>0</v>
      </c>
      <c r="AH642" s="81">
        <v>0</v>
      </c>
      <c r="AI642" s="133">
        <f t="shared" si="678"/>
        <v>0</v>
      </c>
      <c r="AJ642" s="71">
        <v>10</v>
      </c>
      <c r="AK642" s="272"/>
      <c r="AL642" s="119"/>
      <c r="AM642" s="72"/>
      <c r="AN642" s="272"/>
      <c r="AO642" s="72"/>
      <c r="AP642" s="119" t="s">
        <v>99</v>
      </c>
      <c r="AQ642" s="136">
        <v>10</v>
      </c>
      <c r="AR642" s="122">
        <v>0</v>
      </c>
      <c r="AS642" s="123">
        <v>0</v>
      </c>
      <c r="AT642" s="124">
        <v>10</v>
      </c>
      <c r="AU642" s="272"/>
      <c r="AV642" s="272"/>
      <c r="AW642" s="272"/>
      <c r="AX642" s="138" t="s">
        <v>87</v>
      </c>
    </row>
    <row r="643" spans="1:50" s="95" customFormat="1" ht="55.5" x14ac:dyDescent="0.25">
      <c r="A643" s="299"/>
      <c r="B643" s="115" t="s">
        <v>224</v>
      </c>
      <c r="C643" s="115" t="s">
        <v>449</v>
      </c>
      <c r="D643" s="117" t="s">
        <v>208</v>
      </c>
      <c r="E643" s="117" t="s">
        <v>70</v>
      </c>
      <c r="F643" s="272"/>
      <c r="G643" s="119" t="s">
        <v>227</v>
      </c>
      <c r="H643" s="272"/>
      <c r="I643" s="257"/>
      <c r="J643" s="253"/>
      <c r="K643" s="254"/>
      <c r="L643" s="255"/>
      <c r="M643" s="258"/>
      <c r="N643" s="278">
        <f t="shared" si="679"/>
        <v>0</v>
      </c>
      <c r="O643" s="242"/>
      <c r="P643" s="71"/>
      <c r="Q643" s="272"/>
      <c r="R643" s="251" t="s">
        <v>56</v>
      </c>
      <c r="S643" s="276" t="s">
        <v>450</v>
      </c>
      <c r="T643" s="286"/>
      <c r="U643" s="272" t="s">
        <v>85</v>
      </c>
      <c r="V643" s="238">
        <v>0</v>
      </c>
      <c r="W643" s="230">
        <v>0</v>
      </c>
      <c r="X643" s="224">
        <v>0</v>
      </c>
      <c r="Y643" s="255"/>
      <c r="Z643" s="232">
        <v>0</v>
      </c>
      <c r="AA643" s="278">
        <f t="shared" si="677"/>
        <v>0</v>
      </c>
      <c r="AB643" s="242">
        <v>5</v>
      </c>
      <c r="AC643" s="272" t="s">
        <v>85</v>
      </c>
      <c r="AD643" s="238">
        <v>0</v>
      </c>
      <c r="AE643" s="230">
        <v>0</v>
      </c>
      <c r="AF643" s="224">
        <v>0</v>
      </c>
      <c r="AG643" s="226">
        <v>0</v>
      </c>
      <c r="AH643" s="232">
        <v>0</v>
      </c>
      <c r="AI643" s="278">
        <f t="shared" si="678"/>
        <v>0</v>
      </c>
      <c r="AJ643" s="242">
        <v>0</v>
      </c>
      <c r="AK643" s="272"/>
      <c r="AL643" s="251" t="s">
        <v>133</v>
      </c>
      <c r="AM643" s="243">
        <v>5</v>
      </c>
      <c r="AN643" s="272"/>
      <c r="AO643" s="72"/>
      <c r="AP643" s="119" t="s">
        <v>58</v>
      </c>
      <c r="AQ643" s="136">
        <v>50</v>
      </c>
      <c r="AR643" s="122">
        <v>0</v>
      </c>
      <c r="AS643" s="123">
        <v>0</v>
      </c>
      <c r="AT643" s="124">
        <v>50</v>
      </c>
      <c r="AU643" s="272"/>
      <c r="AV643" s="272"/>
      <c r="AW643" s="272"/>
      <c r="AX643" s="138" t="s">
        <v>147</v>
      </c>
    </row>
    <row r="644" spans="1:50" s="95" customFormat="1" ht="55.5" x14ac:dyDescent="0.25">
      <c r="A644" s="299"/>
      <c r="B644" s="115" t="s">
        <v>224</v>
      </c>
      <c r="C644" s="115" t="s">
        <v>449</v>
      </c>
      <c r="D644" s="117" t="s">
        <v>208</v>
      </c>
      <c r="E644" s="117" t="s">
        <v>70</v>
      </c>
      <c r="F644" s="272"/>
      <c r="G644" s="119" t="s">
        <v>227</v>
      </c>
      <c r="H644" s="272"/>
      <c r="I644" s="239"/>
      <c r="J644" s="231"/>
      <c r="K644" s="225"/>
      <c r="L644" s="227"/>
      <c r="M644" s="233"/>
      <c r="N644" s="278">
        <f t="shared" si="679"/>
        <v>0</v>
      </c>
      <c r="O644" s="242"/>
      <c r="P644" s="71"/>
      <c r="Q644" s="272"/>
      <c r="R644" s="251"/>
      <c r="S644" s="276"/>
      <c r="T644" s="286"/>
      <c r="U644" s="272"/>
      <c r="V644" s="239"/>
      <c r="W644" s="231"/>
      <c r="X644" s="225"/>
      <c r="Y644" s="227"/>
      <c r="Z644" s="233"/>
      <c r="AA644" s="278">
        <f t="shared" ref="AA644:AA691" si="730">SUM(V644:Z644)</f>
        <v>0</v>
      </c>
      <c r="AB644" s="242"/>
      <c r="AC644" s="272"/>
      <c r="AD644" s="239"/>
      <c r="AE644" s="231"/>
      <c r="AF644" s="225"/>
      <c r="AG644" s="227"/>
      <c r="AH644" s="233"/>
      <c r="AI644" s="278">
        <f t="shared" ref="AI644:AI691" si="731">SUM(AD644:AH644)</f>
        <v>0</v>
      </c>
      <c r="AJ644" s="242"/>
      <c r="AK644" s="272"/>
      <c r="AL644" s="251"/>
      <c r="AM644" s="243"/>
      <c r="AN644" s="272"/>
      <c r="AO644" s="72"/>
      <c r="AP644" s="119" t="s">
        <v>127</v>
      </c>
      <c r="AQ644" s="136">
        <v>1</v>
      </c>
      <c r="AR644" s="122">
        <f>AQ644/4*1</f>
        <v>0.25</v>
      </c>
      <c r="AS644" s="123">
        <v>0</v>
      </c>
      <c r="AT644" s="124">
        <v>1</v>
      </c>
      <c r="AU644" s="272"/>
      <c r="AV644" s="272"/>
      <c r="AW644" s="272"/>
      <c r="AX644" s="138" t="s">
        <v>147</v>
      </c>
    </row>
    <row r="645" spans="1:50" s="95" customFormat="1" ht="55.5" x14ac:dyDescent="0.25">
      <c r="A645" s="299"/>
      <c r="B645" s="115" t="s">
        <v>224</v>
      </c>
      <c r="C645" s="115" t="s">
        <v>449</v>
      </c>
      <c r="D645" s="117" t="s">
        <v>208</v>
      </c>
      <c r="E645" s="117" t="s">
        <v>70</v>
      </c>
      <c r="F645" s="142" t="s">
        <v>61</v>
      </c>
      <c r="G645" s="127"/>
      <c r="H645" s="143">
        <f>SUM(H640:H644)</f>
        <v>140</v>
      </c>
      <c r="I645" s="143">
        <f t="shared" ref="I645" si="732">SUM(I640:I644)</f>
        <v>0</v>
      </c>
      <c r="J645" s="143">
        <f t="shared" ref="J645:M645" si="733">SUM(J640:J644)</f>
        <v>5</v>
      </c>
      <c r="K645" s="143">
        <f t="shared" si="733"/>
        <v>5</v>
      </c>
      <c r="L645" s="143">
        <f t="shared" si="733"/>
        <v>1</v>
      </c>
      <c r="M645" s="143">
        <f t="shared" si="733"/>
        <v>2</v>
      </c>
      <c r="N645" s="143">
        <f t="shared" si="679"/>
        <v>13</v>
      </c>
      <c r="O645" s="143">
        <f t="shared" ref="O645" si="734">SUM(O640:O644)</f>
        <v>130</v>
      </c>
      <c r="P645" s="143"/>
      <c r="Q645" s="177"/>
      <c r="R645" s="129"/>
      <c r="S645" s="172"/>
      <c r="T645" s="130"/>
      <c r="U645" s="143">
        <f>SUM(U640:U644)</f>
        <v>400</v>
      </c>
      <c r="V645" s="143">
        <f t="shared" ref="V645" si="735">SUM(V640:V644)</f>
        <v>1</v>
      </c>
      <c r="W645" s="143">
        <f t="shared" ref="W645:AJ645" si="736">SUM(W640:W644)</f>
        <v>5</v>
      </c>
      <c r="X645" s="143">
        <f t="shared" si="736"/>
        <v>3</v>
      </c>
      <c r="Y645" s="143">
        <f t="shared" si="736"/>
        <v>1</v>
      </c>
      <c r="Z645" s="143">
        <f t="shared" si="736"/>
        <v>2</v>
      </c>
      <c r="AA645" s="143">
        <f t="shared" si="730"/>
        <v>12</v>
      </c>
      <c r="AB645" s="143">
        <f t="shared" si="736"/>
        <v>435</v>
      </c>
      <c r="AC645" s="143">
        <f t="shared" si="736"/>
        <v>60</v>
      </c>
      <c r="AD645" s="143">
        <f t="shared" si="736"/>
        <v>0</v>
      </c>
      <c r="AE645" s="143">
        <f t="shared" si="736"/>
        <v>0</v>
      </c>
      <c r="AF645" s="143">
        <f t="shared" si="736"/>
        <v>0</v>
      </c>
      <c r="AG645" s="143">
        <f t="shared" ref="AG645" si="737">SUM(AG640:AG644)</f>
        <v>0</v>
      </c>
      <c r="AH645" s="143">
        <f t="shared" si="736"/>
        <v>0</v>
      </c>
      <c r="AI645" s="143">
        <f t="shared" si="731"/>
        <v>0</v>
      </c>
      <c r="AJ645" s="143">
        <f t="shared" si="736"/>
        <v>60</v>
      </c>
      <c r="AK645" s="142"/>
      <c r="AL645" s="127"/>
      <c r="AM645" s="142">
        <f>SUM(AM640:AM644)</f>
        <v>45</v>
      </c>
      <c r="AN645" s="142"/>
      <c r="AO645" s="142"/>
      <c r="AP645" s="127"/>
      <c r="AQ645" s="143">
        <f>SUM(AQ640:AQ644)</f>
        <v>561</v>
      </c>
      <c r="AR645" s="143">
        <f>SUM(AR640:AR644)</f>
        <v>0.25</v>
      </c>
      <c r="AS645" s="143">
        <f>SUM(AS640:AS644)</f>
        <v>0</v>
      </c>
      <c r="AT645" s="143">
        <f>SUM(AT640:AT644)</f>
        <v>561</v>
      </c>
      <c r="AU645" s="180"/>
      <c r="AV645" s="142"/>
      <c r="AW645" s="127"/>
      <c r="AX645" s="127" t="s">
        <v>451</v>
      </c>
    </row>
    <row r="646" spans="1:50" s="95" customFormat="1" ht="36" x14ac:dyDescent="0.25">
      <c r="A646" s="299"/>
      <c r="B646" s="115" t="s">
        <v>224</v>
      </c>
      <c r="C646" s="115" t="s">
        <v>452</v>
      </c>
      <c r="D646" s="117" t="s">
        <v>106</v>
      </c>
      <c r="E646" s="117" t="s">
        <v>75</v>
      </c>
      <c r="F646" s="267"/>
      <c r="G646" s="119" t="s">
        <v>178</v>
      </c>
      <c r="H646" s="119">
        <v>5</v>
      </c>
      <c r="I646" s="199">
        <v>0</v>
      </c>
      <c r="J646" s="103">
        <v>0</v>
      </c>
      <c r="K646" s="104">
        <v>0</v>
      </c>
      <c r="L646" s="105">
        <v>0</v>
      </c>
      <c r="M646" s="106">
        <v>0</v>
      </c>
      <c r="N646" s="133">
        <f t="shared" si="679"/>
        <v>0</v>
      </c>
      <c r="O646" s="71">
        <v>5</v>
      </c>
      <c r="P646" s="71"/>
      <c r="Q646" s="119"/>
      <c r="R646" s="119" t="s">
        <v>51</v>
      </c>
      <c r="S646" s="120" t="s">
        <v>453</v>
      </c>
      <c r="T646" s="119" t="s">
        <v>454</v>
      </c>
      <c r="U646" s="119">
        <v>5</v>
      </c>
      <c r="V646" s="199">
        <v>0</v>
      </c>
      <c r="W646" s="103">
        <v>0</v>
      </c>
      <c r="X646" s="104">
        <v>0</v>
      </c>
      <c r="Y646" s="105">
        <v>0</v>
      </c>
      <c r="Z646" s="106">
        <v>0</v>
      </c>
      <c r="AA646" s="133">
        <f t="shared" si="730"/>
        <v>0</v>
      </c>
      <c r="AB646" s="71">
        <v>5</v>
      </c>
      <c r="AC646" s="119">
        <v>1</v>
      </c>
      <c r="AD646" s="199">
        <v>0</v>
      </c>
      <c r="AE646" s="103">
        <v>0</v>
      </c>
      <c r="AF646" s="104">
        <v>0</v>
      </c>
      <c r="AG646" s="105">
        <v>0</v>
      </c>
      <c r="AH646" s="106">
        <v>0</v>
      </c>
      <c r="AI646" s="133">
        <f t="shared" si="731"/>
        <v>0</v>
      </c>
      <c r="AJ646" s="71">
        <v>1</v>
      </c>
      <c r="AK646" s="119"/>
      <c r="AL646" s="119"/>
      <c r="AM646" s="46"/>
      <c r="AN646" s="119"/>
      <c r="AO646" s="46"/>
      <c r="AP646" s="119" t="s">
        <v>58</v>
      </c>
      <c r="AQ646" s="119">
        <v>1</v>
      </c>
      <c r="AR646" s="122">
        <v>0</v>
      </c>
      <c r="AS646" s="123">
        <v>0</v>
      </c>
      <c r="AT646" s="124">
        <v>1</v>
      </c>
      <c r="AU646" s="119"/>
      <c r="AV646" s="119"/>
      <c r="AW646" s="117"/>
      <c r="AX646" s="117" t="s">
        <v>126</v>
      </c>
    </row>
    <row r="647" spans="1:50" s="95" customFormat="1" ht="36" x14ac:dyDescent="0.25">
      <c r="A647" s="299"/>
      <c r="B647" s="115" t="s">
        <v>224</v>
      </c>
      <c r="C647" s="115" t="s">
        <v>452</v>
      </c>
      <c r="D647" s="117" t="s">
        <v>106</v>
      </c>
      <c r="E647" s="117" t="s">
        <v>75</v>
      </c>
      <c r="F647" s="268"/>
      <c r="G647" s="119" t="s">
        <v>227</v>
      </c>
      <c r="H647" s="119">
        <v>5</v>
      </c>
      <c r="I647" s="199">
        <v>0</v>
      </c>
      <c r="J647" s="103">
        <v>0</v>
      </c>
      <c r="K647" s="104">
        <v>0</v>
      </c>
      <c r="L647" s="105">
        <v>0</v>
      </c>
      <c r="M647" s="106">
        <v>0</v>
      </c>
      <c r="N647" s="133">
        <f t="shared" si="679"/>
        <v>0</v>
      </c>
      <c r="O647" s="71">
        <v>5</v>
      </c>
      <c r="P647" s="71"/>
      <c r="Q647" s="119"/>
      <c r="R647" s="119" t="s">
        <v>51</v>
      </c>
      <c r="S647" s="120" t="s">
        <v>453</v>
      </c>
      <c r="T647" s="119" t="s">
        <v>454</v>
      </c>
      <c r="U647" s="119">
        <v>5</v>
      </c>
      <c r="V647" s="199">
        <v>0</v>
      </c>
      <c r="W647" s="103">
        <v>0</v>
      </c>
      <c r="X647" s="104">
        <v>0</v>
      </c>
      <c r="Y647" s="105">
        <v>0</v>
      </c>
      <c r="Z647" s="106">
        <v>0</v>
      </c>
      <c r="AA647" s="133">
        <f t="shared" si="730"/>
        <v>0</v>
      </c>
      <c r="AB647" s="71">
        <v>5</v>
      </c>
      <c r="AC647" s="119">
        <v>0</v>
      </c>
      <c r="AD647" s="199">
        <v>0</v>
      </c>
      <c r="AE647" s="103">
        <v>0</v>
      </c>
      <c r="AF647" s="104">
        <v>0</v>
      </c>
      <c r="AG647" s="105">
        <v>0</v>
      </c>
      <c r="AH647" s="106">
        <v>0</v>
      </c>
      <c r="AI647" s="133">
        <f t="shared" si="731"/>
        <v>0</v>
      </c>
      <c r="AJ647" s="71">
        <v>0</v>
      </c>
      <c r="AK647" s="119"/>
      <c r="AL647" s="119"/>
      <c r="AM647" s="46"/>
      <c r="AN647" s="119"/>
      <c r="AO647" s="46"/>
      <c r="AP647" s="119"/>
      <c r="AQ647" s="119"/>
      <c r="AR647" s="122"/>
      <c r="AS647" s="123"/>
      <c r="AT647" s="124"/>
      <c r="AU647" s="119"/>
      <c r="AV647" s="119"/>
      <c r="AW647" s="117"/>
      <c r="AX647" s="117" t="s">
        <v>126</v>
      </c>
    </row>
    <row r="648" spans="1:50" s="95" customFormat="1" ht="36" x14ac:dyDescent="0.25">
      <c r="A648" s="299"/>
      <c r="B648" s="115" t="s">
        <v>224</v>
      </c>
      <c r="C648" s="115" t="s">
        <v>452</v>
      </c>
      <c r="D648" s="117" t="s">
        <v>106</v>
      </c>
      <c r="E648" s="117" t="s">
        <v>75</v>
      </c>
      <c r="F648" s="269"/>
      <c r="G648" s="119" t="s">
        <v>228</v>
      </c>
      <c r="H648" s="119">
        <v>5</v>
      </c>
      <c r="I648" s="199">
        <v>0</v>
      </c>
      <c r="J648" s="103">
        <v>0</v>
      </c>
      <c r="K648" s="104">
        <v>0</v>
      </c>
      <c r="L648" s="105">
        <v>0</v>
      </c>
      <c r="M648" s="106">
        <v>0</v>
      </c>
      <c r="N648" s="133">
        <f t="shared" si="679"/>
        <v>0</v>
      </c>
      <c r="O648" s="71">
        <v>5</v>
      </c>
      <c r="P648" s="71"/>
      <c r="Q648" s="119"/>
      <c r="R648" s="119" t="s">
        <v>51</v>
      </c>
      <c r="S648" s="120" t="s">
        <v>453</v>
      </c>
      <c r="T648" s="119" t="s">
        <v>454</v>
      </c>
      <c r="U648" s="119">
        <v>5</v>
      </c>
      <c r="V648" s="199">
        <v>0</v>
      </c>
      <c r="W648" s="103">
        <v>0</v>
      </c>
      <c r="X648" s="104">
        <v>0</v>
      </c>
      <c r="Y648" s="105">
        <v>0</v>
      </c>
      <c r="Z648" s="106">
        <v>0</v>
      </c>
      <c r="AA648" s="133">
        <f t="shared" si="730"/>
        <v>0</v>
      </c>
      <c r="AB648" s="71">
        <v>5</v>
      </c>
      <c r="AC648" s="119">
        <v>0</v>
      </c>
      <c r="AD648" s="199">
        <v>0</v>
      </c>
      <c r="AE648" s="103">
        <v>0</v>
      </c>
      <c r="AF648" s="104">
        <v>0</v>
      </c>
      <c r="AG648" s="105">
        <v>0</v>
      </c>
      <c r="AH648" s="106">
        <v>0</v>
      </c>
      <c r="AI648" s="133">
        <f t="shared" si="731"/>
        <v>0</v>
      </c>
      <c r="AJ648" s="71">
        <v>0</v>
      </c>
      <c r="AK648" s="119"/>
      <c r="AL648" s="119"/>
      <c r="AM648" s="46"/>
      <c r="AN648" s="119"/>
      <c r="AO648" s="46"/>
      <c r="AP648" s="119"/>
      <c r="AQ648" s="119"/>
      <c r="AR648" s="122"/>
      <c r="AS648" s="123"/>
      <c r="AT648" s="124"/>
      <c r="AU648" s="119"/>
      <c r="AV648" s="119"/>
      <c r="AW648" s="117"/>
      <c r="AX648" s="117" t="s">
        <v>126</v>
      </c>
    </row>
    <row r="649" spans="1:50" s="95" customFormat="1" ht="36" x14ac:dyDescent="0.25">
      <c r="A649" s="299"/>
      <c r="B649" s="115" t="s">
        <v>224</v>
      </c>
      <c r="C649" s="115" t="s">
        <v>452</v>
      </c>
      <c r="D649" s="117" t="s">
        <v>106</v>
      </c>
      <c r="E649" s="117" t="s">
        <v>75</v>
      </c>
      <c r="F649" s="142" t="s">
        <v>61</v>
      </c>
      <c r="G649" s="127"/>
      <c r="H649" s="143">
        <f>SUBTOTAL(9,H646:H648)</f>
        <v>15</v>
      </c>
      <c r="I649" s="143">
        <f t="shared" ref="I649" si="738">SUBTOTAL(9,I646:I648)</f>
        <v>0</v>
      </c>
      <c r="J649" s="143">
        <f t="shared" ref="J649:O649" si="739">SUBTOTAL(9,J646:J648)</f>
        <v>0</v>
      </c>
      <c r="K649" s="143">
        <f t="shared" si="739"/>
        <v>0</v>
      </c>
      <c r="L649" s="143">
        <f t="shared" si="739"/>
        <v>0</v>
      </c>
      <c r="M649" s="143">
        <f t="shared" si="739"/>
        <v>0</v>
      </c>
      <c r="N649" s="143">
        <f t="shared" ref="N649:N691" si="740">SUM(I649:M649)</f>
        <v>0</v>
      </c>
      <c r="O649" s="143">
        <f t="shared" si="739"/>
        <v>15</v>
      </c>
      <c r="P649" s="143"/>
      <c r="Q649" s="177"/>
      <c r="R649" s="129"/>
      <c r="S649" s="172"/>
      <c r="T649" s="130"/>
      <c r="U649" s="143">
        <f>SUBTOTAL(9,U646:U648)</f>
        <v>15</v>
      </c>
      <c r="V649" s="143">
        <f t="shared" ref="V649" si="741">SUBTOTAL(9,V646:V648)</f>
        <v>0</v>
      </c>
      <c r="W649" s="143">
        <f t="shared" ref="W649:AJ649" si="742">SUBTOTAL(9,W646:W648)</f>
        <v>0</v>
      </c>
      <c r="X649" s="143">
        <f t="shared" si="742"/>
        <v>0</v>
      </c>
      <c r="Y649" s="143">
        <f t="shared" si="742"/>
        <v>0</v>
      </c>
      <c r="Z649" s="143">
        <f t="shared" si="742"/>
        <v>0</v>
      </c>
      <c r="AA649" s="143">
        <f t="shared" si="730"/>
        <v>0</v>
      </c>
      <c r="AB649" s="143">
        <f t="shared" si="742"/>
        <v>15</v>
      </c>
      <c r="AC649" s="143">
        <f t="shared" si="742"/>
        <v>1</v>
      </c>
      <c r="AD649" s="143">
        <f t="shared" si="742"/>
        <v>0</v>
      </c>
      <c r="AE649" s="143">
        <f t="shared" si="742"/>
        <v>0</v>
      </c>
      <c r="AF649" s="143">
        <f t="shared" si="742"/>
        <v>0</v>
      </c>
      <c r="AG649" s="143">
        <f t="shared" ref="AG649" si="743">SUBTOTAL(9,AG646:AG648)</f>
        <v>0</v>
      </c>
      <c r="AH649" s="143">
        <f t="shared" si="742"/>
        <v>0</v>
      </c>
      <c r="AI649" s="143">
        <f t="shared" si="731"/>
        <v>0</v>
      </c>
      <c r="AJ649" s="143">
        <f t="shared" si="742"/>
        <v>1</v>
      </c>
      <c r="AK649" s="142"/>
      <c r="AL649" s="127"/>
      <c r="AM649" s="142"/>
      <c r="AN649" s="142"/>
      <c r="AO649" s="142"/>
      <c r="AP649" s="127"/>
      <c r="AQ649" s="143">
        <f>SUBTOTAL(9,AQ646:AQ648)</f>
        <v>1</v>
      </c>
      <c r="AR649" s="143">
        <f t="shared" ref="AR649:AT649" si="744">SUBTOTAL(9,AR646:AR648)</f>
        <v>0</v>
      </c>
      <c r="AS649" s="143">
        <f t="shared" si="744"/>
        <v>0</v>
      </c>
      <c r="AT649" s="143">
        <f t="shared" si="744"/>
        <v>1</v>
      </c>
      <c r="AU649" s="180"/>
      <c r="AV649" s="142"/>
      <c r="AW649" s="127"/>
      <c r="AX649" s="127" t="s">
        <v>126</v>
      </c>
    </row>
    <row r="650" spans="1:50" s="95" customFormat="1" ht="36" x14ac:dyDescent="0.25">
      <c r="A650" s="299"/>
      <c r="B650" s="115" t="s">
        <v>224</v>
      </c>
      <c r="C650" s="115" t="s">
        <v>455</v>
      </c>
      <c r="D650" s="117" t="s">
        <v>106</v>
      </c>
      <c r="E650" s="117" t="s">
        <v>75</v>
      </c>
      <c r="F650" s="267"/>
      <c r="G650" s="119" t="s">
        <v>178</v>
      </c>
      <c r="H650" s="119">
        <v>5</v>
      </c>
      <c r="I650" s="199">
        <v>0</v>
      </c>
      <c r="J650" s="103">
        <v>0</v>
      </c>
      <c r="K650" s="104">
        <v>0</v>
      </c>
      <c r="L650" s="105">
        <v>0</v>
      </c>
      <c r="M650" s="106">
        <v>0</v>
      </c>
      <c r="N650" s="133">
        <f t="shared" si="740"/>
        <v>0</v>
      </c>
      <c r="O650" s="71">
        <v>5</v>
      </c>
      <c r="P650" s="71"/>
      <c r="Q650" s="119"/>
      <c r="R650" s="119" t="s">
        <v>179</v>
      </c>
      <c r="S650" s="120" t="s">
        <v>456</v>
      </c>
      <c r="T650" s="119" t="s">
        <v>457</v>
      </c>
      <c r="U650" s="119">
        <v>5</v>
      </c>
      <c r="V650" s="199">
        <v>0</v>
      </c>
      <c r="W650" s="103">
        <v>0</v>
      </c>
      <c r="X650" s="104">
        <v>0</v>
      </c>
      <c r="Y650" s="105">
        <v>0</v>
      </c>
      <c r="Z650" s="106">
        <v>0</v>
      </c>
      <c r="AA650" s="133">
        <f t="shared" si="730"/>
        <v>0</v>
      </c>
      <c r="AB650" s="71">
        <v>5</v>
      </c>
      <c r="AC650" s="119">
        <v>1</v>
      </c>
      <c r="AD650" s="199">
        <v>0</v>
      </c>
      <c r="AE650" s="103">
        <v>0</v>
      </c>
      <c r="AF650" s="104">
        <v>0</v>
      </c>
      <c r="AG650" s="105">
        <v>0</v>
      </c>
      <c r="AH650" s="106">
        <v>0</v>
      </c>
      <c r="AI650" s="133">
        <f t="shared" si="731"/>
        <v>0</v>
      </c>
      <c r="AJ650" s="71">
        <v>1</v>
      </c>
      <c r="AK650" s="119"/>
      <c r="AL650" s="119"/>
      <c r="AM650" s="46"/>
      <c r="AN650" s="119"/>
      <c r="AO650" s="46"/>
      <c r="AP650" s="119" t="s">
        <v>58</v>
      </c>
      <c r="AQ650" s="119">
        <v>1</v>
      </c>
      <c r="AR650" s="122">
        <v>0</v>
      </c>
      <c r="AS650" s="123">
        <v>0</v>
      </c>
      <c r="AT650" s="124">
        <v>1</v>
      </c>
      <c r="AU650" s="119"/>
      <c r="AV650" s="119"/>
      <c r="AW650" s="117"/>
      <c r="AX650" s="117" t="s">
        <v>126</v>
      </c>
    </row>
    <row r="651" spans="1:50" s="95" customFormat="1" ht="36" x14ac:dyDescent="0.25">
      <c r="A651" s="299"/>
      <c r="B651" s="115" t="s">
        <v>224</v>
      </c>
      <c r="C651" s="115" t="s">
        <v>455</v>
      </c>
      <c r="D651" s="117" t="s">
        <v>106</v>
      </c>
      <c r="E651" s="117" t="s">
        <v>75</v>
      </c>
      <c r="F651" s="269"/>
      <c r="G651" s="119" t="s">
        <v>227</v>
      </c>
      <c r="H651" s="119">
        <v>5</v>
      </c>
      <c r="I651" s="199">
        <v>0</v>
      </c>
      <c r="J651" s="103">
        <v>0</v>
      </c>
      <c r="K651" s="104">
        <v>0</v>
      </c>
      <c r="L651" s="105">
        <v>0</v>
      </c>
      <c r="M651" s="106">
        <v>0</v>
      </c>
      <c r="N651" s="133">
        <f t="shared" si="740"/>
        <v>0</v>
      </c>
      <c r="O651" s="71">
        <v>5</v>
      </c>
      <c r="P651" s="71"/>
      <c r="Q651" s="119"/>
      <c r="R651" s="119" t="s">
        <v>179</v>
      </c>
      <c r="S651" s="120" t="s">
        <v>456</v>
      </c>
      <c r="T651" s="119" t="s">
        <v>457</v>
      </c>
      <c r="U651" s="119">
        <v>5</v>
      </c>
      <c r="V651" s="199">
        <v>0</v>
      </c>
      <c r="W651" s="103">
        <v>0</v>
      </c>
      <c r="X651" s="104">
        <v>0</v>
      </c>
      <c r="Y651" s="105">
        <v>0</v>
      </c>
      <c r="Z651" s="106">
        <v>0</v>
      </c>
      <c r="AA651" s="133">
        <f t="shared" si="730"/>
        <v>0</v>
      </c>
      <c r="AB651" s="71">
        <v>5</v>
      </c>
      <c r="AC651" s="119">
        <v>0</v>
      </c>
      <c r="AD651" s="199">
        <v>0</v>
      </c>
      <c r="AE651" s="103">
        <v>0</v>
      </c>
      <c r="AF651" s="104">
        <v>0</v>
      </c>
      <c r="AG651" s="105">
        <v>0</v>
      </c>
      <c r="AH651" s="106">
        <v>0</v>
      </c>
      <c r="AI651" s="133">
        <f t="shared" si="731"/>
        <v>0</v>
      </c>
      <c r="AJ651" s="71">
        <v>0</v>
      </c>
      <c r="AK651" s="119"/>
      <c r="AL651" s="119"/>
      <c r="AM651" s="46"/>
      <c r="AN651" s="119"/>
      <c r="AO651" s="46"/>
      <c r="AP651" s="119"/>
      <c r="AQ651" s="119"/>
      <c r="AR651" s="122"/>
      <c r="AS651" s="123"/>
      <c r="AT651" s="124"/>
      <c r="AU651" s="119"/>
      <c r="AV651" s="119"/>
      <c r="AW651" s="117"/>
      <c r="AX651" s="117" t="s">
        <v>126</v>
      </c>
    </row>
    <row r="652" spans="1:50" s="95" customFormat="1" ht="36" x14ac:dyDescent="0.25">
      <c r="A652" s="299"/>
      <c r="B652" s="115" t="s">
        <v>224</v>
      </c>
      <c r="C652" s="115" t="s">
        <v>455</v>
      </c>
      <c r="D652" s="117" t="s">
        <v>106</v>
      </c>
      <c r="E652" s="117" t="s">
        <v>75</v>
      </c>
      <c r="F652" s="142" t="s">
        <v>61</v>
      </c>
      <c r="G652" s="127"/>
      <c r="H652" s="143">
        <f>SUBTOTAL(9,H650:H651)</f>
        <v>10</v>
      </c>
      <c r="I652" s="143">
        <f t="shared" ref="I652" si="745">SUBTOTAL(9,I650:I651)</f>
        <v>0</v>
      </c>
      <c r="J652" s="143">
        <f t="shared" ref="J652:O652" si="746">SUBTOTAL(9,J650:J651)</f>
        <v>0</v>
      </c>
      <c r="K652" s="143">
        <f t="shared" si="746"/>
        <v>0</v>
      </c>
      <c r="L652" s="143">
        <f t="shared" si="746"/>
        <v>0</v>
      </c>
      <c r="M652" s="143">
        <f t="shared" si="746"/>
        <v>0</v>
      </c>
      <c r="N652" s="143">
        <f t="shared" si="740"/>
        <v>0</v>
      </c>
      <c r="O652" s="143">
        <f t="shared" si="746"/>
        <v>10</v>
      </c>
      <c r="P652" s="143"/>
      <c r="Q652" s="177"/>
      <c r="R652" s="129"/>
      <c r="S652" s="172"/>
      <c r="T652" s="130"/>
      <c r="U652" s="143">
        <f>SUBTOTAL(9,U650:U651)</f>
        <v>10</v>
      </c>
      <c r="V652" s="143">
        <f t="shared" ref="V652" si="747">SUBTOTAL(9,V650:V651)</f>
        <v>0</v>
      </c>
      <c r="W652" s="143">
        <f t="shared" ref="W652:AJ652" si="748">SUBTOTAL(9,W650:W651)</f>
        <v>0</v>
      </c>
      <c r="X652" s="143">
        <f t="shared" si="748"/>
        <v>0</v>
      </c>
      <c r="Y652" s="143">
        <f t="shared" si="748"/>
        <v>0</v>
      </c>
      <c r="Z652" s="143">
        <f t="shared" si="748"/>
        <v>0</v>
      </c>
      <c r="AA652" s="143">
        <f t="shared" si="730"/>
        <v>0</v>
      </c>
      <c r="AB652" s="143">
        <f t="shared" si="748"/>
        <v>10</v>
      </c>
      <c r="AC652" s="143">
        <f t="shared" si="748"/>
        <v>1</v>
      </c>
      <c r="AD652" s="143">
        <f t="shared" si="748"/>
        <v>0</v>
      </c>
      <c r="AE652" s="143">
        <f t="shared" si="748"/>
        <v>0</v>
      </c>
      <c r="AF652" s="143">
        <f t="shared" si="748"/>
        <v>0</v>
      </c>
      <c r="AG652" s="143">
        <f t="shared" ref="AG652" si="749">SUBTOTAL(9,AG650:AG651)</f>
        <v>0</v>
      </c>
      <c r="AH652" s="143">
        <f t="shared" si="748"/>
        <v>0</v>
      </c>
      <c r="AI652" s="143">
        <f t="shared" si="731"/>
        <v>0</v>
      </c>
      <c r="AJ652" s="143">
        <f t="shared" si="748"/>
        <v>1</v>
      </c>
      <c r="AK652" s="142"/>
      <c r="AL652" s="127"/>
      <c r="AM652" s="142"/>
      <c r="AN652" s="142"/>
      <c r="AO652" s="142"/>
      <c r="AP652" s="127"/>
      <c r="AQ652" s="143">
        <f>SUBTOTAL(9,AQ650:AQ651)</f>
        <v>1</v>
      </c>
      <c r="AR652" s="143">
        <f t="shared" ref="AR652:AT652" si="750">SUBTOTAL(9,AR650:AR651)</f>
        <v>0</v>
      </c>
      <c r="AS652" s="143">
        <f t="shared" si="750"/>
        <v>0</v>
      </c>
      <c r="AT652" s="143">
        <f t="shared" si="750"/>
        <v>1</v>
      </c>
      <c r="AU652" s="180"/>
      <c r="AV652" s="142"/>
      <c r="AW652" s="127"/>
      <c r="AX652" s="127" t="s">
        <v>126</v>
      </c>
    </row>
    <row r="653" spans="1:50" s="95" customFormat="1" ht="37.5" x14ac:dyDescent="0.25">
      <c r="A653" s="299"/>
      <c r="B653" s="115" t="s">
        <v>224</v>
      </c>
      <c r="C653" s="115" t="s">
        <v>458</v>
      </c>
      <c r="D653" s="117" t="s">
        <v>106</v>
      </c>
      <c r="E653" s="117" t="s">
        <v>75</v>
      </c>
      <c r="F653" s="267"/>
      <c r="G653" s="119" t="s">
        <v>178</v>
      </c>
      <c r="H653" s="119">
        <v>5</v>
      </c>
      <c r="I653" s="199">
        <v>0</v>
      </c>
      <c r="J653" s="103">
        <v>0</v>
      </c>
      <c r="K653" s="104">
        <v>0</v>
      </c>
      <c r="L653" s="105">
        <v>0</v>
      </c>
      <c r="M653" s="106">
        <v>0</v>
      </c>
      <c r="N653" s="133">
        <f t="shared" si="740"/>
        <v>0</v>
      </c>
      <c r="O653" s="71">
        <v>5</v>
      </c>
      <c r="P653" s="71"/>
      <c r="Q653" s="119"/>
      <c r="R653" s="119" t="s">
        <v>179</v>
      </c>
      <c r="S653" s="120" t="s">
        <v>459</v>
      </c>
      <c r="T653" s="119" t="s">
        <v>457</v>
      </c>
      <c r="U653" s="119">
        <v>5</v>
      </c>
      <c r="V653" s="199">
        <v>0</v>
      </c>
      <c r="W653" s="103">
        <v>0</v>
      </c>
      <c r="X653" s="104">
        <v>0</v>
      </c>
      <c r="Y653" s="105">
        <v>0</v>
      </c>
      <c r="Z653" s="106">
        <v>0</v>
      </c>
      <c r="AA653" s="133">
        <f t="shared" si="730"/>
        <v>0</v>
      </c>
      <c r="AB653" s="71">
        <v>5</v>
      </c>
      <c r="AC653" s="119">
        <v>1</v>
      </c>
      <c r="AD653" s="199">
        <v>0</v>
      </c>
      <c r="AE653" s="103">
        <v>0</v>
      </c>
      <c r="AF653" s="104">
        <v>0</v>
      </c>
      <c r="AG653" s="105">
        <v>0</v>
      </c>
      <c r="AH653" s="106">
        <v>0</v>
      </c>
      <c r="AI653" s="133">
        <f t="shared" si="731"/>
        <v>0</v>
      </c>
      <c r="AJ653" s="71">
        <v>1</v>
      </c>
      <c r="AK653" s="119"/>
      <c r="AL653" s="119"/>
      <c r="AM653" s="46"/>
      <c r="AN653" s="119"/>
      <c r="AO653" s="46"/>
      <c r="AP653" s="119" t="s">
        <v>58</v>
      </c>
      <c r="AQ653" s="119">
        <v>1</v>
      </c>
      <c r="AR653" s="122">
        <v>0</v>
      </c>
      <c r="AS653" s="123">
        <v>0</v>
      </c>
      <c r="AT653" s="124">
        <v>1</v>
      </c>
      <c r="AU653" s="119"/>
      <c r="AV653" s="119"/>
      <c r="AW653" s="117"/>
      <c r="AX653" s="117" t="s">
        <v>126</v>
      </c>
    </row>
    <row r="654" spans="1:50" s="95" customFormat="1" ht="37.5" x14ac:dyDescent="0.25">
      <c r="A654" s="299"/>
      <c r="B654" s="115" t="s">
        <v>224</v>
      </c>
      <c r="C654" s="115" t="s">
        <v>458</v>
      </c>
      <c r="D654" s="117" t="s">
        <v>106</v>
      </c>
      <c r="E654" s="117" t="s">
        <v>75</v>
      </c>
      <c r="F654" s="269"/>
      <c r="G654" s="119" t="s">
        <v>227</v>
      </c>
      <c r="H654" s="119">
        <v>5</v>
      </c>
      <c r="I654" s="199">
        <v>0</v>
      </c>
      <c r="J654" s="103">
        <v>0</v>
      </c>
      <c r="K654" s="104">
        <v>0</v>
      </c>
      <c r="L654" s="105">
        <v>0</v>
      </c>
      <c r="M654" s="106">
        <v>0</v>
      </c>
      <c r="N654" s="133">
        <f t="shared" si="740"/>
        <v>0</v>
      </c>
      <c r="O654" s="71">
        <v>5</v>
      </c>
      <c r="P654" s="71"/>
      <c r="Q654" s="119"/>
      <c r="R654" s="119" t="s">
        <v>179</v>
      </c>
      <c r="S654" s="120" t="s">
        <v>459</v>
      </c>
      <c r="T654" s="119" t="s">
        <v>457</v>
      </c>
      <c r="U654" s="119">
        <v>5</v>
      </c>
      <c r="V654" s="199">
        <v>0</v>
      </c>
      <c r="W654" s="103">
        <v>0</v>
      </c>
      <c r="X654" s="104">
        <v>0</v>
      </c>
      <c r="Y654" s="105">
        <v>0</v>
      </c>
      <c r="Z654" s="106">
        <v>0</v>
      </c>
      <c r="AA654" s="133">
        <f t="shared" si="730"/>
        <v>0</v>
      </c>
      <c r="AB654" s="71">
        <v>5</v>
      </c>
      <c r="AC654" s="119">
        <v>0</v>
      </c>
      <c r="AD654" s="199">
        <v>0</v>
      </c>
      <c r="AE654" s="103">
        <v>0</v>
      </c>
      <c r="AF654" s="104">
        <v>0</v>
      </c>
      <c r="AG654" s="105">
        <v>0</v>
      </c>
      <c r="AH654" s="106">
        <v>0</v>
      </c>
      <c r="AI654" s="133">
        <f t="shared" si="731"/>
        <v>0</v>
      </c>
      <c r="AJ654" s="71">
        <v>0</v>
      </c>
      <c r="AK654" s="119"/>
      <c r="AL654" s="119"/>
      <c r="AM654" s="46"/>
      <c r="AN654" s="119"/>
      <c r="AO654" s="46"/>
      <c r="AP654" s="119"/>
      <c r="AQ654" s="119"/>
      <c r="AR654" s="122"/>
      <c r="AS654" s="123"/>
      <c r="AT654" s="124"/>
      <c r="AU654" s="119"/>
      <c r="AV654" s="119"/>
      <c r="AW654" s="117"/>
      <c r="AX654" s="117" t="s">
        <v>126</v>
      </c>
    </row>
    <row r="655" spans="1:50" s="95" customFormat="1" ht="36" x14ac:dyDescent="0.25">
      <c r="A655" s="299"/>
      <c r="B655" s="115" t="s">
        <v>224</v>
      </c>
      <c r="C655" s="115" t="s">
        <v>458</v>
      </c>
      <c r="D655" s="117" t="s">
        <v>106</v>
      </c>
      <c r="E655" s="117" t="s">
        <v>75</v>
      </c>
      <c r="F655" s="142" t="s">
        <v>61</v>
      </c>
      <c r="G655" s="127"/>
      <c r="H655" s="143">
        <f>SUBTOTAL(9,H653:H654)</f>
        <v>10</v>
      </c>
      <c r="I655" s="143">
        <f t="shared" ref="I655" si="751">SUBTOTAL(9,I653:I654)</f>
        <v>0</v>
      </c>
      <c r="J655" s="143">
        <f t="shared" ref="J655:O655" si="752">SUBTOTAL(9,J653:J654)</f>
        <v>0</v>
      </c>
      <c r="K655" s="143">
        <f t="shared" si="752"/>
        <v>0</v>
      </c>
      <c r="L655" s="143">
        <f t="shared" si="752"/>
        <v>0</v>
      </c>
      <c r="M655" s="143">
        <f t="shared" si="752"/>
        <v>0</v>
      </c>
      <c r="N655" s="143">
        <f t="shared" si="740"/>
        <v>0</v>
      </c>
      <c r="O655" s="143">
        <f t="shared" si="752"/>
        <v>10</v>
      </c>
      <c r="P655" s="143"/>
      <c r="Q655" s="177"/>
      <c r="R655" s="129"/>
      <c r="S655" s="172"/>
      <c r="T655" s="130"/>
      <c r="U655" s="143">
        <f>SUBTOTAL(9,U653:U654)</f>
        <v>10</v>
      </c>
      <c r="V655" s="143">
        <f t="shared" ref="V655" si="753">SUBTOTAL(9,V653:V654)</f>
        <v>0</v>
      </c>
      <c r="W655" s="143">
        <f t="shared" ref="W655:AJ655" si="754">SUBTOTAL(9,W653:W654)</f>
        <v>0</v>
      </c>
      <c r="X655" s="143">
        <f t="shared" si="754"/>
        <v>0</v>
      </c>
      <c r="Y655" s="143">
        <f t="shared" si="754"/>
        <v>0</v>
      </c>
      <c r="Z655" s="143">
        <f t="shared" si="754"/>
        <v>0</v>
      </c>
      <c r="AA655" s="143">
        <f t="shared" si="730"/>
        <v>0</v>
      </c>
      <c r="AB655" s="143">
        <f t="shared" si="754"/>
        <v>10</v>
      </c>
      <c r="AC655" s="143">
        <f t="shared" si="754"/>
        <v>1</v>
      </c>
      <c r="AD655" s="143">
        <f t="shared" si="754"/>
        <v>0</v>
      </c>
      <c r="AE655" s="143">
        <f t="shared" si="754"/>
        <v>0</v>
      </c>
      <c r="AF655" s="143">
        <f t="shared" si="754"/>
        <v>0</v>
      </c>
      <c r="AG655" s="143">
        <f t="shared" ref="AG655" si="755">SUBTOTAL(9,AG653:AG654)</f>
        <v>0</v>
      </c>
      <c r="AH655" s="143">
        <f t="shared" si="754"/>
        <v>0</v>
      </c>
      <c r="AI655" s="143">
        <f t="shared" si="731"/>
        <v>0</v>
      </c>
      <c r="AJ655" s="143">
        <f t="shared" si="754"/>
        <v>1</v>
      </c>
      <c r="AK655" s="142"/>
      <c r="AL655" s="127"/>
      <c r="AM655" s="142"/>
      <c r="AN655" s="142"/>
      <c r="AO655" s="142"/>
      <c r="AP655" s="127"/>
      <c r="AQ655" s="143">
        <f>SUBTOTAL(9,AQ653:AQ654)</f>
        <v>1</v>
      </c>
      <c r="AR655" s="143">
        <f t="shared" ref="AR655:AT655" si="756">SUBTOTAL(9,AR653:AR654)</f>
        <v>0</v>
      </c>
      <c r="AS655" s="143">
        <f t="shared" si="756"/>
        <v>0</v>
      </c>
      <c r="AT655" s="143">
        <f t="shared" si="756"/>
        <v>1</v>
      </c>
      <c r="AU655" s="180"/>
      <c r="AV655" s="142"/>
      <c r="AW655" s="127"/>
      <c r="AX655" s="127" t="s">
        <v>126</v>
      </c>
    </row>
    <row r="656" spans="1:50" s="95" customFormat="1" ht="112.5" customHeight="1" x14ac:dyDescent="0.25">
      <c r="A656" s="299"/>
      <c r="B656" s="115" t="s">
        <v>224</v>
      </c>
      <c r="C656" s="115" t="s">
        <v>150</v>
      </c>
      <c r="D656" s="117" t="s">
        <v>106</v>
      </c>
      <c r="E656" s="117" t="s">
        <v>75</v>
      </c>
      <c r="F656" s="267"/>
      <c r="G656" s="119" t="s">
        <v>231</v>
      </c>
      <c r="H656" s="119">
        <v>60</v>
      </c>
      <c r="I656" s="199">
        <v>0</v>
      </c>
      <c r="J656" s="103">
        <v>0</v>
      </c>
      <c r="K656" s="104">
        <v>0</v>
      </c>
      <c r="L656" s="105">
        <v>0</v>
      </c>
      <c r="M656" s="106">
        <v>0</v>
      </c>
      <c r="N656" s="133">
        <f t="shared" si="740"/>
        <v>0</v>
      </c>
      <c r="O656" s="71">
        <v>60</v>
      </c>
      <c r="P656" s="71"/>
      <c r="Q656" s="119"/>
      <c r="R656" s="119" t="s">
        <v>51</v>
      </c>
      <c r="S656" s="120" t="s">
        <v>460</v>
      </c>
      <c r="T656" s="119" t="s">
        <v>77</v>
      </c>
      <c r="U656" s="119">
        <v>130</v>
      </c>
      <c r="V656" s="199">
        <v>0</v>
      </c>
      <c r="W656" s="103">
        <v>0</v>
      </c>
      <c r="X656" s="104">
        <v>0</v>
      </c>
      <c r="Y656" s="105">
        <v>0</v>
      </c>
      <c r="Z656" s="106">
        <v>0</v>
      </c>
      <c r="AA656" s="133">
        <f t="shared" si="730"/>
        <v>0</v>
      </c>
      <c r="AB656" s="71">
        <v>130</v>
      </c>
      <c r="AC656" s="119">
        <v>10</v>
      </c>
      <c r="AD656" s="199">
        <v>0</v>
      </c>
      <c r="AE656" s="103">
        <v>0</v>
      </c>
      <c r="AF656" s="104">
        <v>0</v>
      </c>
      <c r="AG656" s="105">
        <v>0</v>
      </c>
      <c r="AH656" s="106">
        <v>0</v>
      </c>
      <c r="AI656" s="133">
        <f t="shared" si="731"/>
        <v>0</v>
      </c>
      <c r="AJ656" s="71">
        <v>10</v>
      </c>
      <c r="AK656" s="119"/>
      <c r="AL656" s="119"/>
      <c r="AM656" s="46"/>
      <c r="AN656" s="119"/>
      <c r="AO656" s="46"/>
      <c r="AP656" s="119" t="s">
        <v>58</v>
      </c>
      <c r="AQ656" s="119">
        <v>10</v>
      </c>
      <c r="AR656" s="122">
        <v>0</v>
      </c>
      <c r="AS656" s="123">
        <v>0</v>
      </c>
      <c r="AT656" s="124">
        <v>10</v>
      </c>
      <c r="AU656" s="119"/>
      <c r="AV656" s="119"/>
      <c r="AW656" s="117"/>
      <c r="AX656" s="117" t="s">
        <v>147</v>
      </c>
    </row>
    <row r="657" spans="1:50" s="95" customFormat="1" ht="112.5" customHeight="1" x14ac:dyDescent="0.25">
      <c r="A657" s="299"/>
      <c r="B657" s="115" t="s">
        <v>224</v>
      </c>
      <c r="C657" s="115" t="s">
        <v>150</v>
      </c>
      <c r="D657" s="117" t="s">
        <v>106</v>
      </c>
      <c r="E657" s="117" t="s">
        <v>75</v>
      </c>
      <c r="F657" s="269"/>
      <c r="G657" s="119" t="s">
        <v>234</v>
      </c>
      <c r="H657" s="119">
        <v>60</v>
      </c>
      <c r="I657" s="199">
        <v>0</v>
      </c>
      <c r="J657" s="103">
        <v>0</v>
      </c>
      <c r="K657" s="104">
        <v>0</v>
      </c>
      <c r="L657" s="105">
        <v>0</v>
      </c>
      <c r="M657" s="106">
        <v>0</v>
      </c>
      <c r="N657" s="133">
        <f t="shared" si="740"/>
        <v>0</v>
      </c>
      <c r="O657" s="71">
        <v>60</v>
      </c>
      <c r="P657" s="71"/>
      <c r="Q657" s="119"/>
      <c r="R657" s="119" t="s">
        <v>51</v>
      </c>
      <c r="S657" s="120" t="s">
        <v>460</v>
      </c>
      <c r="T657" s="119" t="s">
        <v>77</v>
      </c>
      <c r="U657" s="119">
        <v>130</v>
      </c>
      <c r="V657" s="199">
        <v>0</v>
      </c>
      <c r="W657" s="103">
        <v>0</v>
      </c>
      <c r="X657" s="104">
        <v>0</v>
      </c>
      <c r="Y657" s="105">
        <v>0</v>
      </c>
      <c r="Z657" s="106">
        <v>0</v>
      </c>
      <c r="AA657" s="133">
        <f t="shared" si="730"/>
        <v>0</v>
      </c>
      <c r="AB657" s="71">
        <v>130</v>
      </c>
      <c r="AC657" s="119">
        <v>5</v>
      </c>
      <c r="AD657" s="199">
        <v>0</v>
      </c>
      <c r="AE657" s="103">
        <v>0</v>
      </c>
      <c r="AF657" s="104">
        <v>0</v>
      </c>
      <c r="AG657" s="105">
        <v>0</v>
      </c>
      <c r="AH657" s="106">
        <v>0</v>
      </c>
      <c r="AI657" s="133">
        <f t="shared" si="731"/>
        <v>0</v>
      </c>
      <c r="AJ657" s="71">
        <v>5</v>
      </c>
      <c r="AK657" s="119"/>
      <c r="AL657" s="119"/>
      <c r="AM657" s="46"/>
      <c r="AN657" s="119"/>
      <c r="AO657" s="46"/>
      <c r="AP657" s="119" t="s">
        <v>58</v>
      </c>
      <c r="AQ657" s="119">
        <v>5</v>
      </c>
      <c r="AR657" s="122">
        <v>0</v>
      </c>
      <c r="AS657" s="123">
        <v>0</v>
      </c>
      <c r="AT657" s="124">
        <v>5</v>
      </c>
      <c r="AU657" s="119"/>
      <c r="AV657" s="119"/>
      <c r="AW657" s="117"/>
      <c r="AX657" s="117" t="s">
        <v>147</v>
      </c>
    </row>
    <row r="658" spans="1:50" s="95" customFormat="1" ht="36" x14ac:dyDescent="0.25">
      <c r="A658" s="299"/>
      <c r="B658" s="115" t="s">
        <v>224</v>
      </c>
      <c r="C658" s="115" t="s">
        <v>150</v>
      </c>
      <c r="D658" s="117" t="s">
        <v>106</v>
      </c>
      <c r="E658" s="117" t="s">
        <v>75</v>
      </c>
      <c r="F658" s="142" t="s">
        <v>61</v>
      </c>
      <c r="G658" s="127"/>
      <c r="H658" s="143">
        <f>SUBTOTAL(9,H656:H657)</f>
        <v>120</v>
      </c>
      <c r="I658" s="143">
        <f t="shared" ref="I658" si="757">SUBTOTAL(9,I656:I657)</f>
        <v>0</v>
      </c>
      <c r="J658" s="143">
        <f t="shared" ref="J658:O658" si="758">SUBTOTAL(9,J656:J657)</f>
        <v>0</v>
      </c>
      <c r="K658" s="143">
        <f t="shared" si="758"/>
        <v>0</v>
      </c>
      <c r="L658" s="143">
        <f t="shared" si="758"/>
        <v>0</v>
      </c>
      <c r="M658" s="143">
        <f t="shared" si="758"/>
        <v>0</v>
      </c>
      <c r="N658" s="143">
        <f t="shared" si="740"/>
        <v>0</v>
      </c>
      <c r="O658" s="143">
        <f t="shared" si="758"/>
        <v>120</v>
      </c>
      <c r="P658" s="143"/>
      <c r="Q658" s="177"/>
      <c r="R658" s="129"/>
      <c r="S658" s="172"/>
      <c r="T658" s="130"/>
      <c r="U658" s="143">
        <f>SUBTOTAL(9,U656:U657)</f>
        <v>260</v>
      </c>
      <c r="V658" s="143">
        <f t="shared" ref="V658" si="759">SUBTOTAL(9,V656:V657)</f>
        <v>0</v>
      </c>
      <c r="W658" s="143">
        <f t="shared" ref="W658:AJ658" si="760">SUBTOTAL(9,W656:W657)</f>
        <v>0</v>
      </c>
      <c r="X658" s="143">
        <f t="shared" si="760"/>
        <v>0</v>
      </c>
      <c r="Y658" s="143">
        <f t="shared" si="760"/>
        <v>0</v>
      </c>
      <c r="Z658" s="143">
        <f t="shared" si="760"/>
        <v>0</v>
      </c>
      <c r="AA658" s="143">
        <f t="shared" si="730"/>
        <v>0</v>
      </c>
      <c r="AB658" s="143">
        <f t="shared" si="760"/>
        <v>260</v>
      </c>
      <c r="AC658" s="143">
        <f t="shared" si="760"/>
        <v>15</v>
      </c>
      <c r="AD658" s="143">
        <f t="shared" si="760"/>
        <v>0</v>
      </c>
      <c r="AE658" s="143">
        <f t="shared" si="760"/>
        <v>0</v>
      </c>
      <c r="AF658" s="143">
        <f t="shared" si="760"/>
        <v>0</v>
      </c>
      <c r="AG658" s="143">
        <f t="shared" ref="AG658" si="761">SUBTOTAL(9,AG656:AG657)</f>
        <v>0</v>
      </c>
      <c r="AH658" s="143">
        <f t="shared" si="760"/>
        <v>0</v>
      </c>
      <c r="AI658" s="143">
        <f t="shared" si="731"/>
        <v>0</v>
      </c>
      <c r="AJ658" s="143">
        <f t="shared" si="760"/>
        <v>15</v>
      </c>
      <c r="AK658" s="142"/>
      <c r="AL658" s="127"/>
      <c r="AM658" s="142"/>
      <c r="AN658" s="142"/>
      <c r="AO658" s="142"/>
      <c r="AP658" s="127"/>
      <c r="AQ658" s="143">
        <f>SUBTOTAL(9,AQ656:AQ657)</f>
        <v>15</v>
      </c>
      <c r="AR658" s="143">
        <f t="shared" ref="AR658:AT658" si="762">SUBTOTAL(9,AR656:AR657)</f>
        <v>0</v>
      </c>
      <c r="AS658" s="143">
        <f t="shared" si="762"/>
        <v>0</v>
      </c>
      <c r="AT658" s="143">
        <f t="shared" si="762"/>
        <v>15</v>
      </c>
      <c r="AU658" s="180"/>
      <c r="AV658" s="142"/>
      <c r="AW658" s="127"/>
      <c r="AX658" s="127" t="s">
        <v>147</v>
      </c>
    </row>
    <row r="659" spans="1:50" s="95" customFormat="1" ht="55.5" x14ac:dyDescent="0.25">
      <c r="A659" s="299"/>
      <c r="B659" s="115" t="s">
        <v>224</v>
      </c>
      <c r="C659" s="115" t="s">
        <v>461</v>
      </c>
      <c r="D659" s="117" t="s">
        <v>208</v>
      </c>
      <c r="E659" s="117" t="s">
        <v>70</v>
      </c>
      <c r="F659" s="273" t="s">
        <v>49</v>
      </c>
      <c r="G659" s="119" t="s">
        <v>231</v>
      </c>
      <c r="H659" s="272">
        <v>5</v>
      </c>
      <c r="I659" s="238">
        <v>0</v>
      </c>
      <c r="J659" s="230">
        <v>0</v>
      </c>
      <c r="K659" s="224">
        <v>0</v>
      </c>
      <c r="L659" s="226">
        <v>0</v>
      </c>
      <c r="M659" s="232">
        <v>0</v>
      </c>
      <c r="N659" s="278">
        <f t="shared" si="740"/>
        <v>0</v>
      </c>
      <c r="O659" s="242">
        <v>5</v>
      </c>
      <c r="P659" s="71"/>
      <c r="Q659" s="272"/>
      <c r="R659" s="119" t="s">
        <v>51</v>
      </c>
      <c r="S659" s="120" t="s">
        <v>462</v>
      </c>
      <c r="T659" s="249" t="s">
        <v>77</v>
      </c>
      <c r="U659" s="136">
        <v>5</v>
      </c>
      <c r="V659" s="238">
        <v>0</v>
      </c>
      <c r="W659" s="230">
        <v>0</v>
      </c>
      <c r="X659" s="224">
        <v>0</v>
      </c>
      <c r="Y659" s="226">
        <v>0</v>
      </c>
      <c r="Z659" s="232">
        <v>0</v>
      </c>
      <c r="AA659" s="133">
        <f t="shared" si="730"/>
        <v>0</v>
      </c>
      <c r="AB659" s="71">
        <v>5</v>
      </c>
      <c r="AC659" s="136">
        <v>5</v>
      </c>
      <c r="AD659" s="238">
        <v>0</v>
      </c>
      <c r="AE659" s="230">
        <v>0</v>
      </c>
      <c r="AF659" s="224">
        <v>0</v>
      </c>
      <c r="AG659" s="226">
        <v>0</v>
      </c>
      <c r="AH659" s="232">
        <v>0</v>
      </c>
      <c r="AI659" s="133">
        <f t="shared" si="731"/>
        <v>0</v>
      </c>
      <c r="AJ659" s="71">
        <v>5</v>
      </c>
      <c r="AK659" s="137"/>
      <c r="AL659" s="137"/>
      <c r="AM659" s="94"/>
      <c r="AN659" s="137"/>
      <c r="AO659" s="94"/>
      <c r="AP659" s="119" t="s">
        <v>213</v>
      </c>
      <c r="AQ659" s="136">
        <v>5</v>
      </c>
      <c r="AR659" s="122">
        <v>0</v>
      </c>
      <c r="AS659" s="123">
        <v>0</v>
      </c>
      <c r="AT659" s="124">
        <v>5</v>
      </c>
      <c r="AU659" s="272"/>
      <c r="AV659" s="272"/>
      <c r="AW659" s="272"/>
      <c r="AX659" s="138" t="s">
        <v>221</v>
      </c>
    </row>
    <row r="660" spans="1:50" s="95" customFormat="1" ht="55.5" x14ac:dyDescent="0.25">
      <c r="A660" s="299"/>
      <c r="B660" s="115" t="s">
        <v>224</v>
      </c>
      <c r="C660" s="115" t="s">
        <v>461</v>
      </c>
      <c r="D660" s="117" t="s">
        <v>208</v>
      </c>
      <c r="E660" s="117" t="s">
        <v>70</v>
      </c>
      <c r="F660" s="274"/>
      <c r="G660" s="119" t="s">
        <v>231</v>
      </c>
      <c r="H660" s="272"/>
      <c r="I660" s="239"/>
      <c r="J660" s="231"/>
      <c r="K660" s="225"/>
      <c r="L660" s="227"/>
      <c r="M660" s="233"/>
      <c r="N660" s="278">
        <f t="shared" si="740"/>
        <v>0</v>
      </c>
      <c r="O660" s="242"/>
      <c r="P660" s="71"/>
      <c r="Q660" s="272"/>
      <c r="R660" s="119" t="s">
        <v>56</v>
      </c>
      <c r="S660" s="120" t="s">
        <v>222</v>
      </c>
      <c r="T660" s="250"/>
      <c r="U660" s="136">
        <v>5</v>
      </c>
      <c r="V660" s="239"/>
      <c r="W660" s="231"/>
      <c r="X660" s="225"/>
      <c r="Y660" s="227"/>
      <c r="Z660" s="233"/>
      <c r="AA660" s="133">
        <f t="shared" si="730"/>
        <v>0</v>
      </c>
      <c r="AB660" s="71">
        <v>5</v>
      </c>
      <c r="AC660" s="136">
        <v>2</v>
      </c>
      <c r="AD660" s="239"/>
      <c r="AE660" s="231"/>
      <c r="AF660" s="225"/>
      <c r="AG660" s="227"/>
      <c r="AH660" s="233"/>
      <c r="AI660" s="133">
        <f t="shared" si="731"/>
        <v>0</v>
      </c>
      <c r="AJ660" s="71">
        <v>2</v>
      </c>
      <c r="AK660" s="137"/>
      <c r="AL660" s="137"/>
      <c r="AM660" s="94"/>
      <c r="AN660" s="137"/>
      <c r="AO660" s="94"/>
      <c r="AP660" s="119" t="s">
        <v>58</v>
      </c>
      <c r="AQ660" s="136">
        <v>2</v>
      </c>
      <c r="AR660" s="122">
        <v>0</v>
      </c>
      <c r="AS660" s="123">
        <v>0</v>
      </c>
      <c r="AT660" s="124">
        <v>2</v>
      </c>
      <c r="AU660" s="272"/>
      <c r="AV660" s="272"/>
      <c r="AW660" s="272"/>
      <c r="AX660" s="138" t="s">
        <v>223</v>
      </c>
    </row>
    <row r="661" spans="1:50" s="95" customFormat="1" ht="36" customHeight="1" x14ac:dyDescent="0.25">
      <c r="A661" s="299"/>
      <c r="B661" s="115" t="s">
        <v>224</v>
      </c>
      <c r="C661" s="115" t="s">
        <v>461</v>
      </c>
      <c r="D661" s="117" t="s">
        <v>208</v>
      </c>
      <c r="E661" s="117" t="s">
        <v>70</v>
      </c>
      <c r="F661" s="274"/>
      <c r="G661" s="119" t="s">
        <v>178</v>
      </c>
      <c r="H661" s="272">
        <v>5</v>
      </c>
      <c r="I661" s="238">
        <v>0</v>
      </c>
      <c r="J661" s="230">
        <v>0</v>
      </c>
      <c r="K661" s="224">
        <v>0</v>
      </c>
      <c r="L661" s="226">
        <v>0</v>
      </c>
      <c r="M661" s="232">
        <v>0</v>
      </c>
      <c r="N661" s="278">
        <f t="shared" si="740"/>
        <v>0</v>
      </c>
      <c r="O661" s="242">
        <v>5</v>
      </c>
      <c r="P661" s="71"/>
      <c r="Q661" s="272"/>
      <c r="R661" s="119" t="s">
        <v>51</v>
      </c>
      <c r="S661" s="120" t="s">
        <v>219</v>
      </c>
      <c r="T661" s="250"/>
      <c r="U661" s="136">
        <v>5</v>
      </c>
      <c r="V661" s="238">
        <v>0</v>
      </c>
      <c r="W661" s="230">
        <v>0</v>
      </c>
      <c r="X661" s="224">
        <v>0</v>
      </c>
      <c r="Y661" s="226">
        <v>0</v>
      </c>
      <c r="Z661" s="232">
        <v>0</v>
      </c>
      <c r="AA661" s="133">
        <f t="shared" si="730"/>
        <v>0</v>
      </c>
      <c r="AB661" s="71">
        <v>5</v>
      </c>
      <c r="AC661" s="136">
        <v>5</v>
      </c>
      <c r="AD661" s="238">
        <v>0</v>
      </c>
      <c r="AE661" s="230">
        <v>0</v>
      </c>
      <c r="AF661" s="224">
        <v>0</v>
      </c>
      <c r="AG661" s="226">
        <v>0</v>
      </c>
      <c r="AH661" s="232">
        <v>0</v>
      </c>
      <c r="AI661" s="133">
        <f t="shared" si="731"/>
        <v>0</v>
      </c>
      <c r="AJ661" s="71">
        <v>5</v>
      </c>
      <c r="AK661" s="137"/>
      <c r="AL661" s="137"/>
      <c r="AM661" s="94"/>
      <c r="AN661" s="137"/>
      <c r="AO661" s="94"/>
      <c r="AP661" s="119" t="s">
        <v>213</v>
      </c>
      <c r="AQ661" s="136">
        <v>5</v>
      </c>
      <c r="AR661" s="122">
        <v>0</v>
      </c>
      <c r="AS661" s="123">
        <v>0</v>
      </c>
      <c r="AT661" s="124">
        <v>5</v>
      </c>
      <c r="AU661" s="272"/>
      <c r="AV661" s="272"/>
      <c r="AW661" s="272"/>
      <c r="AX661" s="138" t="s">
        <v>221</v>
      </c>
    </row>
    <row r="662" spans="1:50" s="95" customFormat="1" ht="55.5" x14ac:dyDescent="0.25">
      <c r="A662" s="299"/>
      <c r="B662" s="115" t="s">
        <v>224</v>
      </c>
      <c r="C662" s="115" t="s">
        <v>461</v>
      </c>
      <c r="D662" s="117" t="s">
        <v>208</v>
      </c>
      <c r="E662" s="117" t="s">
        <v>70</v>
      </c>
      <c r="F662" s="274"/>
      <c r="G662" s="119" t="s">
        <v>178</v>
      </c>
      <c r="H662" s="272"/>
      <c r="I662" s="239"/>
      <c r="J662" s="231"/>
      <c r="K662" s="225"/>
      <c r="L662" s="227"/>
      <c r="M662" s="233"/>
      <c r="N662" s="278">
        <f t="shared" si="740"/>
        <v>0</v>
      </c>
      <c r="O662" s="242"/>
      <c r="P662" s="71"/>
      <c r="Q662" s="272"/>
      <c r="R662" s="119" t="s">
        <v>56</v>
      </c>
      <c r="S662" s="120" t="s">
        <v>222</v>
      </c>
      <c r="T662" s="250"/>
      <c r="U662" s="136">
        <v>5</v>
      </c>
      <c r="V662" s="239"/>
      <c r="W662" s="231"/>
      <c r="X662" s="225"/>
      <c r="Y662" s="227"/>
      <c r="Z662" s="233"/>
      <c r="AA662" s="133">
        <f t="shared" si="730"/>
        <v>0</v>
      </c>
      <c r="AB662" s="71">
        <v>5</v>
      </c>
      <c r="AC662" s="136">
        <v>2</v>
      </c>
      <c r="AD662" s="239"/>
      <c r="AE662" s="231"/>
      <c r="AF662" s="225"/>
      <c r="AG662" s="227"/>
      <c r="AH662" s="233"/>
      <c r="AI662" s="133">
        <f t="shared" si="731"/>
        <v>0</v>
      </c>
      <c r="AJ662" s="71">
        <v>2</v>
      </c>
      <c r="AK662" s="137"/>
      <c r="AL662" s="137"/>
      <c r="AM662" s="94"/>
      <c r="AN662" s="137"/>
      <c r="AO662" s="94"/>
      <c r="AP662" s="119" t="s">
        <v>58</v>
      </c>
      <c r="AQ662" s="136">
        <v>2</v>
      </c>
      <c r="AR662" s="122">
        <v>0</v>
      </c>
      <c r="AS662" s="123">
        <v>0</v>
      </c>
      <c r="AT662" s="124">
        <v>2</v>
      </c>
      <c r="AU662" s="272"/>
      <c r="AV662" s="272"/>
      <c r="AW662" s="272"/>
      <c r="AX662" s="138" t="s">
        <v>223</v>
      </c>
    </row>
    <row r="663" spans="1:50" s="95" customFormat="1" ht="55.5" x14ac:dyDescent="0.25">
      <c r="A663" s="299"/>
      <c r="B663" s="115" t="s">
        <v>224</v>
      </c>
      <c r="C663" s="115" t="s">
        <v>461</v>
      </c>
      <c r="D663" s="117" t="s">
        <v>208</v>
      </c>
      <c r="E663" s="117" t="s">
        <v>70</v>
      </c>
      <c r="F663" s="274"/>
      <c r="G663" s="119" t="s">
        <v>227</v>
      </c>
      <c r="H663" s="272">
        <v>20</v>
      </c>
      <c r="I663" s="238">
        <v>0</v>
      </c>
      <c r="J663" s="230">
        <v>0</v>
      </c>
      <c r="K663" s="224">
        <v>0</v>
      </c>
      <c r="L663" s="226">
        <v>0</v>
      </c>
      <c r="M663" s="232">
        <v>0</v>
      </c>
      <c r="N663" s="278">
        <f t="shared" si="740"/>
        <v>0</v>
      </c>
      <c r="O663" s="242">
        <v>20</v>
      </c>
      <c r="P663" s="71"/>
      <c r="Q663" s="272"/>
      <c r="R663" s="119" t="s">
        <v>51</v>
      </c>
      <c r="S663" s="120" t="s">
        <v>219</v>
      </c>
      <c r="T663" s="250"/>
      <c r="U663" s="136">
        <v>20</v>
      </c>
      <c r="V663" s="238">
        <v>0</v>
      </c>
      <c r="W663" s="230">
        <v>0</v>
      </c>
      <c r="X663" s="224">
        <v>0</v>
      </c>
      <c r="Y663" s="226">
        <v>0</v>
      </c>
      <c r="Z663" s="232">
        <v>0</v>
      </c>
      <c r="AA663" s="133">
        <f t="shared" si="730"/>
        <v>0</v>
      </c>
      <c r="AB663" s="71">
        <v>20</v>
      </c>
      <c r="AC663" s="136">
        <v>5</v>
      </c>
      <c r="AD663" s="238">
        <v>0</v>
      </c>
      <c r="AE663" s="230">
        <v>0</v>
      </c>
      <c r="AF663" s="224">
        <v>0</v>
      </c>
      <c r="AG663" s="226">
        <v>0</v>
      </c>
      <c r="AH663" s="232">
        <v>0</v>
      </c>
      <c r="AI663" s="133">
        <f t="shared" si="731"/>
        <v>0</v>
      </c>
      <c r="AJ663" s="71">
        <v>5</v>
      </c>
      <c r="AK663" s="137"/>
      <c r="AL663" s="137"/>
      <c r="AM663" s="94"/>
      <c r="AN663" s="137"/>
      <c r="AO663" s="94"/>
      <c r="AP663" s="119" t="s">
        <v>213</v>
      </c>
      <c r="AQ663" s="136">
        <v>5</v>
      </c>
      <c r="AR663" s="122">
        <v>0</v>
      </c>
      <c r="AS663" s="123">
        <v>0</v>
      </c>
      <c r="AT663" s="124">
        <v>5</v>
      </c>
      <c r="AU663" s="272"/>
      <c r="AV663" s="272"/>
      <c r="AW663" s="272"/>
      <c r="AX663" s="138" t="s">
        <v>221</v>
      </c>
    </row>
    <row r="664" spans="1:50" s="95" customFormat="1" ht="55.5" x14ac:dyDescent="0.25">
      <c r="A664" s="299"/>
      <c r="B664" s="115" t="s">
        <v>224</v>
      </c>
      <c r="C664" s="115" t="s">
        <v>461</v>
      </c>
      <c r="D664" s="117" t="s">
        <v>208</v>
      </c>
      <c r="E664" s="117" t="s">
        <v>70</v>
      </c>
      <c r="F664" s="274"/>
      <c r="G664" s="119" t="s">
        <v>227</v>
      </c>
      <c r="H664" s="272"/>
      <c r="I664" s="239"/>
      <c r="J664" s="231"/>
      <c r="K664" s="225"/>
      <c r="L664" s="227"/>
      <c r="M664" s="233"/>
      <c r="N664" s="278">
        <f t="shared" si="740"/>
        <v>0</v>
      </c>
      <c r="O664" s="242"/>
      <c r="P664" s="71"/>
      <c r="Q664" s="272"/>
      <c r="R664" s="119" t="s">
        <v>56</v>
      </c>
      <c r="S664" s="120" t="s">
        <v>222</v>
      </c>
      <c r="T664" s="250"/>
      <c r="U664" s="136">
        <v>20</v>
      </c>
      <c r="V664" s="239"/>
      <c r="W664" s="231"/>
      <c r="X664" s="225"/>
      <c r="Y664" s="227"/>
      <c r="Z664" s="233"/>
      <c r="AA664" s="133">
        <f t="shared" si="730"/>
        <v>0</v>
      </c>
      <c r="AB664" s="71">
        <v>20</v>
      </c>
      <c r="AC664" s="136">
        <v>2</v>
      </c>
      <c r="AD664" s="239"/>
      <c r="AE664" s="231"/>
      <c r="AF664" s="225"/>
      <c r="AG664" s="227"/>
      <c r="AH664" s="233"/>
      <c r="AI664" s="133">
        <f t="shared" si="731"/>
        <v>0</v>
      </c>
      <c r="AJ664" s="71">
        <v>2</v>
      </c>
      <c r="AK664" s="137"/>
      <c r="AL664" s="137"/>
      <c r="AM664" s="94"/>
      <c r="AN664" s="137"/>
      <c r="AO664" s="94"/>
      <c r="AP664" s="119" t="s">
        <v>58</v>
      </c>
      <c r="AQ664" s="136">
        <v>2</v>
      </c>
      <c r="AR664" s="122">
        <v>0</v>
      </c>
      <c r="AS664" s="123">
        <v>0</v>
      </c>
      <c r="AT664" s="124">
        <v>2</v>
      </c>
      <c r="AU664" s="272"/>
      <c r="AV664" s="272"/>
      <c r="AW664" s="272"/>
      <c r="AX664" s="138" t="s">
        <v>223</v>
      </c>
    </row>
    <row r="665" spans="1:50" s="95" customFormat="1" ht="55.5" x14ac:dyDescent="0.25">
      <c r="A665" s="299"/>
      <c r="B665" s="115" t="s">
        <v>224</v>
      </c>
      <c r="C665" s="115" t="s">
        <v>461</v>
      </c>
      <c r="D665" s="117" t="s">
        <v>208</v>
      </c>
      <c r="E665" s="117" t="s">
        <v>70</v>
      </c>
      <c r="F665" s="274"/>
      <c r="G665" s="119" t="s">
        <v>228</v>
      </c>
      <c r="H665" s="272">
        <v>20</v>
      </c>
      <c r="I665" s="238">
        <v>0</v>
      </c>
      <c r="J665" s="230">
        <v>0</v>
      </c>
      <c r="K665" s="224">
        <v>0</v>
      </c>
      <c r="L665" s="226">
        <v>0</v>
      </c>
      <c r="M665" s="232">
        <v>0</v>
      </c>
      <c r="N665" s="278">
        <f t="shared" si="740"/>
        <v>0</v>
      </c>
      <c r="O665" s="242">
        <v>20</v>
      </c>
      <c r="P665" s="71"/>
      <c r="Q665" s="272"/>
      <c r="R665" s="119" t="s">
        <v>51</v>
      </c>
      <c r="S665" s="120" t="s">
        <v>219</v>
      </c>
      <c r="T665" s="250"/>
      <c r="U665" s="136">
        <v>20</v>
      </c>
      <c r="V665" s="238">
        <v>0</v>
      </c>
      <c r="W665" s="230">
        <v>0</v>
      </c>
      <c r="X665" s="224">
        <v>0</v>
      </c>
      <c r="Y665" s="226">
        <v>0</v>
      </c>
      <c r="Z665" s="232">
        <v>0</v>
      </c>
      <c r="AA665" s="133">
        <f t="shared" si="730"/>
        <v>0</v>
      </c>
      <c r="AB665" s="71">
        <v>20</v>
      </c>
      <c r="AC665" s="136">
        <v>5</v>
      </c>
      <c r="AD665" s="238">
        <v>0</v>
      </c>
      <c r="AE665" s="230">
        <v>0</v>
      </c>
      <c r="AF665" s="224">
        <v>0</v>
      </c>
      <c r="AG665" s="226">
        <v>0</v>
      </c>
      <c r="AH665" s="232">
        <v>0</v>
      </c>
      <c r="AI665" s="133">
        <f t="shared" si="731"/>
        <v>0</v>
      </c>
      <c r="AJ665" s="71">
        <v>5</v>
      </c>
      <c r="AK665" s="137"/>
      <c r="AL665" s="137"/>
      <c r="AM665" s="94"/>
      <c r="AN665" s="137"/>
      <c r="AO665" s="94"/>
      <c r="AP665" s="119" t="s">
        <v>213</v>
      </c>
      <c r="AQ665" s="136">
        <v>5</v>
      </c>
      <c r="AR665" s="122">
        <v>0</v>
      </c>
      <c r="AS665" s="123">
        <v>0</v>
      </c>
      <c r="AT665" s="124">
        <v>5</v>
      </c>
      <c r="AU665" s="272"/>
      <c r="AV665" s="272"/>
      <c r="AW665" s="272"/>
      <c r="AX665" s="138" t="s">
        <v>221</v>
      </c>
    </row>
    <row r="666" spans="1:50" s="95" customFormat="1" ht="55.5" x14ac:dyDescent="0.25">
      <c r="A666" s="299"/>
      <c r="B666" s="115" t="s">
        <v>224</v>
      </c>
      <c r="C666" s="115" t="s">
        <v>461</v>
      </c>
      <c r="D666" s="117" t="s">
        <v>208</v>
      </c>
      <c r="E666" s="117" t="s">
        <v>70</v>
      </c>
      <c r="F666" s="274"/>
      <c r="G666" s="119" t="s">
        <v>228</v>
      </c>
      <c r="H666" s="272"/>
      <c r="I666" s="239"/>
      <c r="J666" s="231"/>
      <c r="K666" s="225"/>
      <c r="L666" s="227"/>
      <c r="M666" s="233"/>
      <c r="N666" s="278">
        <f t="shared" si="740"/>
        <v>0</v>
      </c>
      <c r="O666" s="242"/>
      <c r="P666" s="71"/>
      <c r="Q666" s="272"/>
      <c r="R666" s="119" t="s">
        <v>56</v>
      </c>
      <c r="S666" s="120" t="s">
        <v>222</v>
      </c>
      <c r="T666" s="250"/>
      <c r="U666" s="136">
        <v>20</v>
      </c>
      <c r="V666" s="239"/>
      <c r="W666" s="231"/>
      <c r="X666" s="225"/>
      <c r="Y666" s="227"/>
      <c r="Z666" s="233"/>
      <c r="AA666" s="133">
        <f t="shared" si="730"/>
        <v>0</v>
      </c>
      <c r="AB666" s="71">
        <v>20</v>
      </c>
      <c r="AC666" s="136">
        <v>2</v>
      </c>
      <c r="AD666" s="239"/>
      <c r="AE666" s="231"/>
      <c r="AF666" s="225"/>
      <c r="AG666" s="227"/>
      <c r="AH666" s="233"/>
      <c r="AI666" s="133">
        <f t="shared" si="731"/>
        <v>0</v>
      </c>
      <c r="AJ666" s="71">
        <v>2</v>
      </c>
      <c r="AK666" s="137"/>
      <c r="AL666" s="137"/>
      <c r="AM666" s="94"/>
      <c r="AN666" s="137"/>
      <c r="AO666" s="94"/>
      <c r="AP666" s="119" t="s">
        <v>58</v>
      </c>
      <c r="AQ666" s="136">
        <v>2</v>
      </c>
      <c r="AR666" s="122">
        <v>0</v>
      </c>
      <c r="AS666" s="123">
        <v>0</v>
      </c>
      <c r="AT666" s="124">
        <v>2</v>
      </c>
      <c r="AU666" s="272"/>
      <c r="AV666" s="272"/>
      <c r="AW666" s="272"/>
      <c r="AX666" s="138" t="s">
        <v>223</v>
      </c>
    </row>
    <row r="667" spans="1:50" s="95" customFormat="1" ht="55.5" x14ac:dyDescent="0.25">
      <c r="A667" s="299"/>
      <c r="B667" s="115" t="s">
        <v>224</v>
      </c>
      <c r="C667" s="115" t="s">
        <v>461</v>
      </c>
      <c r="D667" s="117" t="s">
        <v>208</v>
      </c>
      <c r="E667" s="117" t="s">
        <v>70</v>
      </c>
      <c r="F667" s="274"/>
      <c r="G667" s="119" t="s">
        <v>229</v>
      </c>
      <c r="H667" s="272">
        <v>5</v>
      </c>
      <c r="I667" s="238">
        <v>0</v>
      </c>
      <c r="J667" s="230">
        <v>0</v>
      </c>
      <c r="K667" s="224">
        <v>1</v>
      </c>
      <c r="L667" s="226">
        <v>1</v>
      </c>
      <c r="M667" s="232">
        <v>2</v>
      </c>
      <c r="N667" s="278">
        <f t="shared" si="740"/>
        <v>4</v>
      </c>
      <c r="O667" s="242">
        <v>0</v>
      </c>
      <c r="P667" s="71"/>
      <c r="Q667" s="272"/>
      <c r="R667" s="119" t="s">
        <v>51</v>
      </c>
      <c r="S667" s="120" t="s">
        <v>219</v>
      </c>
      <c r="T667" s="250"/>
      <c r="U667" s="136">
        <v>5</v>
      </c>
      <c r="V667" s="238">
        <v>0</v>
      </c>
      <c r="W667" s="230">
        <v>0</v>
      </c>
      <c r="X667" s="224">
        <v>1</v>
      </c>
      <c r="Y667" s="226">
        <v>1</v>
      </c>
      <c r="Z667" s="232">
        <v>2</v>
      </c>
      <c r="AA667" s="133">
        <f t="shared" si="730"/>
        <v>4</v>
      </c>
      <c r="AB667" s="71">
        <v>0</v>
      </c>
      <c r="AC667" s="136">
        <v>5</v>
      </c>
      <c r="AD667" s="197">
        <v>0</v>
      </c>
      <c r="AE667" s="90">
        <v>0</v>
      </c>
      <c r="AF667" s="91">
        <v>1</v>
      </c>
      <c r="AG667" s="226">
        <v>0</v>
      </c>
      <c r="AH667" s="81">
        <v>2</v>
      </c>
      <c r="AI667" s="133">
        <f t="shared" si="731"/>
        <v>3</v>
      </c>
      <c r="AJ667" s="71">
        <v>0</v>
      </c>
      <c r="AK667" s="137"/>
      <c r="AL667" s="137"/>
      <c r="AM667" s="94"/>
      <c r="AN667" s="137"/>
      <c r="AO667" s="94"/>
      <c r="AP667" s="119" t="s">
        <v>213</v>
      </c>
      <c r="AQ667" s="136">
        <v>5</v>
      </c>
      <c r="AR667" s="122">
        <v>0</v>
      </c>
      <c r="AS667" s="123">
        <v>0</v>
      </c>
      <c r="AT667" s="124">
        <v>5</v>
      </c>
      <c r="AU667" s="272"/>
      <c r="AV667" s="272"/>
      <c r="AW667" s="272"/>
      <c r="AX667" s="138" t="s">
        <v>221</v>
      </c>
    </row>
    <row r="668" spans="1:50" s="95" customFormat="1" ht="55.5" x14ac:dyDescent="0.25">
      <c r="A668" s="299"/>
      <c r="B668" s="115" t="s">
        <v>224</v>
      </c>
      <c r="C668" s="115" t="s">
        <v>461</v>
      </c>
      <c r="D668" s="117" t="s">
        <v>208</v>
      </c>
      <c r="E668" s="117" t="s">
        <v>70</v>
      </c>
      <c r="F668" s="275"/>
      <c r="G668" s="119" t="s">
        <v>229</v>
      </c>
      <c r="H668" s="272"/>
      <c r="I668" s="239"/>
      <c r="J668" s="231"/>
      <c r="K668" s="225"/>
      <c r="L668" s="227"/>
      <c r="M668" s="233"/>
      <c r="N668" s="278">
        <f t="shared" si="740"/>
        <v>0</v>
      </c>
      <c r="O668" s="242"/>
      <c r="P668" s="71"/>
      <c r="Q668" s="272"/>
      <c r="R668" s="119" t="s">
        <v>56</v>
      </c>
      <c r="S668" s="120" t="s">
        <v>222</v>
      </c>
      <c r="T668" s="271"/>
      <c r="U668" s="136">
        <v>5</v>
      </c>
      <c r="V668" s="239"/>
      <c r="W668" s="231"/>
      <c r="X668" s="225"/>
      <c r="Y668" s="227"/>
      <c r="Z668" s="233"/>
      <c r="AA668" s="133">
        <f t="shared" si="730"/>
        <v>0</v>
      </c>
      <c r="AB668" s="71">
        <v>0</v>
      </c>
      <c r="AC668" s="136">
        <v>2</v>
      </c>
      <c r="AD668" s="197">
        <v>0</v>
      </c>
      <c r="AE668" s="90">
        <v>0</v>
      </c>
      <c r="AF668" s="91">
        <v>0</v>
      </c>
      <c r="AG668" s="227"/>
      <c r="AH668" s="81">
        <v>2</v>
      </c>
      <c r="AI668" s="133">
        <f t="shared" si="731"/>
        <v>2</v>
      </c>
      <c r="AJ668" s="71">
        <v>0</v>
      </c>
      <c r="AK668" s="137"/>
      <c r="AL668" s="137"/>
      <c r="AM668" s="94"/>
      <c r="AN668" s="137"/>
      <c r="AO668" s="94"/>
      <c r="AP668" s="119" t="s">
        <v>58</v>
      </c>
      <c r="AQ668" s="136">
        <v>2</v>
      </c>
      <c r="AR668" s="122">
        <v>0</v>
      </c>
      <c r="AS668" s="123">
        <v>0</v>
      </c>
      <c r="AT668" s="124">
        <v>2</v>
      </c>
      <c r="AU668" s="272"/>
      <c r="AV668" s="272"/>
      <c r="AW668" s="272"/>
      <c r="AX668" s="138" t="s">
        <v>223</v>
      </c>
    </row>
    <row r="669" spans="1:50" s="181" customFormat="1" ht="55.5" x14ac:dyDescent="0.25">
      <c r="A669" s="299"/>
      <c r="B669" s="115" t="s">
        <v>224</v>
      </c>
      <c r="C669" s="115" t="s">
        <v>461</v>
      </c>
      <c r="D669" s="117" t="s">
        <v>208</v>
      </c>
      <c r="E669" s="117" t="s">
        <v>70</v>
      </c>
      <c r="F669" s="142" t="s">
        <v>61</v>
      </c>
      <c r="G669" s="127"/>
      <c r="H669" s="143">
        <f>SUBTOTAL(9,H659:H667)</f>
        <v>55</v>
      </c>
      <c r="I669" s="143">
        <f t="shared" ref="I669" si="763">SUBTOTAL(9,I659:I667)</f>
        <v>0</v>
      </c>
      <c r="J669" s="143">
        <f t="shared" ref="J669:O669" si="764">SUBTOTAL(9,J659:J667)</f>
        <v>0</v>
      </c>
      <c r="K669" s="143">
        <f t="shared" si="764"/>
        <v>1</v>
      </c>
      <c r="L669" s="143">
        <f t="shared" si="764"/>
        <v>1</v>
      </c>
      <c r="M669" s="143">
        <f t="shared" si="764"/>
        <v>2</v>
      </c>
      <c r="N669" s="143">
        <f t="shared" si="740"/>
        <v>4</v>
      </c>
      <c r="O669" s="143">
        <f t="shared" si="764"/>
        <v>50</v>
      </c>
      <c r="P669" s="143"/>
      <c r="Q669" s="177"/>
      <c r="R669" s="129"/>
      <c r="S669" s="172"/>
      <c r="T669" s="130"/>
      <c r="U669" s="143">
        <f>SUBTOTAL(9,U659:U668)</f>
        <v>110</v>
      </c>
      <c r="V669" s="143">
        <f t="shared" ref="V669" si="765">SUBTOTAL(9,V659:V668)</f>
        <v>0</v>
      </c>
      <c r="W669" s="143">
        <f t="shared" ref="W669:AJ669" si="766">SUBTOTAL(9,W659:W668)</f>
        <v>0</v>
      </c>
      <c r="X669" s="143">
        <f t="shared" si="766"/>
        <v>1</v>
      </c>
      <c r="Y669" s="143">
        <f t="shared" ref="Y669" si="767">SUBTOTAL(9,Y659:Y667)</f>
        <v>1</v>
      </c>
      <c r="Z669" s="143">
        <f t="shared" si="766"/>
        <v>2</v>
      </c>
      <c r="AA669" s="143">
        <f t="shared" si="730"/>
        <v>4</v>
      </c>
      <c r="AB669" s="143">
        <f t="shared" si="766"/>
        <v>100</v>
      </c>
      <c r="AC669" s="143">
        <f t="shared" si="766"/>
        <v>35</v>
      </c>
      <c r="AD669" s="143">
        <f t="shared" si="766"/>
        <v>0</v>
      </c>
      <c r="AE669" s="143">
        <f t="shared" si="766"/>
        <v>0</v>
      </c>
      <c r="AF669" s="143">
        <f t="shared" si="766"/>
        <v>1</v>
      </c>
      <c r="AG669" s="143">
        <f t="shared" ref="AG669" si="768">SUBTOTAL(9,AG659:AG668)</f>
        <v>0</v>
      </c>
      <c r="AH669" s="143">
        <f t="shared" si="766"/>
        <v>4</v>
      </c>
      <c r="AI669" s="143">
        <f t="shared" si="731"/>
        <v>5</v>
      </c>
      <c r="AJ669" s="143">
        <f t="shared" si="766"/>
        <v>28</v>
      </c>
      <c r="AK669" s="142"/>
      <c r="AL669" s="127"/>
      <c r="AM669" s="142"/>
      <c r="AN669" s="142"/>
      <c r="AO669" s="142"/>
      <c r="AP669" s="127"/>
      <c r="AQ669" s="143">
        <f>SUBTOTAL(9,AQ659:AQ668)</f>
        <v>35</v>
      </c>
      <c r="AR669" s="143">
        <f t="shared" ref="AR669:AT669" si="769">SUBTOTAL(9,AR659:AR668)</f>
        <v>0</v>
      </c>
      <c r="AS669" s="143">
        <f t="shared" si="769"/>
        <v>0</v>
      </c>
      <c r="AT669" s="143">
        <f t="shared" si="769"/>
        <v>35</v>
      </c>
      <c r="AU669" s="180"/>
      <c r="AV669" s="142"/>
      <c r="AW669" s="127"/>
      <c r="AX669" s="127" t="s">
        <v>223</v>
      </c>
    </row>
    <row r="670" spans="1:50" s="181" customFormat="1" ht="72" customHeight="1" x14ac:dyDescent="0.25">
      <c r="A670" s="299"/>
      <c r="B670" s="115" t="s">
        <v>224</v>
      </c>
      <c r="C670" s="115" t="s">
        <v>463</v>
      </c>
      <c r="D670" s="117" t="s">
        <v>106</v>
      </c>
      <c r="E670" s="117" t="s">
        <v>75</v>
      </c>
      <c r="F670" s="267"/>
      <c r="G670" s="119" t="s">
        <v>178</v>
      </c>
      <c r="H670" s="119">
        <v>5</v>
      </c>
      <c r="I670" s="199">
        <v>0</v>
      </c>
      <c r="J670" s="103">
        <v>0</v>
      </c>
      <c r="K670" s="104">
        <v>0</v>
      </c>
      <c r="L670" s="105">
        <v>0</v>
      </c>
      <c r="M670" s="106">
        <v>0</v>
      </c>
      <c r="N670" s="133">
        <f t="shared" si="740"/>
        <v>0</v>
      </c>
      <c r="O670" s="71">
        <v>5</v>
      </c>
      <c r="P670" s="71"/>
      <c r="Q670" s="119"/>
      <c r="R670" s="119" t="s">
        <v>51</v>
      </c>
      <c r="S670" s="120" t="s">
        <v>464</v>
      </c>
      <c r="T670" s="119" t="s">
        <v>77</v>
      </c>
      <c r="U670" s="119">
        <v>5</v>
      </c>
      <c r="V670" s="199">
        <v>0</v>
      </c>
      <c r="W670" s="103">
        <v>0</v>
      </c>
      <c r="X670" s="104">
        <v>0</v>
      </c>
      <c r="Y670" s="105">
        <v>0</v>
      </c>
      <c r="Z670" s="106">
        <v>0</v>
      </c>
      <c r="AA670" s="133">
        <f t="shared" si="730"/>
        <v>0</v>
      </c>
      <c r="AB670" s="71">
        <v>5</v>
      </c>
      <c r="AC670" s="119">
        <v>0</v>
      </c>
      <c r="AD670" s="199">
        <v>0</v>
      </c>
      <c r="AE670" s="103">
        <v>0</v>
      </c>
      <c r="AF670" s="104">
        <v>0</v>
      </c>
      <c r="AG670" s="105">
        <v>0</v>
      </c>
      <c r="AH670" s="106">
        <v>0</v>
      </c>
      <c r="AI670" s="133">
        <f t="shared" si="731"/>
        <v>0</v>
      </c>
      <c r="AJ670" s="71">
        <v>0</v>
      </c>
      <c r="AK670" s="119"/>
      <c r="AL670" s="119"/>
      <c r="AM670" s="46"/>
      <c r="AN670" s="119"/>
      <c r="AO670" s="46"/>
      <c r="AP670" s="119" t="s">
        <v>58</v>
      </c>
      <c r="AQ670" s="119">
        <v>0</v>
      </c>
      <c r="AR670" s="122">
        <v>0</v>
      </c>
      <c r="AS670" s="123">
        <v>0</v>
      </c>
      <c r="AT670" s="124">
        <v>0</v>
      </c>
      <c r="AU670" s="119"/>
      <c r="AV670" s="119"/>
      <c r="AW670" s="117"/>
      <c r="AX670" s="117" t="s">
        <v>108</v>
      </c>
    </row>
    <row r="671" spans="1:50" s="181" customFormat="1" ht="72" customHeight="1" x14ac:dyDescent="0.25">
      <c r="A671" s="299"/>
      <c r="B671" s="115" t="s">
        <v>224</v>
      </c>
      <c r="C671" s="115" t="s">
        <v>463</v>
      </c>
      <c r="D671" s="117" t="s">
        <v>106</v>
      </c>
      <c r="E671" s="117" t="s">
        <v>75</v>
      </c>
      <c r="F671" s="268"/>
      <c r="G671" s="119" t="s">
        <v>227</v>
      </c>
      <c r="H671" s="119">
        <v>5</v>
      </c>
      <c r="I671" s="199">
        <v>0</v>
      </c>
      <c r="J671" s="103">
        <v>0</v>
      </c>
      <c r="K671" s="104">
        <v>0</v>
      </c>
      <c r="L671" s="105">
        <v>0</v>
      </c>
      <c r="M671" s="106">
        <v>0</v>
      </c>
      <c r="N671" s="133">
        <f t="shared" si="740"/>
        <v>0</v>
      </c>
      <c r="O671" s="71">
        <v>5</v>
      </c>
      <c r="P671" s="71"/>
      <c r="Q671" s="119"/>
      <c r="R671" s="119" t="s">
        <v>51</v>
      </c>
      <c r="S671" s="120" t="s">
        <v>464</v>
      </c>
      <c r="T671" s="119" t="s">
        <v>77</v>
      </c>
      <c r="U671" s="119">
        <v>5</v>
      </c>
      <c r="V671" s="199">
        <v>0</v>
      </c>
      <c r="W671" s="103">
        <v>0</v>
      </c>
      <c r="X671" s="104">
        <v>0</v>
      </c>
      <c r="Y671" s="105">
        <v>0</v>
      </c>
      <c r="Z671" s="106">
        <v>0</v>
      </c>
      <c r="AA671" s="133">
        <f t="shared" si="730"/>
        <v>0</v>
      </c>
      <c r="AB671" s="71">
        <v>5</v>
      </c>
      <c r="AC671" s="119">
        <v>0</v>
      </c>
      <c r="AD671" s="199">
        <v>0</v>
      </c>
      <c r="AE671" s="103">
        <v>0</v>
      </c>
      <c r="AF671" s="104">
        <v>0</v>
      </c>
      <c r="AG671" s="105">
        <v>0</v>
      </c>
      <c r="AH671" s="106">
        <v>0</v>
      </c>
      <c r="AI671" s="133">
        <f t="shared" si="731"/>
        <v>0</v>
      </c>
      <c r="AJ671" s="71">
        <v>0</v>
      </c>
      <c r="AK671" s="119"/>
      <c r="AL671" s="119"/>
      <c r="AM671" s="46"/>
      <c r="AN671" s="119"/>
      <c r="AO671" s="46"/>
      <c r="AP671" s="119"/>
      <c r="AQ671" s="119"/>
      <c r="AR671" s="122"/>
      <c r="AS671" s="123"/>
      <c r="AT671" s="124"/>
      <c r="AU671" s="119"/>
      <c r="AV671" s="119"/>
      <c r="AW671" s="117"/>
      <c r="AX671" s="117" t="s">
        <v>108</v>
      </c>
    </row>
    <row r="672" spans="1:50" s="181" customFormat="1" ht="72" customHeight="1" x14ac:dyDescent="0.25">
      <c r="A672" s="299"/>
      <c r="B672" s="115" t="s">
        <v>224</v>
      </c>
      <c r="C672" s="115" t="s">
        <v>463</v>
      </c>
      <c r="D672" s="117" t="s">
        <v>106</v>
      </c>
      <c r="E672" s="117" t="s">
        <v>75</v>
      </c>
      <c r="F672" s="269"/>
      <c r="G672" s="119" t="s">
        <v>292</v>
      </c>
      <c r="H672" s="119">
        <v>5</v>
      </c>
      <c r="I672" s="199">
        <v>0</v>
      </c>
      <c r="J672" s="103">
        <v>0</v>
      </c>
      <c r="K672" s="104">
        <v>0</v>
      </c>
      <c r="L672" s="105">
        <v>0</v>
      </c>
      <c r="M672" s="106">
        <v>0</v>
      </c>
      <c r="N672" s="133">
        <f t="shared" si="740"/>
        <v>0</v>
      </c>
      <c r="O672" s="71">
        <v>5</v>
      </c>
      <c r="P672" s="71"/>
      <c r="Q672" s="119"/>
      <c r="R672" s="119" t="s">
        <v>279</v>
      </c>
      <c r="S672" s="120" t="s">
        <v>289</v>
      </c>
      <c r="T672" s="119" t="s">
        <v>77</v>
      </c>
      <c r="U672" s="119">
        <v>5</v>
      </c>
      <c r="V672" s="199">
        <v>0</v>
      </c>
      <c r="W672" s="103">
        <v>0</v>
      </c>
      <c r="X672" s="104">
        <v>0</v>
      </c>
      <c r="Y672" s="105">
        <v>0</v>
      </c>
      <c r="Z672" s="106">
        <v>0</v>
      </c>
      <c r="AA672" s="133">
        <f t="shared" si="730"/>
        <v>0</v>
      </c>
      <c r="AB672" s="71">
        <v>5</v>
      </c>
      <c r="AC672" s="119">
        <v>0</v>
      </c>
      <c r="AD672" s="199">
        <v>0</v>
      </c>
      <c r="AE672" s="103">
        <v>0</v>
      </c>
      <c r="AF672" s="104">
        <v>0</v>
      </c>
      <c r="AG672" s="105">
        <v>0</v>
      </c>
      <c r="AH672" s="106">
        <v>0</v>
      </c>
      <c r="AI672" s="133">
        <f t="shared" si="731"/>
        <v>0</v>
      </c>
      <c r="AJ672" s="71">
        <v>0</v>
      </c>
      <c r="AK672" s="119"/>
      <c r="AL672" s="119"/>
      <c r="AM672" s="46"/>
      <c r="AN672" s="119"/>
      <c r="AO672" s="46"/>
      <c r="AP672" s="119"/>
      <c r="AQ672" s="119"/>
      <c r="AR672" s="122"/>
      <c r="AS672" s="123"/>
      <c r="AT672" s="124"/>
      <c r="AU672" s="119"/>
      <c r="AV672" s="119"/>
      <c r="AW672" s="117"/>
      <c r="AX672" s="117" t="s">
        <v>108</v>
      </c>
    </row>
    <row r="673" spans="1:50" s="181" customFormat="1" ht="36" x14ac:dyDescent="0.25">
      <c r="A673" s="299"/>
      <c r="B673" s="115" t="s">
        <v>224</v>
      </c>
      <c r="C673" s="115" t="s">
        <v>463</v>
      </c>
      <c r="D673" s="117" t="s">
        <v>106</v>
      </c>
      <c r="E673" s="117" t="s">
        <v>75</v>
      </c>
      <c r="F673" s="142" t="s">
        <v>61</v>
      </c>
      <c r="G673" s="127"/>
      <c r="H673" s="143">
        <f>SUBTOTAL(9,H670:H672)</f>
        <v>15</v>
      </c>
      <c r="I673" s="143">
        <f t="shared" ref="I673" si="770">SUBTOTAL(9,I670:I672)</f>
        <v>0</v>
      </c>
      <c r="J673" s="143">
        <f t="shared" ref="J673:O673" si="771">SUBTOTAL(9,J670:J672)</f>
        <v>0</v>
      </c>
      <c r="K673" s="143">
        <f t="shared" si="771"/>
        <v>0</v>
      </c>
      <c r="L673" s="143">
        <f t="shared" si="771"/>
        <v>0</v>
      </c>
      <c r="M673" s="143">
        <f t="shared" si="771"/>
        <v>0</v>
      </c>
      <c r="N673" s="143">
        <f t="shared" si="740"/>
        <v>0</v>
      </c>
      <c r="O673" s="143">
        <f t="shared" si="771"/>
        <v>15</v>
      </c>
      <c r="P673" s="143"/>
      <c r="Q673" s="177"/>
      <c r="R673" s="129"/>
      <c r="S673" s="172"/>
      <c r="T673" s="130"/>
      <c r="U673" s="143">
        <f>SUBTOTAL(9,U670:U672)</f>
        <v>15</v>
      </c>
      <c r="V673" s="143">
        <f t="shared" ref="V673" si="772">SUBTOTAL(9,V670:V672)</f>
        <v>0</v>
      </c>
      <c r="W673" s="143">
        <f t="shared" ref="W673:AJ673" si="773">SUBTOTAL(9,W670:W672)</f>
        <v>0</v>
      </c>
      <c r="X673" s="143">
        <f t="shared" si="773"/>
        <v>0</v>
      </c>
      <c r="Y673" s="143">
        <f t="shared" si="773"/>
        <v>0</v>
      </c>
      <c r="Z673" s="143">
        <f t="shared" si="773"/>
        <v>0</v>
      </c>
      <c r="AA673" s="143">
        <f t="shared" si="730"/>
        <v>0</v>
      </c>
      <c r="AB673" s="143">
        <f t="shared" si="773"/>
        <v>15</v>
      </c>
      <c r="AC673" s="143">
        <f t="shared" si="773"/>
        <v>0</v>
      </c>
      <c r="AD673" s="143">
        <f t="shared" si="773"/>
        <v>0</v>
      </c>
      <c r="AE673" s="143">
        <f t="shared" si="773"/>
        <v>0</v>
      </c>
      <c r="AF673" s="143">
        <f t="shared" si="773"/>
        <v>0</v>
      </c>
      <c r="AG673" s="143">
        <f t="shared" ref="AG673" si="774">SUBTOTAL(9,AG670:AG672)</f>
        <v>0</v>
      </c>
      <c r="AH673" s="143">
        <f t="shared" si="773"/>
        <v>0</v>
      </c>
      <c r="AI673" s="143">
        <f t="shared" si="731"/>
        <v>0</v>
      </c>
      <c r="AJ673" s="143">
        <f t="shared" si="773"/>
        <v>0</v>
      </c>
      <c r="AK673" s="142"/>
      <c r="AL673" s="127"/>
      <c r="AM673" s="142"/>
      <c r="AN673" s="142"/>
      <c r="AO673" s="142"/>
      <c r="AP673" s="127"/>
      <c r="AQ673" s="143">
        <f>SUBTOTAL(9,AQ670:AQ672)</f>
        <v>0</v>
      </c>
      <c r="AR673" s="143">
        <f t="shared" ref="AR673:AT673" si="775">SUBTOTAL(9,AR670:AR672)</f>
        <v>0</v>
      </c>
      <c r="AS673" s="143">
        <f t="shared" si="775"/>
        <v>0</v>
      </c>
      <c r="AT673" s="143">
        <f t="shared" si="775"/>
        <v>0</v>
      </c>
      <c r="AU673" s="180"/>
      <c r="AV673" s="142"/>
      <c r="AW673" s="127"/>
      <c r="AX673" s="127" t="s">
        <v>108</v>
      </c>
    </row>
    <row r="674" spans="1:50" s="181" customFormat="1" ht="36" x14ac:dyDescent="0.25">
      <c r="A674" s="299"/>
      <c r="B674" s="115" t="s">
        <v>224</v>
      </c>
      <c r="C674" s="115" t="s">
        <v>465</v>
      </c>
      <c r="D674" s="117" t="s">
        <v>89</v>
      </c>
      <c r="E674" s="117" t="s">
        <v>75</v>
      </c>
      <c r="F674" s="270"/>
      <c r="G674" s="119" t="s">
        <v>231</v>
      </c>
      <c r="H674" s="119">
        <v>15</v>
      </c>
      <c r="I674" s="199">
        <v>0</v>
      </c>
      <c r="J674" s="103">
        <v>0</v>
      </c>
      <c r="K674" s="104">
        <v>0</v>
      </c>
      <c r="L674" s="105">
        <v>0</v>
      </c>
      <c r="M674" s="106">
        <v>0</v>
      </c>
      <c r="N674" s="133">
        <f t="shared" si="740"/>
        <v>0</v>
      </c>
      <c r="O674" s="71">
        <v>15</v>
      </c>
      <c r="P674" s="71"/>
      <c r="Q674" s="119"/>
      <c r="R674" s="119" t="s">
        <v>51</v>
      </c>
      <c r="S674" s="120" t="s">
        <v>232</v>
      </c>
      <c r="T674" s="119" t="s">
        <v>358</v>
      </c>
      <c r="U674" s="119">
        <v>15</v>
      </c>
      <c r="V674" s="199">
        <v>0</v>
      </c>
      <c r="W674" s="103">
        <v>0</v>
      </c>
      <c r="X674" s="104">
        <v>0</v>
      </c>
      <c r="Y674" s="105">
        <v>0</v>
      </c>
      <c r="Z674" s="106">
        <v>0</v>
      </c>
      <c r="AA674" s="133">
        <f t="shared" si="730"/>
        <v>0</v>
      </c>
      <c r="AB674" s="71">
        <v>15</v>
      </c>
      <c r="AC674" s="119">
        <v>5</v>
      </c>
      <c r="AD674" s="199">
        <v>0</v>
      </c>
      <c r="AE674" s="103">
        <v>0</v>
      </c>
      <c r="AF674" s="104">
        <v>0</v>
      </c>
      <c r="AG674" s="105">
        <v>0</v>
      </c>
      <c r="AH674" s="106">
        <v>0</v>
      </c>
      <c r="AI674" s="133">
        <f t="shared" si="731"/>
        <v>0</v>
      </c>
      <c r="AJ674" s="71">
        <v>5</v>
      </c>
      <c r="AK674" s="119"/>
      <c r="AL674" s="119"/>
      <c r="AM674" s="46"/>
      <c r="AN674" s="119"/>
      <c r="AO674" s="46"/>
      <c r="AP674" s="119" t="s">
        <v>466</v>
      </c>
      <c r="AQ674" s="119">
        <v>5</v>
      </c>
      <c r="AR674" s="122">
        <v>0</v>
      </c>
      <c r="AS674" s="123">
        <v>0</v>
      </c>
      <c r="AT674" s="124">
        <v>5</v>
      </c>
      <c r="AU674" s="119"/>
      <c r="AV674" s="119"/>
      <c r="AW674" s="119" t="s">
        <v>248</v>
      </c>
      <c r="AX674" s="117" t="s">
        <v>87</v>
      </c>
    </row>
    <row r="675" spans="1:50" s="181" customFormat="1" ht="36" x14ac:dyDescent="0.25">
      <c r="A675" s="299"/>
      <c r="B675" s="115" t="s">
        <v>224</v>
      </c>
      <c r="C675" s="115" t="s">
        <v>465</v>
      </c>
      <c r="D675" s="117" t="s">
        <v>89</v>
      </c>
      <c r="E675" s="117" t="s">
        <v>75</v>
      </c>
      <c r="F675" s="270"/>
      <c r="G675" s="119" t="s">
        <v>227</v>
      </c>
      <c r="H675" s="119">
        <v>15</v>
      </c>
      <c r="I675" s="199">
        <v>0</v>
      </c>
      <c r="J675" s="103">
        <v>0</v>
      </c>
      <c r="K675" s="104">
        <v>0</v>
      </c>
      <c r="L675" s="105">
        <v>0</v>
      </c>
      <c r="M675" s="106">
        <v>0</v>
      </c>
      <c r="N675" s="133">
        <f t="shared" si="740"/>
        <v>0</v>
      </c>
      <c r="O675" s="71">
        <v>15</v>
      </c>
      <c r="P675" s="71"/>
      <c r="Q675" s="119"/>
      <c r="R675" s="119" t="s">
        <v>51</v>
      </c>
      <c r="S675" s="120" t="s">
        <v>232</v>
      </c>
      <c r="T675" s="119" t="s">
        <v>358</v>
      </c>
      <c r="U675" s="119">
        <v>15</v>
      </c>
      <c r="V675" s="199">
        <v>0</v>
      </c>
      <c r="W675" s="103">
        <v>0</v>
      </c>
      <c r="X675" s="104">
        <v>0</v>
      </c>
      <c r="Y675" s="105">
        <v>0</v>
      </c>
      <c r="Z675" s="106">
        <v>0</v>
      </c>
      <c r="AA675" s="133">
        <f t="shared" si="730"/>
        <v>0</v>
      </c>
      <c r="AB675" s="71">
        <v>15</v>
      </c>
      <c r="AC675" s="119">
        <v>0</v>
      </c>
      <c r="AD675" s="199">
        <v>0</v>
      </c>
      <c r="AE675" s="103">
        <v>0</v>
      </c>
      <c r="AF675" s="104">
        <v>0</v>
      </c>
      <c r="AG675" s="105">
        <v>0</v>
      </c>
      <c r="AH675" s="106">
        <v>0</v>
      </c>
      <c r="AI675" s="133">
        <f t="shared" si="731"/>
        <v>0</v>
      </c>
      <c r="AJ675" s="71">
        <v>0</v>
      </c>
      <c r="AK675" s="119"/>
      <c r="AL675" s="119"/>
      <c r="AM675" s="46"/>
      <c r="AN675" s="119"/>
      <c r="AO675" s="46"/>
      <c r="AP675" s="119"/>
      <c r="AQ675" s="119">
        <v>0</v>
      </c>
      <c r="AR675" s="122">
        <v>0</v>
      </c>
      <c r="AS675" s="123">
        <v>0</v>
      </c>
      <c r="AT675" s="124">
        <v>0</v>
      </c>
      <c r="AU675" s="119"/>
      <c r="AV675" s="119"/>
      <c r="AW675" s="117"/>
      <c r="AX675" s="117" t="s">
        <v>87</v>
      </c>
    </row>
    <row r="676" spans="1:50" s="181" customFormat="1" ht="36" x14ac:dyDescent="0.25">
      <c r="A676" s="299"/>
      <c r="B676" s="115" t="s">
        <v>224</v>
      </c>
      <c r="C676" s="115" t="s">
        <v>465</v>
      </c>
      <c r="D676" s="117" t="s">
        <v>89</v>
      </c>
      <c r="E676" s="117" t="s">
        <v>75</v>
      </c>
      <c r="F676" s="142" t="s">
        <v>61</v>
      </c>
      <c r="G676" s="127"/>
      <c r="H676" s="143">
        <f>SUBTOTAL(9,H674:H675)</f>
        <v>30</v>
      </c>
      <c r="I676" s="143">
        <f t="shared" ref="I676" si="776">SUBTOTAL(9,I674:I675)</f>
        <v>0</v>
      </c>
      <c r="J676" s="143">
        <f t="shared" ref="J676:O676" si="777">SUBTOTAL(9,J674:J675)</f>
        <v>0</v>
      </c>
      <c r="K676" s="143">
        <f t="shared" si="777"/>
        <v>0</v>
      </c>
      <c r="L676" s="143">
        <f t="shared" si="777"/>
        <v>0</v>
      </c>
      <c r="M676" s="143">
        <f t="shared" si="777"/>
        <v>0</v>
      </c>
      <c r="N676" s="143">
        <f t="shared" si="740"/>
        <v>0</v>
      </c>
      <c r="O676" s="143">
        <f t="shared" si="777"/>
        <v>30</v>
      </c>
      <c r="P676" s="143"/>
      <c r="Q676" s="177"/>
      <c r="R676" s="129"/>
      <c r="S676" s="172"/>
      <c r="T676" s="130"/>
      <c r="U676" s="143">
        <f>SUBTOTAL(9,U674:U675)</f>
        <v>30</v>
      </c>
      <c r="V676" s="143">
        <f t="shared" ref="V676" si="778">SUBTOTAL(9,V674:V675)</f>
        <v>0</v>
      </c>
      <c r="W676" s="143">
        <f t="shared" ref="W676:AJ676" si="779">SUBTOTAL(9,W674:W675)</f>
        <v>0</v>
      </c>
      <c r="X676" s="143">
        <f t="shared" si="779"/>
        <v>0</v>
      </c>
      <c r="Y676" s="143">
        <f t="shared" si="779"/>
        <v>0</v>
      </c>
      <c r="Z676" s="143">
        <f t="shared" si="779"/>
        <v>0</v>
      </c>
      <c r="AA676" s="143">
        <f t="shared" si="730"/>
        <v>0</v>
      </c>
      <c r="AB676" s="143">
        <f t="shared" si="779"/>
        <v>30</v>
      </c>
      <c r="AC676" s="143">
        <f t="shared" si="779"/>
        <v>5</v>
      </c>
      <c r="AD676" s="143">
        <f t="shared" si="779"/>
        <v>0</v>
      </c>
      <c r="AE676" s="143">
        <f t="shared" si="779"/>
        <v>0</v>
      </c>
      <c r="AF676" s="143">
        <f t="shared" si="779"/>
        <v>0</v>
      </c>
      <c r="AG676" s="143">
        <f t="shared" ref="AG676" si="780">SUBTOTAL(9,AG674:AG675)</f>
        <v>0</v>
      </c>
      <c r="AH676" s="143">
        <f t="shared" si="779"/>
        <v>0</v>
      </c>
      <c r="AI676" s="143">
        <f t="shared" si="731"/>
        <v>0</v>
      </c>
      <c r="AJ676" s="143">
        <f t="shared" si="779"/>
        <v>5</v>
      </c>
      <c r="AK676" s="142"/>
      <c r="AL676" s="127"/>
      <c r="AM676" s="142"/>
      <c r="AN676" s="142"/>
      <c r="AO676" s="142"/>
      <c r="AP676" s="127"/>
      <c r="AQ676" s="143">
        <f>SUBTOTAL(9,AQ674:AQ675)</f>
        <v>5</v>
      </c>
      <c r="AR676" s="143">
        <f t="shared" ref="AR676:AT676" si="781">SUBTOTAL(9,AR674:AR675)</f>
        <v>0</v>
      </c>
      <c r="AS676" s="143">
        <f t="shared" si="781"/>
        <v>0</v>
      </c>
      <c r="AT676" s="143">
        <f t="shared" si="781"/>
        <v>5</v>
      </c>
      <c r="AU676" s="180"/>
      <c r="AV676" s="142"/>
      <c r="AW676" s="127"/>
      <c r="AX676" s="127" t="s">
        <v>87</v>
      </c>
    </row>
    <row r="677" spans="1:50" s="181" customFormat="1" ht="72" x14ac:dyDescent="0.25">
      <c r="A677" s="299"/>
      <c r="B677" s="115" t="s">
        <v>224</v>
      </c>
      <c r="C677" s="115" t="s">
        <v>467</v>
      </c>
      <c r="D677" s="117" t="s">
        <v>89</v>
      </c>
      <c r="E677" s="117" t="s">
        <v>75</v>
      </c>
      <c r="F677" s="267"/>
      <c r="G677" s="119" t="s">
        <v>237</v>
      </c>
      <c r="H677" s="119">
        <v>5</v>
      </c>
      <c r="I677" s="199">
        <v>0</v>
      </c>
      <c r="J677" s="103">
        <v>0</v>
      </c>
      <c r="K677" s="104">
        <v>0</v>
      </c>
      <c r="L677" s="105">
        <v>0</v>
      </c>
      <c r="M677" s="106">
        <v>0</v>
      </c>
      <c r="N677" s="133">
        <f t="shared" si="740"/>
        <v>0</v>
      </c>
      <c r="O677" s="71">
        <v>5</v>
      </c>
      <c r="P677" s="71"/>
      <c r="Q677" s="119"/>
      <c r="R677" s="119" t="s">
        <v>51</v>
      </c>
      <c r="S677" s="120" t="s">
        <v>307</v>
      </c>
      <c r="T677" s="119" t="s">
        <v>77</v>
      </c>
      <c r="U677" s="119">
        <v>5</v>
      </c>
      <c r="V677" s="199">
        <v>0</v>
      </c>
      <c r="W677" s="103">
        <v>0</v>
      </c>
      <c r="X677" s="104">
        <v>0</v>
      </c>
      <c r="Y677" s="105">
        <v>0</v>
      </c>
      <c r="Z677" s="106">
        <v>0</v>
      </c>
      <c r="AA677" s="133">
        <f t="shared" si="730"/>
        <v>0</v>
      </c>
      <c r="AB677" s="71">
        <v>5</v>
      </c>
      <c r="AC677" s="119">
        <v>0</v>
      </c>
      <c r="AD677" s="199">
        <v>0</v>
      </c>
      <c r="AE677" s="103">
        <v>0</v>
      </c>
      <c r="AF677" s="104">
        <v>0</v>
      </c>
      <c r="AG677" s="105">
        <v>0</v>
      </c>
      <c r="AH677" s="106">
        <v>0</v>
      </c>
      <c r="AI677" s="133">
        <f t="shared" si="731"/>
        <v>0</v>
      </c>
      <c r="AJ677" s="71">
        <v>0</v>
      </c>
      <c r="AK677" s="119"/>
      <c r="AL677" s="119"/>
      <c r="AM677" s="46"/>
      <c r="AN677" s="119"/>
      <c r="AO677" s="46"/>
      <c r="AP677" s="119"/>
      <c r="AQ677" s="119">
        <v>0</v>
      </c>
      <c r="AR677" s="122">
        <v>0</v>
      </c>
      <c r="AS677" s="123">
        <v>0</v>
      </c>
      <c r="AT677" s="124">
        <v>0</v>
      </c>
      <c r="AU677" s="119"/>
      <c r="AV677" s="119"/>
      <c r="AW677" s="117"/>
      <c r="AX677" s="117" t="s">
        <v>87</v>
      </c>
    </row>
    <row r="678" spans="1:50" s="181" customFormat="1" ht="72" x14ac:dyDescent="0.25">
      <c r="A678" s="299"/>
      <c r="B678" s="115" t="s">
        <v>224</v>
      </c>
      <c r="C678" s="115" t="s">
        <v>467</v>
      </c>
      <c r="D678" s="117" t="s">
        <v>89</v>
      </c>
      <c r="E678" s="117" t="s">
        <v>75</v>
      </c>
      <c r="F678" s="268"/>
      <c r="G678" s="119" t="s">
        <v>227</v>
      </c>
      <c r="H678" s="119">
        <v>15</v>
      </c>
      <c r="I678" s="199">
        <v>0</v>
      </c>
      <c r="J678" s="103">
        <v>0</v>
      </c>
      <c r="K678" s="104">
        <v>0</v>
      </c>
      <c r="L678" s="105">
        <v>0</v>
      </c>
      <c r="M678" s="106">
        <v>0</v>
      </c>
      <c r="N678" s="133">
        <f t="shared" si="740"/>
        <v>0</v>
      </c>
      <c r="O678" s="71">
        <v>15</v>
      </c>
      <c r="P678" s="71"/>
      <c r="Q678" s="119"/>
      <c r="R678" s="119" t="s">
        <v>51</v>
      </c>
      <c r="S678" s="120" t="s">
        <v>307</v>
      </c>
      <c r="T678" s="119" t="s">
        <v>77</v>
      </c>
      <c r="U678" s="119">
        <v>15</v>
      </c>
      <c r="V678" s="199">
        <v>0</v>
      </c>
      <c r="W678" s="103">
        <v>0</v>
      </c>
      <c r="X678" s="104">
        <v>0</v>
      </c>
      <c r="Y678" s="105">
        <v>0</v>
      </c>
      <c r="Z678" s="106">
        <v>0</v>
      </c>
      <c r="AA678" s="133">
        <f t="shared" si="730"/>
        <v>0</v>
      </c>
      <c r="AB678" s="71">
        <v>15</v>
      </c>
      <c r="AC678" s="119">
        <v>0</v>
      </c>
      <c r="AD678" s="199">
        <v>0</v>
      </c>
      <c r="AE678" s="103">
        <v>0</v>
      </c>
      <c r="AF678" s="104">
        <v>0</v>
      </c>
      <c r="AG678" s="105">
        <v>0</v>
      </c>
      <c r="AH678" s="106">
        <v>0</v>
      </c>
      <c r="AI678" s="133">
        <f t="shared" si="731"/>
        <v>0</v>
      </c>
      <c r="AJ678" s="71">
        <v>0</v>
      </c>
      <c r="AK678" s="119"/>
      <c r="AL678" s="119"/>
      <c r="AM678" s="46"/>
      <c r="AN678" s="119"/>
      <c r="AO678" s="46"/>
      <c r="AP678" s="119"/>
      <c r="AQ678" s="119">
        <v>0</v>
      </c>
      <c r="AR678" s="122">
        <v>0</v>
      </c>
      <c r="AS678" s="123">
        <v>0</v>
      </c>
      <c r="AT678" s="124">
        <v>0</v>
      </c>
      <c r="AU678" s="119"/>
      <c r="AV678" s="119"/>
      <c r="AW678" s="117"/>
      <c r="AX678" s="117" t="s">
        <v>87</v>
      </c>
    </row>
    <row r="679" spans="1:50" s="181" customFormat="1" ht="72" x14ac:dyDescent="0.25">
      <c r="A679" s="299"/>
      <c r="B679" s="115" t="s">
        <v>224</v>
      </c>
      <c r="C679" s="115" t="s">
        <v>467</v>
      </c>
      <c r="D679" s="117" t="s">
        <v>89</v>
      </c>
      <c r="E679" s="117" t="s">
        <v>75</v>
      </c>
      <c r="F679" s="268"/>
      <c r="G679" s="119" t="s">
        <v>228</v>
      </c>
      <c r="H679" s="119">
        <v>15</v>
      </c>
      <c r="I679" s="199">
        <v>0</v>
      </c>
      <c r="J679" s="103">
        <v>0</v>
      </c>
      <c r="K679" s="104">
        <v>0</v>
      </c>
      <c r="L679" s="105">
        <v>0</v>
      </c>
      <c r="M679" s="106">
        <v>0</v>
      </c>
      <c r="N679" s="133">
        <f t="shared" si="740"/>
        <v>0</v>
      </c>
      <c r="O679" s="71">
        <v>15</v>
      </c>
      <c r="P679" s="71"/>
      <c r="Q679" s="119"/>
      <c r="R679" s="119" t="s">
        <v>51</v>
      </c>
      <c r="S679" s="120" t="s">
        <v>307</v>
      </c>
      <c r="T679" s="119" t="s">
        <v>77</v>
      </c>
      <c r="U679" s="119">
        <v>15</v>
      </c>
      <c r="V679" s="199">
        <v>0</v>
      </c>
      <c r="W679" s="103">
        <v>0</v>
      </c>
      <c r="X679" s="104">
        <v>0</v>
      </c>
      <c r="Y679" s="105">
        <v>0</v>
      </c>
      <c r="Z679" s="106">
        <v>0</v>
      </c>
      <c r="AA679" s="133">
        <f t="shared" si="730"/>
        <v>0</v>
      </c>
      <c r="AB679" s="71">
        <v>15</v>
      </c>
      <c r="AC679" s="119">
        <v>5</v>
      </c>
      <c r="AD679" s="199">
        <v>0</v>
      </c>
      <c r="AE679" s="103">
        <v>0</v>
      </c>
      <c r="AF679" s="104">
        <v>0</v>
      </c>
      <c r="AG679" s="105">
        <v>0</v>
      </c>
      <c r="AH679" s="106">
        <v>0</v>
      </c>
      <c r="AI679" s="133">
        <f t="shared" si="731"/>
        <v>0</v>
      </c>
      <c r="AJ679" s="71">
        <v>5</v>
      </c>
      <c r="AK679" s="119"/>
      <c r="AL679" s="119"/>
      <c r="AM679" s="46"/>
      <c r="AN679" s="119"/>
      <c r="AO679" s="46"/>
      <c r="AP679" s="119" t="s">
        <v>466</v>
      </c>
      <c r="AQ679" s="119">
        <v>5</v>
      </c>
      <c r="AR679" s="122">
        <v>0</v>
      </c>
      <c r="AS679" s="123">
        <v>0</v>
      </c>
      <c r="AT679" s="124">
        <v>5</v>
      </c>
      <c r="AU679" s="119"/>
      <c r="AV679" s="119"/>
      <c r="AW679" s="119" t="s">
        <v>248</v>
      </c>
      <c r="AX679" s="117" t="s">
        <v>87</v>
      </c>
    </row>
    <row r="680" spans="1:50" s="181" customFormat="1" ht="72" x14ac:dyDescent="0.25">
      <c r="A680" s="299"/>
      <c r="B680" s="115" t="s">
        <v>224</v>
      </c>
      <c r="C680" s="115" t="s">
        <v>467</v>
      </c>
      <c r="D680" s="117" t="s">
        <v>89</v>
      </c>
      <c r="E680" s="117" t="s">
        <v>75</v>
      </c>
      <c r="F680" s="268"/>
      <c r="G680" s="119" t="s">
        <v>260</v>
      </c>
      <c r="H680" s="119">
        <v>5</v>
      </c>
      <c r="I680" s="199">
        <v>0</v>
      </c>
      <c r="J680" s="103">
        <v>0</v>
      </c>
      <c r="K680" s="104">
        <v>0</v>
      </c>
      <c r="L680" s="105">
        <v>0</v>
      </c>
      <c r="M680" s="106">
        <v>0</v>
      </c>
      <c r="N680" s="133">
        <f t="shared" si="740"/>
        <v>0</v>
      </c>
      <c r="O680" s="71">
        <v>5</v>
      </c>
      <c r="P680" s="71"/>
      <c r="Q680" s="119"/>
      <c r="R680" s="119" t="s">
        <v>51</v>
      </c>
      <c r="S680" s="120" t="s">
        <v>307</v>
      </c>
      <c r="T680" s="119" t="s">
        <v>77</v>
      </c>
      <c r="U680" s="119">
        <v>5</v>
      </c>
      <c r="V680" s="199">
        <v>0</v>
      </c>
      <c r="W680" s="103">
        <v>0</v>
      </c>
      <c r="X680" s="104">
        <v>0</v>
      </c>
      <c r="Y680" s="105">
        <v>0</v>
      </c>
      <c r="Z680" s="106">
        <v>0</v>
      </c>
      <c r="AA680" s="133">
        <f t="shared" si="730"/>
        <v>0</v>
      </c>
      <c r="AB680" s="71">
        <v>5</v>
      </c>
      <c r="AC680" s="119">
        <v>0</v>
      </c>
      <c r="AD680" s="199">
        <v>0</v>
      </c>
      <c r="AE680" s="103">
        <v>0</v>
      </c>
      <c r="AF680" s="104">
        <v>0</v>
      </c>
      <c r="AG680" s="105">
        <v>0</v>
      </c>
      <c r="AH680" s="106">
        <v>0</v>
      </c>
      <c r="AI680" s="133">
        <f t="shared" si="731"/>
        <v>0</v>
      </c>
      <c r="AJ680" s="71">
        <v>0</v>
      </c>
      <c r="AK680" s="119"/>
      <c r="AL680" s="119"/>
      <c r="AM680" s="46"/>
      <c r="AN680" s="119"/>
      <c r="AO680" s="46"/>
      <c r="AP680" s="119"/>
      <c r="AQ680" s="119">
        <v>0</v>
      </c>
      <c r="AR680" s="122">
        <v>0</v>
      </c>
      <c r="AS680" s="123">
        <v>0</v>
      </c>
      <c r="AT680" s="124">
        <v>0</v>
      </c>
      <c r="AU680" s="119"/>
      <c r="AV680" s="119"/>
      <c r="AW680" s="117"/>
      <c r="AX680" s="117" t="s">
        <v>87</v>
      </c>
    </row>
    <row r="681" spans="1:50" s="181" customFormat="1" ht="72" x14ac:dyDescent="0.25">
      <c r="A681" s="299"/>
      <c r="B681" s="115" t="s">
        <v>224</v>
      </c>
      <c r="C681" s="115" t="s">
        <v>467</v>
      </c>
      <c r="D681" s="117" t="s">
        <v>89</v>
      </c>
      <c r="E681" s="117" t="s">
        <v>75</v>
      </c>
      <c r="F681" s="269"/>
      <c r="G681" s="119" t="s">
        <v>262</v>
      </c>
      <c r="H681" s="119">
        <v>5</v>
      </c>
      <c r="I681" s="199">
        <v>0</v>
      </c>
      <c r="J681" s="103">
        <v>0</v>
      </c>
      <c r="K681" s="104">
        <v>0</v>
      </c>
      <c r="L681" s="105">
        <v>0</v>
      </c>
      <c r="M681" s="106">
        <v>0</v>
      </c>
      <c r="N681" s="133">
        <f t="shared" si="740"/>
        <v>0</v>
      </c>
      <c r="O681" s="71">
        <v>5</v>
      </c>
      <c r="P681" s="71"/>
      <c r="Q681" s="119"/>
      <c r="R681" s="119" t="s">
        <v>51</v>
      </c>
      <c r="S681" s="120" t="s">
        <v>307</v>
      </c>
      <c r="T681" s="119" t="s">
        <v>77</v>
      </c>
      <c r="U681" s="119">
        <v>5</v>
      </c>
      <c r="V681" s="199">
        <v>0</v>
      </c>
      <c r="W681" s="103">
        <v>0</v>
      </c>
      <c r="X681" s="104">
        <v>0</v>
      </c>
      <c r="Y681" s="105">
        <v>0</v>
      </c>
      <c r="Z681" s="106">
        <v>0</v>
      </c>
      <c r="AA681" s="133">
        <f t="shared" si="730"/>
        <v>0</v>
      </c>
      <c r="AB681" s="71">
        <v>5</v>
      </c>
      <c r="AC681" s="119">
        <v>0</v>
      </c>
      <c r="AD681" s="199">
        <v>0</v>
      </c>
      <c r="AE681" s="103">
        <v>0</v>
      </c>
      <c r="AF681" s="104">
        <v>0</v>
      </c>
      <c r="AG681" s="105">
        <v>0</v>
      </c>
      <c r="AH681" s="106">
        <v>0</v>
      </c>
      <c r="AI681" s="133">
        <f t="shared" si="731"/>
        <v>0</v>
      </c>
      <c r="AJ681" s="71">
        <v>0</v>
      </c>
      <c r="AK681" s="119"/>
      <c r="AL681" s="119"/>
      <c r="AM681" s="46"/>
      <c r="AN681" s="119"/>
      <c r="AO681" s="46"/>
      <c r="AP681" s="119"/>
      <c r="AQ681" s="119">
        <v>0</v>
      </c>
      <c r="AR681" s="122">
        <v>0</v>
      </c>
      <c r="AS681" s="123">
        <v>0</v>
      </c>
      <c r="AT681" s="124">
        <v>0</v>
      </c>
      <c r="AU681" s="119"/>
      <c r="AV681" s="119"/>
      <c r="AW681" s="117"/>
      <c r="AX681" s="117" t="s">
        <v>87</v>
      </c>
    </row>
    <row r="682" spans="1:50" s="181" customFormat="1" ht="54" x14ac:dyDescent="0.25">
      <c r="A682" s="299"/>
      <c r="B682" s="115" t="s">
        <v>224</v>
      </c>
      <c r="C682" s="115" t="s">
        <v>467</v>
      </c>
      <c r="D682" s="117" t="s">
        <v>89</v>
      </c>
      <c r="E682" s="117" t="s">
        <v>75</v>
      </c>
      <c r="F682" s="142" t="s">
        <v>61</v>
      </c>
      <c r="G682" s="127"/>
      <c r="H682" s="143">
        <f>SUBTOTAL(9,H677:H681)</f>
        <v>45</v>
      </c>
      <c r="I682" s="143">
        <f t="shared" ref="I682" si="782">SUBTOTAL(9,I677:I681)</f>
        <v>0</v>
      </c>
      <c r="J682" s="143">
        <f t="shared" ref="J682:O682" si="783">SUBTOTAL(9,J677:J681)</f>
        <v>0</v>
      </c>
      <c r="K682" s="143">
        <f t="shared" si="783"/>
        <v>0</v>
      </c>
      <c r="L682" s="143">
        <f t="shared" si="783"/>
        <v>0</v>
      </c>
      <c r="M682" s="143">
        <f t="shared" si="783"/>
        <v>0</v>
      </c>
      <c r="N682" s="143">
        <f t="shared" si="740"/>
        <v>0</v>
      </c>
      <c r="O682" s="143">
        <f t="shared" si="783"/>
        <v>45</v>
      </c>
      <c r="P682" s="143"/>
      <c r="Q682" s="177"/>
      <c r="R682" s="129"/>
      <c r="S682" s="172"/>
      <c r="T682" s="130"/>
      <c r="U682" s="143">
        <f>SUBTOTAL(9,U677:U681)</f>
        <v>45</v>
      </c>
      <c r="V682" s="143">
        <f t="shared" ref="V682" si="784">SUBTOTAL(9,V677:V681)</f>
        <v>0</v>
      </c>
      <c r="W682" s="143">
        <f t="shared" ref="W682:AJ682" si="785">SUBTOTAL(9,W677:W681)</f>
        <v>0</v>
      </c>
      <c r="X682" s="143">
        <f t="shared" si="785"/>
        <v>0</v>
      </c>
      <c r="Y682" s="143">
        <f t="shared" si="785"/>
        <v>0</v>
      </c>
      <c r="Z682" s="143">
        <f t="shared" si="785"/>
        <v>0</v>
      </c>
      <c r="AA682" s="143">
        <f t="shared" si="730"/>
        <v>0</v>
      </c>
      <c r="AB682" s="143">
        <f t="shared" si="785"/>
        <v>45</v>
      </c>
      <c r="AC682" s="143">
        <f t="shared" si="785"/>
        <v>5</v>
      </c>
      <c r="AD682" s="143">
        <f t="shared" si="785"/>
        <v>0</v>
      </c>
      <c r="AE682" s="143">
        <f t="shared" si="785"/>
        <v>0</v>
      </c>
      <c r="AF682" s="143">
        <f t="shared" si="785"/>
        <v>0</v>
      </c>
      <c r="AG682" s="143">
        <f t="shared" ref="AG682" si="786">SUBTOTAL(9,AG677:AG681)</f>
        <v>0</v>
      </c>
      <c r="AH682" s="143">
        <f t="shared" si="785"/>
        <v>0</v>
      </c>
      <c r="AI682" s="143">
        <f t="shared" si="731"/>
        <v>0</v>
      </c>
      <c r="AJ682" s="143">
        <f t="shared" si="785"/>
        <v>5</v>
      </c>
      <c r="AK682" s="142"/>
      <c r="AL682" s="127"/>
      <c r="AM682" s="142"/>
      <c r="AN682" s="142"/>
      <c r="AO682" s="142"/>
      <c r="AP682" s="127"/>
      <c r="AQ682" s="143">
        <f>SUBTOTAL(9,AQ677:AQ681)</f>
        <v>5</v>
      </c>
      <c r="AR682" s="143">
        <f t="shared" ref="AR682:AT682" si="787">SUBTOTAL(9,AR677:AR681)</f>
        <v>0</v>
      </c>
      <c r="AS682" s="143">
        <f t="shared" si="787"/>
        <v>0</v>
      </c>
      <c r="AT682" s="143">
        <f t="shared" si="787"/>
        <v>5</v>
      </c>
      <c r="AU682" s="180"/>
      <c r="AV682" s="142"/>
      <c r="AW682" s="127"/>
      <c r="AX682" s="127" t="s">
        <v>87</v>
      </c>
    </row>
    <row r="683" spans="1:50" s="95" customFormat="1" ht="37.5" x14ac:dyDescent="0.25">
      <c r="A683" s="299"/>
      <c r="B683" s="115" t="s">
        <v>224</v>
      </c>
      <c r="C683" s="116" t="s">
        <v>212</v>
      </c>
      <c r="D683" s="117" t="s">
        <v>208</v>
      </c>
      <c r="E683" s="117" t="s">
        <v>70</v>
      </c>
      <c r="F683" s="272" t="s">
        <v>49</v>
      </c>
      <c r="G683" s="119" t="s">
        <v>231</v>
      </c>
      <c r="H683" s="136">
        <v>15</v>
      </c>
      <c r="I683" s="197">
        <v>0</v>
      </c>
      <c r="J683" s="90">
        <v>0</v>
      </c>
      <c r="K683" s="91">
        <v>0</v>
      </c>
      <c r="L683" s="92">
        <v>0</v>
      </c>
      <c r="M683" s="81">
        <v>0</v>
      </c>
      <c r="N683" s="133">
        <f t="shared" si="740"/>
        <v>0</v>
      </c>
      <c r="O683" s="71">
        <v>15</v>
      </c>
      <c r="P683" s="71"/>
      <c r="Q683" s="136"/>
      <c r="R683" s="136" t="s">
        <v>51</v>
      </c>
      <c r="S683" s="120" t="s">
        <v>436</v>
      </c>
      <c r="T683" s="251" t="s">
        <v>73</v>
      </c>
      <c r="U683" s="136">
        <v>120</v>
      </c>
      <c r="V683" s="197">
        <v>0</v>
      </c>
      <c r="W683" s="90">
        <v>0</v>
      </c>
      <c r="X683" s="91">
        <v>0</v>
      </c>
      <c r="Y683" s="92">
        <v>0</v>
      </c>
      <c r="Z683" s="81">
        <v>0</v>
      </c>
      <c r="AA683" s="133">
        <f t="shared" si="730"/>
        <v>0</v>
      </c>
      <c r="AB683" s="71">
        <v>120</v>
      </c>
      <c r="AC683" s="136">
        <v>60</v>
      </c>
      <c r="AD683" s="197">
        <v>0</v>
      </c>
      <c r="AE683" s="90">
        <v>0</v>
      </c>
      <c r="AF683" s="91">
        <v>0</v>
      </c>
      <c r="AG683" s="92">
        <v>0</v>
      </c>
      <c r="AH683" s="81">
        <v>0</v>
      </c>
      <c r="AI683" s="133">
        <f t="shared" si="731"/>
        <v>0</v>
      </c>
      <c r="AJ683" s="71">
        <v>60</v>
      </c>
      <c r="AK683" s="136"/>
      <c r="AL683" s="136"/>
      <c r="AM683" s="72"/>
      <c r="AN683" s="136"/>
      <c r="AO683" s="72"/>
      <c r="AP683" s="119" t="s">
        <v>213</v>
      </c>
      <c r="AQ683" s="136">
        <v>60</v>
      </c>
      <c r="AR683" s="122">
        <v>0</v>
      </c>
      <c r="AS683" s="123">
        <v>0</v>
      </c>
      <c r="AT683" s="124">
        <v>60</v>
      </c>
      <c r="AU683" s="136"/>
      <c r="AV683" s="136"/>
      <c r="AW683" s="136"/>
      <c r="AX683" s="138" t="s">
        <v>214</v>
      </c>
    </row>
    <row r="684" spans="1:50" s="95" customFormat="1" ht="37.5" x14ac:dyDescent="0.25">
      <c r="A684" s="299"/>
      <c r="B684" s="115" t="s">
        <v>224</v>
      </c>
      <c r="C684" s="116" t="s">
        <v>212</v>
      </c>
      <c r="D684" s="117" t="s">
        <v>208</v>
      </c>
      <c r="E684" s="117" t="s">
        <v>70</v>
      </c>
      <c r="F684" s="272"/>
      <c r="G684" s="119" t="s">
        <v>227</v>
      </c>
      <c r="H684" s="136">
        <v>15</v>
      </c>
      <c r="I684" s="197">
        <v>0</v>
      </c>
      <c r="J684" s="90">
        <v>0</v>
      </c>
      <c r="K684" s="91">
        <v>0</v>
      </c>
      <c r="L684" s="92">
        <v>0</v>
      </c>
      <c r="M684" s="81">
        <v>0</v>
      </c>
      <c r="N684" s="133">
        <f t="shared" si="740"/>
        <v>0</v>
      </c>
      <c r="O684" s="71">
        <v>15</v>
      </c>
      <c r="P684" s="71"/>
      <c r="Q684" s="136"/>
      <c r="R684" s="136" t="s">
        <v>51</v>
      </c>
      <c r="S684" s="120" t="s">
        <v>436</v>
      </c>
      <c r="T684" s="251"/>
      <c r="U684" s="136">
        <v>15</v>
      </c>
      <c r="V684" s="197">
        <v>0</v>
      </c>
      <c r="W684" s="90">
        <v>0</v>
      </c>
      <c r="X684" s="91">
        <v>0</v>
      </c>
      <c r="Y684" s="92">
        <v>0</v>
      </c>
      <c r="Z684" s="81">
        <v>0</v>
      </c>
      <c r="AA684" s="133">
        <f t="shared" si="730"/>
        <v>0</v>
      </c>
      <c r="AB684" s="71">
        <v>15</v>
      </c>
      <c r="AC684" s="136">
        <v>0</v>
      </c>
      <c r="AD684" s="197">
        <v>0</v>
      </c>
      <c r="AE684" s="90">
        <v>0</v>
      </c>
      <c r="AF684" s="91">
        <v>0</v>
      </c>
      <c r="AG684" s="92">
        <v>0</v>
      </c>
      <c r="AH684" s="81">
        <v>0</v>
      </c>
      <c r="AI684" s="133">
        <f t="shared" si="731"/>
        <v>0</v>
      </c>
      <c r="AJ684" s="71">
        <f>AC684/4*3</f>
        <v>0</v>
      </c>
      <c r="AK684" s="136"/>
      <c r="AL684" s="136"/>
      <c r="AM684" s="72"/>
      <c r="AN684" s="136"/>
      <c r="AO684" s="72"/>
      <c r="AP684" s="119"/>
      <c r="AQ684" s="136"/>
      <c r="AR684" s="122">
        <v>0</v>
      </c>
      <c r="AS684" s="123">
        <v>0</v>
      </c>
      <c r="AT684" s="124">
        <v>0</v>
      </c>
      <c r="AU684" s="136"/>
      <c r="AV684" s="136"/>
      <c r="AW684" s="136"/>
      <c r="AX684" s="138" t="s">
        <v>214</v>
      </c>
    </row>
    <row r="685" spans="1:50" s="95" customFormat="1" ht="37.5" x14ac:dyDescent="0.25">
      <c r="A685" s="299"/>
      <c r="B685" s="115" t="s">
        <v>224</v>
      </c>
      <c r="C685" s="116" t="s">
        <v>212</v>
      </c>
      <c r="D685" s="117" t="s">
        <v>208</v>
      </c>
      <c r="E685" s="117" t="s">
        <v>70</v>
      </c>
      <c r="F685" s="272"/>
      <c r="G685" s="119" t="s">
        <v>234</v>
      </c>
      <c r="H685" s="136">
        <v>80</v>
      </c>
      <c r="I685" s="197">
        <v>0</v>
      </c>
      <c r="J685" s="90">
        <v>0</v>
      </c>
      <c r="K685" s="91">
        <v>4</v>
      </c>
      <c r="L685" s="92">
        <v>1</v>
      </c>
      <c r="M685" s="81">
        <v>0</v>
      </c>
      <c r="N685" s="133">
        <f t="shared" si="740"/>
        <v>5</v>
      </c>
      <c r="O685" s="71">
        <v>75</v>
      </c>
      <c r="P685" s="71"/>
      <c r="Q685" s="136"/>
      <c r="R685" s="136" t="s">
        <v>51</v>
      </c>
      <c r="S685" s="120" t="s">
        <v>436</v>
      </c>
      <c r="T685" s="251" t="s">
        <v>77</v>
      </c>
      <c r="U685" s="136">
        <v>50</v>
      </c>
      <c r="V685" s="197">
        <v>0</v>
      </c>
      <c r="W685" s="90">
        <v>0</v>
      </c>
      <c r="X685" s="91">
        <v>4</v>
      </c>
      <c r="Y685" s="92">
        <v>1</v>
      </c>
      <c r="Z685" s="81">
        <v>0</v>
      </c>
      <c r="AA685" s="133">
        <f t="shared" si="730"/>
        <v>5</v>
      </c>
      <c r="AB685" s="71">
        <v>45</v>
      </c>
      <c r="AC685" s="136">
        <v>30</v>
      </c>
      <c r="AD685" s="197">
        <v>0</v>
      </c>
      <c r="AE685" s="90">
        <v>0</v>
      </c>
      <c r="AF685" s="91">
        <v>0</v>
      </c>
      <c r="AG685" s="92">
        <v>0</v>
      </c>
      <c r="AH685" s="81">
        <v>0</v>
      </c>
      <c r="AI685" s="133">
        <f t="shared" si="731"/>
        <v>0</v>
      </c>
      <c r="AJ685" s="71">
        <v>30</v>
      </c>
      <c r="AK685" s="136"/>
      <c r="AL685" s="136"/>
      <c r="AM685" s="72"/>
      <c r="AN685" s="136"/>
      <c r="AO685" s="72"/>
      <c r="AP685" s="119" t="s">
        <v>213</v>
      </c>
      <c r="AQ685" s="136">
        <v>30</v>
      </c>
      <c r="AR685" s="122">
        <v>0</v>
      </c>
      <c r="AS685" s="123">
        <v>0</v>
      </c>
      <c r="AT685" s="124">
        <v>60</v>
      </c>
      <c r="AU685" s="136"/>
      <c r="AV685" s="136"/>
      <c r="AW685" s="136"/>
      <c r="AX685" s="138" t="s">
        <v>214</v>
      </c>
    </row>
    <row r="686" spans="1:50" s="95" customFormat="1" ht="36" x14ac:dyDescent="0.25">
      <c r="A686" s="299"/>
      <c r="B686" s="115" t="s">
        <v>224</v>
      </c>
      <c r="C686" s="116" t="s">
        <v>212</v>
      </c>
      <c r="D686" s="117" t="s">
        <v>208</v>
      </c>
      <c r="E686" s="117" t="s">
        <v>70</v>
      </c>
      <c r="F686" s="272"/>
      <c r="G686" s="119" t="s">
        <v>172</v>
      </c>
      <c r="H686" s="136">
        <v>10</v>
      </c>
      <c r="I686" s="197">
        <v>0</v>
      </c>
      <c r="J686" s="90">
        <v>0</v>
      </c>
      <c r="K686" s="91">
        <v>5</v>
      </c>
      <c r="L686" s="92">
        <v>0</v>
      </c>
      <c r="M686" s="81">
        <v>0</v>
      </c>
      <c r="N686" s="133">
        <f t="shared" si="740"/>
        <v>5</v>
      </c>
      <c r="O686" s="71">
        <v>5</v>
      </c>
      <c r="P686" s="71"/>
      <c r="Q686" s="136"/>
      <c r="R686" s="136" t="s">
        <v>243</v>
      </c>
      <c r="S686" s="120" t="s">
        <v>433</v>
      </c>
      <c r="T686" s="251"/>
      <c r="U686" s="136">
        <v>15</v>
      </c>
      <c r="V686" s="197">
        <v>0</v>
      </c>
      <c r="W686" s="90">
        <v>0</v>
      </c>
      <c r="X686" s="91">
        <v>5</v>
      </c>
      <c r="Y686" s="92">
        <v>0</v>
      </c>
      <c r="Z686" s="81">
        <v>0</v>
      </c>
      <c r="AA686" s="133">
        <f t="shared" si="730"/>
        <v>5</v>
      </c>
      <c r="AB686" s="71">
        <v>10</v>
      </c>
      <c r="AC686" s="136">
        <v>30</v>
      </c>
      <c r="AD686" s="197">
        <v>0</v>
      </c>
      <c r="AE686" s="90">
        <v>0</v>
      </c>
      <c r="AF686" s="91">
        <v>5</v>
      </c>
      <c r="AG686" s="92">
        <v>0</v>
      </c>
      <c r="AH686" s="81">
        <v>0</v>
      </c>
      <c r="AI686" s="133">
        <f t="shared" si="731"/>
        <v>5</v>
      </c>
      <c r="AJ686" s="71">
        <v>25</v>
      </c>
      <c r="AK686" s="136"/>
      <c r="AL686" s="136"/>
      <c r="AM686" s="72"/>
      <c r="AN686" s="136"/>
      <c r="AO686" s="72"/>
      <c r="AP686" s="119" t="s">
        <v>468</v>
      </c>
      <c r="AQ686" s="136">
        <v>30</v>
      </c>
      <c r="AR686" s="122">
        <v>5</v>
      </c>
      <c r="AS686" s="123">
        <v>0</v>
      </c>
      <c r="AT686" s="124">
        <v>0</v>
      </c>
      <c r="AU686" s="136"/>
      <c r="AV686" s="136"/>
      <c r="AW686" s="136"/>
      <c r="AX686" s="138" t="s">
        <v>214</v>
      </c>
    </row>
    <row r="687" spans="1:50" s="181" customFormat="1" ht="36" x14ac:dyDescent="0.25">
      <c r="A687" s="299"/>
      <c r="B687" s="115" t="s">
        <v>224</v>
      </c>
      <c r="C687" s="116" t="s">
        <v>212</v>
      </c>
      <c r="D687" s="117" t="s">
        <v>208</v>
      </c>
      <c r="E687" s="117" t="s">
        <v>70</v>
      </c>
      <c r="F687" s="142" t="s">
        <v>61</v>
      </c>
      <c r="G687" s="127"/>
      <c r="H687" s="143">
        <f>SUM(H683,H684,H685,H686)</f>
        <v>120</v>
      </c>
      <c r="I687" s="143">
        <f t="shared" ref="I687" si="788">SUM(I683,I684,I685,I686)</f>
        <v>0</v>
      </c>
      <c r="J687" s="143">
        <f t="shared" ref="J687:M687" si="789">SUM(J683,J684,J685,J686)</f>
        <v>0</v>
      </c>
      <c r="K687" s="143">
        <f t="shared" si="789"/>
        <v>9</v>
      </c>
      <c r="L687" s="143">
        <f t="shared" si="789"/>
        <v>1</v>
      </c>
      <c r="M687" s="143">
        <f t="shared" si="789"/>
        <v>0</v>
      </c>
      <c r="N687" s="143">
        <f t="shared" si="740"/>
        <v>10</v>
      </c>
      <c r="O687" s="143">
        <f t="shared" ref="O687" si="790">SUM(O683,O684,O685,O686)</f>
        <v>110</v>
      </c>
      <c r="P687" s="143"/>
      <c r="Q687" s="177"/>
      <c r="R687" s="129"/>
      <c r="S687" s="172"/>
      <c r="T687" s="130"/>
      <c r="U687" s="143">
        <f t="shared" ref="U687:AJ687" si="791">SUM(U683:U686)</f>
        <v>200</v>
      </c>
      <c r="V687" s="143">
        <f>SUM(V683,V684,V685,V686)</f>
        <v>0</v>
      </c>
      <c r="W687" s="143">
        <f>SUM(W683,W684,W685,W686)</f>
        <v>0</v>
      </c>
      <c r="X687" s="143">
        <f>SUM(X683,X684,X685,X686)</f>
        <v>9</v>
      </c>
      <c r="Y687" s="143">
        <f t="shared" ref="Y687" si="792">SUM(Y683,Y684,Y685,Y686)</f>
        <v>1</v>
      </c>
      <c r="Z687" s="143">
        <f>SUM(Z683,Z684,Z685,Z686)</f>
        <v>0</v>
      </c>
      <c r="AA687" s="143">
        <f t="shared" si="730"/>
        <v>10</v>
      </c>
      <c r="AB687" s="143">
        <f t="shared" si="791"/>
        <v>190</v>
      </c>
      <c r="AC687" s="143">
        <f t="shared" si="791"/>
        <v>120</v>
      </c>
      <c r="AD687" s="143">
        <f>SUM(AD683,AD684,AD685,AD686)</f>
        <v>0</v>
      </c>
      <c r="AE687" s="143">
        <f>SUM(AE683,AE684,AE685,AE686)</f>
        <v>0</v>
      </c>
      <c r="AF687" s="143">
        <f>SUM(AF683,AF684,AF685,AF686)</f>
        <v>5</v>
      </c>
      <c r="AG687" s="143">
        <f>SUM(AG683,AG684,AG685,AG686)</f>
        <v>0</v>
      </c>
      <c r="AH687" s="143">
        <f>SUM(AH683,AH684,AH685,AH686)</f>
        <v>0</v>
      </c>
      <c r="AI687" s="143">
        <f t="shared" si="731"/>
        <v>5</v>
      </c>
      <c r="AJ687" s="143">
        <f t="shared" si="791"/>
        <v>115</v>
      </c>
      <c r="AK687" s="142"/>
      <c r="AL687" s="127"/>
      <c r="AM687" s="142"/>
      <c r="AN687" s="142"/>
      <c r="AO687" s="142"/>
      <c r="AP687" s="127"/>
      <c r="AQ687" s="143">
        <f>SUM(AQ683:AQ686)</f>
        <v>120</v>
      </c>
      <c r="AR687" s="143">
        <f>SUM(AR683:AR686)</f>
        <v>5</v>
      </c>
      <c r="AS687" s="143">
        <f>SUM(AS683:AS686)</f>
        <v>0</v>
      </c>
      <c r="AT687" s="143">
        <f>SUM(AT683:AT686)</f>
        <v>120</v>
      </c>
      <c r="AU687" s="129"/>
      <c r="AV687" s="142"/>
      <c r="AW687" s="127"/>
      <c r="AX687" s="127" t="s">
        <v>214</v>
      </c>
    </row>
    <row r="688" spans="1:50" s="95" customFormat="1" ht="56.25" x14ac:dyDescent="0.25">
      <c r="A688" s="299"/>
      <c r="B688" s="115" t="s">
        <v>224</v>
      </c>
      <c r="C688" s="116" t="s">
        <v>215</v>
      </c>
      <c r="D688" s="117" t="s">
        <v>208</v>
      </c>
      <c r="E688" s="117" t="s">
        <v>70</v>
      </c>
      <c r="F688" s="272" t="s">
        <v>49</v>
      </c>
      <c r="G688" s="119" t="s">
        <v>231</v>
      </c>
      <c r="H688" s="136">
        <v>70</v>
      </c>
      <c r="I688" s="197">
        <v>0</v>
      </c>
      <c r="J688" s="90">
        <v>0</v>
      </c>
      <c r="K688" s="91">
        <v>0</v>
      </c>
      <c r="L688" s="92">
        <v>0</v>
      </c>
      <c r="M688" s="81">
        <v>0</v>
      </c>
      <c r="N688" s="133">
        <f t="shared" si="740"/>
        <v>0</v>
      </c>
      <c r="O688" s="71">
        <v>70</v>
      </c>
      <c r="P688" s="71"/>
      <c r="Q688" s="136"/>
      <c r="R688" s="136" t="s">
        <v>51</v>
      </c>
      <c r="S688" s="120" t="s">
        <v>469</v>
      </c>
      <c r="T688" s="251" t="s">
        <v>73</v>
      </c>
      <c r="U688" s="136">
        <v>150</v>
      </c>
      <c r="V688" s="197">
        <v>0</v>
      </c>
      <c r="W688" s="90">
        <v>0</v>
      </c>
      <c r="X688" s="91">
        <v>0</v>
      </c>
      <c r="Y688" s="92">
        <v>0</v>
      </c>
      <c r="Z688" s="81">
        <v>0</v>
      </c>
      <c r="AA688" s="133">
        <f t="shared" si="730"/>
        <v>0</v>
      </c>
      <c r="AB688" s="71">
        <v>150</v>
      </c>
      <c r="AC688" s="136">
        <v>100</v>
      </c>
      <c r="AD688" s="197">
        <v>0</v>
      </c>
      <c r="AE688" s="90">
        <v>0</v>
      </c>
      <c r="AF688" s="91">
        <v>0</v>
      </c>
      <c r="AG688" s="92">
        <v>0</v>
      </c>
      <c r="AH688" s="81">
        <v>0</v>
      </c>
      <c r="AI688" s="133">
        <f t="shared" si="731"/>
        <v>0</v>
      </c>
      <c r="AJ688" s="71">
        <v>100</v>
      </c>
      <c r="AK688" s="136"/>
      <c r="AL688" s="136"/>
      <c r="AM688" s="72"/>
      <c r="AN688" s="136"/>
      <c r="AO688" s="72"/>
      <c r="AP688" s="119" t="s">
        <v>217</v>
      </c>
      <c r="AQ688" s="136">
        <v>100</v>
      </c>
      <c r="AR688" s="122">
        <v>0</v>
      </c>
      <c r="AS688" s="123">
        <v>0</v>
      </c>
      <c r="AT688" s="124">
        <v>100</v>
      </c>
      <c r="AU688" s="136"/>
      <c r="AV688" s="136"/>
      <c r="AW688" s="119"/>
      <c r="AX688" s="138" t="s">
        <v>214</v>
      </c>
    </row>
    <row r="689" spans="1:50" s="176" customFormat="1" ht="56.25" x14ac:dyDescent="0.25">
      <c r="A689" s="299"/>
      <c r="B689" s="115" t="s">
        <v>224</v>
      </c>
      <c r="C689" s="116" t="s">
        <v>215</v>
      </c>
      <c r="D689" s="117" t="s">
        <v>208</v>
      </c>
      <c r="E689" s="117" t="s">
        <v>70</v>
      </c>
      <c r="F689" s="272"/>
      <c r="G689" s="119" t="s">
        <v>227</v>
      </c>
      <c r="H689" s="119">
        <v>10</v>
      </c>
      <c r="I689" s="197">
        <v>0</v>
      </c>
      <c r="J689" s="90">
        <v>0</v>
      </c>
      <c r="K689" s="91">
        <v>0</v>
      </c>
      <c r="L689" s="92">
        <v>0</v>
      </c>
      <c r="M689" s="81">
        <v>0</v>
      </c>
      <c r="N689" s="133">
        <f t="shared" si="740"/>
        <v>0</v>
      </c>
      <c r="O689" s="71">
        <v>10</v>
      </c>
      <c r="P689" s="71"/>
      <c r="Q689" s="119"/>
      <c r="R689" s="119" t="s">
        <v>51</v>
      </c>
      <c r="S689" s="120" t="s">
        <v>469</v>
      </c>
      <c r="T689" s="251"/>
      <c r="U689" s="119">
        <v>10</v>
      </c>
      <c r="V689" s="197">
        <v>0</v>
      </c>
      <c r="W689" s="90">
        <v>0</v>
      </c>
      <c r="X689" s="91">
        <v>0</v>
      </c>
      <c r="Y689" s="92">
        <v>0</v>
      </c>
      <c r="Z689" s="81">
        <v>0</v>
      </c>
      <c r="AA689" s="133">
        <f t="shared" si="730"/>
        <v>0</v>
      </c>
      <c r="AB689" s="71">
        <v>10</v>
      </c>
      <c r="AC689" s="119">
        <v>2</v>
      </c>
      <c r="AD689" s="197">
        <v>0</v>
      </c>
      <c r="AE689" s="90">
        <v>0</v>
      </c>
      <c r="AF689" s="91">
        <v>0</v>
      </c>
      <c r="AG689" s="92">
        <v>0</v>
      </c>
      <c r="AH689" s="81">
        <v>0</v>
      </c>
      <c r="AI689" s="133">
        <f t="shared" si="731"/>
        <v>0</v>
      </c>
      <c r="AJ689" s="71">
        <v>1</v>
      </c>
      <c r="AK689" s="119"/>
      <c r="AL689" s="119"/>
      <c r="AM689" s="46"/>
      <c r="AN689" s="119"/>
      <c r="AO689" s="46"/>
      <c r="AP689" s="119"/>
      <c r="AQ689" s="119"/>
      <c r="AR689" s="122">
        <v>0</v>
      </c>
      <c r="AS689" s="123">
        <v>0</v>
      </c>
      <c r="AT689" s="124">
        <v>0</v>
      </c>
      <c r="AU689" s="119"/>
      <c r="AV689" s="119"/>
      <c r="AW689" s="119"/>
      <c r="AX689" s="138" t="s">
        <v>214</v>
      </c>
    </row>
    <row r="690" spans="1:50" s="95" customFormat="1" ht="56.25" x14ac:dyDescent="0.25">
      <c r="A690" s="299"/>
      <c r="B690" s="115" t="s">
        <v>224</v>
      </c>
      <c r="C690" s="116" t="s">
        <v>215</v>
      </c>
      <c r="D690" s="117" t="s">
        <v>208</v>
      </c>
      <c r="E690" s="117" t="s">
        <v>70</v>
      </c>
      <c r="F690" s="272"/>
      <c r="G690" s="119" t="s">
        <v>234</v>
      </c>
      <c r="H690" s="136">
        <v>70</v>
      </c>
      <c r="I690" s="197">
        <v>0</v>
      </c>
      <c r="J690" s="90">
        <v>0</v>
      </c>
      <c r="K690" s="91">
        <v>4</v>
      </c>
      <c r="L690" s="92">
        <v>1</v>
      </c>
      <c r="M690" s="81">
        <v>0</v>
      </c>
      <c r="N690" s="133">
        <f t="shared" si="740"/>
        <v>5</v>
      </c>
      <c r="O690" s="71">
        <v>65</v>
      </c>
      <c r="P690" s="71"/>
      <c r="Q690" s="136"/>
      <c r="R690" s="136" t="s">
        <v>51</v>
      </c>
      <c r="S690" s="120" t="s">
        <v>469</v>
      </c>
      <c r="T690" s="251"/>
      <c r="U690" s="136">
        <v>150</v>
      </c>
      <c r="V690" s="197">
        <v>0</v>
      </c>
      <c r="W690" s="90">
        <v>0</v>
      </c>
      <c r="X690" s="91">
        <v>4</v>
      </c>
      <c r="Y690" s="92">
        <v>1</v>
      </c>
      <c r="Z690" s="81">
        <v>0</v>
      </c>
      <c r="AA690" s="133">
        <f t="shared" si="730"/>
        <v>5</v>
      </c>
      <c r="AB690" s="71">
        <v>145</v>
      </c>
      <c r="AC690" s="136">
        <v>100</v>
      </c>
      <c r="AD690" s="197">
        <v>0</v>
      </c>
      <c r="AE690" s="90">
        <v>0</v>
      </c>
      <c r="AF690" s="91">
        <v>4</v>
      </c>
      <c r="AG690" s="92">
        <v>0</v>
      </c>
      <c r="AH690" s="81">
        <v>0</v>
      </c>
      <c r="AI690" s="133">
        <f t="shared" si="731"/>
        <v>4</v>
      </c>
      <c r="AJ690" s="71">
        <v>95</v>
      </c>
      <c r="AK690" s="136"/>
      <c r="AL690" s="136"/>
      <c r="AM690" s="72"/>
      <c r="AN690" s="136"/>
      <c r="AO690" s="72"/>
      <c r="AP690" s="119" t="s">
        <v>217</v>
      </c>
      <c r="AQ690" s="136">
        <v>100</v>
      </c>
      <c r="AR690" s="122">
        <v>0</v>
      </c>
      <c r="AS690" s="123">
        <v>0</v>
      </c>
      <c r="AT690" s="124">
        <v>100</v>
      </c>
      <c r="AU690" s="136"/>
      <c r="AV690" s="136"/>
      <c r="AW690" s="119"/>
      <c r="AX690" s="138" t="s">
        <v>214</v>
      </c>
    </row>
    <row r="691" spans="1:50" s="181" customFormat="1" ht="36" x14ac:dyDescent="0.25">
      <c r="A691" s="299"/>
      <c r="B691" s="115" t="s">
        <v>224</v>
      </c>
      <c r="C691" s="116" t="s">
        <v>215</v>
      </c>
      <c r="D691" s="117" t="s">
        <v>208</v>
      </c>
      <c r="E691" s="117" t="s">
        <v>70</v>
      </c>
      <c r="F691" s="142" t="s">
        <v>61</v>
      </c>
      <c r="G691" s="127"/>
      <c r="H691" s="143">
        <f>SUM(H688:H690)</f>
        <v>150</v>
      </c>
      <c r="I691" s="143">
        <f t="shared" ref="I691" si="793">SUM(I688:I690)</f>
        <v>0</v>
      </c>
      <c r="J691" s="143">
        <f t="shared" ref="J691:M691" si="794">SUM(J688:J690)</f>
        <v>0</v>
      </c>
      <c r="K691" s="143">
        <f t="shared" si="794"/>
        <v>4</v>
      </c>
      <c r="L691" s="143">
        <f t="shared" si="794"/>
        <v>1</v>
      </c>
      <c r="M691" s="143">
        <f t="shared" si="794"/>
        <v>0</v>
      </c>
      <c r="N691" s="143">
        <f t="shared" si="740"/>
        <v>5</v>
      </c>
      <c r="O691" s="143">
        <f t="shared" ref="O691" si="795">SUM(O688:O690)</f>
        <v>145</v>
      </c>
      <c r="P691" s="143"/>
      <c r="Q691" s="177"/>
      <c r="R691" s="129"/>
      <c r="S691" s="172"/>
      <c r="T691" s="130"/>
      <c r="U691" s="143">
        <f>SUM(U688:U690)</f>
        <v>310</v>
      </c>
      <c r="V691" s="143">
        <f t="shared" ref="V691" si="796">SUM(V688:V690)</f>
        <v>0</v>
      </c>
      <c r="W691" s="143">
        <f t="shared" ref="W691:Z691" si="797">SUM(W688:W690)</f>
        <v>0</v>
      </c>
      <c r="X691" s="143">
        <f t="shared" si="797"/>
        <v>4</v>
      </c>
      <c r="Y691" s="143">
        <f t="shared" si="797"/>
        <v>1</v>
      </c>
      <c r="Z691" s="143">
        <f t="shared" si="797"/>
        <v>0</v>
      </c>
      <c r="AA691" s="143">
        <f t="shared" si="730"/>
        <v>5</v>
      </c>
      <c r="AB691" s="143">
        <f t="shared" ref="AB691:AJ691" si="798">SUM(AB688:AB690)</f>
        <v>305</v>
      </c>
      <c r="AC691" s="143">
        <f t="shared" si="798"/>
        <v>202</v>
      </c>
      <c r="AD691" s="143">
        <f t="shared" si="798"/>
        <v>0</v>
      </c>
      <c r="AE691" s="143">
        <f t="shared" si="798"/>
        <v>0</v>
      </c>
      <c r="AF691" s="143">
        <f t="shared" si="798"/>
        <v>4</v>
      </c>
      <c r="AG691" s="143">
        <f t="shared" si="798"/>
        <v>0</v>
      </c>
      <c r="AH691" s="143">
        <f t="shared" si="798"/>
        <v>0</v>
      </c>
      <c r="AI691" s="143">
        <f t="shared" si="731"/>
        <v>4</v>
      </c>
      <c r="AJ691" s="143">
        <f t="shared" si="798"/>
        <v>196</v>
      </c>
      <c r="AK691" s="142"/>
      <c r="AL691" s="127"/>
      <c r="AM691" s="142"/>
      <c r="AN691" s="142"/>
      <c r="AO691" s="142"/>
      <c r="AP691" s="127"/>
      <c r="AQ691" s="143">
        <f>SUM(AQ688:AQ690)</f>
        <v>200</v>
      </c>
      <c r="AR691" s="143">
        <f>SUM(AR688:AR690)</f>
        <v>0</v>
      </c>
      <c r="AS691" s="143">
        <f>SUM(AS688:AS690)</f>
        <v>0</v>
      </c>
      <c r="AT691" s="143">
        <f>SUM(AT688:AT690)</f>
        <v>200</v>
      </c>
      <c r="AU691" s="180"/>
      <c r="AV691" s="142"/>
      <c r="AW691" s="127"/>
      <c r="AX691" s="127" t="s">
        <v>214</v>
      </c>
    </row>
    <row r="695" spans="1:50" ht="18.75" x14ac:dyDescent="0.25">
      <c r="S695" s="193"/>
      <c r="T695" t="s">
        <v>470</v>
      </c>
    </row>
    <row r="709" ht="15" customHeight="1" x14ac:dyDescent="0.25"/>
    <row r="710" ht="15" customHeight="1" x14ac:dyDescent="0.25"/>
  </sheetData>
  <mergeCells count="2653">
    <mergeCell ref="AA157:AA159"/>
    <mergeCell ref="AA160:AA162"/>
    <mergeCell ref="Y535:Y536"/>
    <mergeCell ref="Y563:Y564"/>
    <mergeCell ref="Y567:Y568"/>
    <mergeCell ref="Y569:Y570"/>
    <mergeCell ref="Y571:Y572"/>
    <mergeCell ref="Y573:Y574"/>
    <mergeCell ref="Y640:Y641"/>
    <mergeCell ref="Y642:Y644"/>
    <mergeCell ref="Y151:Y153"/>
    <mergeCell ref="Y154:Y156"/>
    <mergeCell ref="Y157:Y159"/>
    <mergeCell ref="Y160:Y162"/>
    <mergeCell ref="X151:X153"/>
    <mergeCell ref="X154:X156"/>
    <mergeCell ref="X157:X159"/>
    <mergeCell ref="X160:X162"/>
    <mergeCell ref="Z614:Z615"/>
    <mergeCell ref="AA614:AA615"/>
    <mergeCell ref="Y446:Y447"/>
    <mergeCell ref="Z446:Z447"/>
    <mergeCell ref="X435:X436"/>
    <mergeCell ref="X428:X429"/>
    <mergeCell ref="Y428:Y429"/>
    <mergeCell ref="Z428:Z429"/>
    <mergeCell ref="X321:X322"/>
    <mergeCell ref="Y321:Y322"/>
    <mergeCell ref="Z321:Z322"/>
    <mergeCell ref="AA321:AA322"/>
    <mergeCell ref="V157:V159"/>
    <mergeCell ref="V160:V162"/>
    <mergeCell ref="W151:W153"/>
    <mergeCell ref="W154:W156"/>
    <mergeCell ref="W157:W159"/>
    <mergeCell ref="W160:W162"/>
    <mergeCell ref="Z151:Z153"/>
    <mergeCell ref="Z154:Z156"/>
    <mergeCell ref="Z157:Z159"/>
    <mergeCell ref="Z160:Z162"/>
    <mergeCell ref="F688:F690"/>
    <mergeCell ref="T688:T690"/>
    <mergeCell ref="AV667:AV668"/>
    <mergeCell ref="AW667:AW668"/>
    <mergeCell ref="F670:F672"/>
    <mergeCell ref="F674:F675"/>
    <mergeCell ref="F677:F681"/>
    <mergeCell ref="F683:F686"/>
    <mergeCell ref="T683:T684"/>
    <mergeCell ref="T685:T686"/>
    <mergeCell ref="V667:V668"/>
    <mergeCell ref="W667:W668"/>
    <mergeCell ref="X667:X668"/>
    <mergeCell ref="Y667:Y668"/>
    <mergeCell ref="Z667:Z668"/>
    <mergeCell ref="AU667:AU668"/>
    <mergeCell ref="AW665:AW666"/>
    <mergeCell ref="H667:H668"/>
    <mergeCell ref="I667:I668"/>
    <mergeCell ref="J667:J668"/>
    <mergeCell ref="AA151:AA153"/>
    <mergeCell ref="AA154:AA156"/>
    <mergeCell ref="K667:K668"/>
    <mergeCell ref="L667:L668"/>
    <mergeCell ref="M667:M668"/>
    <mergeCell ref="N667:N668"/>
    <mergeCell ref="O667:O668"/>
    <mergeCell ref="Q667:Q668"/>
    <mergeCell ref="AU661:AU662"/>
    <mergeCell ref="AV661:AV662"/>
    <mergeCell ref="V661:V662"/>
    <mergeCell ref="W661:W662"/>
    <mergeCell ref="X661:X662"/>
    <mergeCell ref="Y661:Y662"/>
    <mergeCell ref="Z661:Z662"/>
    <mergeCell ref="AD661:AD662"/>
    <mergeCell ref="V665:V666"/>
    <mergeCell ref="W665:W666"/>
    <mergeCell ref="X665:X666"/>
    <mergeCell ref="Y665:Y666"/>
    <mergeCell ref="Z665:Z666"/>
    <mergeCell ref="AD665:AD666"/>
    <mergeCell ref="AH665:AH666"/>
    <mergeCell ref="AU665:AU666"/>
    <mergeCell ref="AV665:AV666"/>
    <mergeCell ref="Y663:Y664"/>
    <mergeCell ref="Z663:Z664"/>
    <mergeCell ref="AD663:AD664"/>
    <mergeCell ref="AG667:AG668"/>
    <mergeCell ref="AW663:AW664"/>
    <mergeCell ref="H665:H666"/>
    <mergeCell ref="I665:I666"/>
    <mergeCell ref="J665:J666"/>
    <mergeCell ref="K665:K666"/>
    <mergeCell ref="L665:L666"/>
    <mergeCell ref="M665:M666"/>
    <mergeCell ref="N665:N666"/>
    <mergeCell ref="O665:O666"/>
    <mergeCell ref="Q665:Q666"/>
    <mergeCell ref="AE663:AE664"/>
    <mergeCell ref="AF663:AF664"/>
    <mergeCell ref="AG663:AG664"/>
    <mergeCell ref="AH663:AH664"/>
    <mergeCell ref="AU663:AU664"/>
    <mergeCell ref="AV663:AV664"/>
    <mergeCell ref="V663:V664"/>
    <mergeCell ref="W663:W664"/>
    <mergeCell ref="AE665:AE666"/>
    <mergeCell ref="AF665:AF666"/>
    <mergeCell ref="AG665:AG666"/>
    <mergeCell ref="AW659:AW660"/>
    <mergeCell ref="H661:H662"/>
    <mergeCell ref="I661:I662"/>
    <mergeCell ref="J661:J662"/>
    <mergeCell ref="K661:K662"/>
    <mergeCell ref="L661:L662"/>
    <mergeCell ref="M661:M662"/>
    <mergeCell ref="N661:N662"/>
    <mergeCell ref="O661:O662"/>
    <mergeCell ref="Q661:Q662"/>
    <mergeCell ref="AE659:AE660"/>
    <mergeCell ref="AF659:AF660"/>
    <mergeCell ref="AG659:AG660"/>
    <mergeCell ref="AH659:AH660"/>
    <mergeCell ref="AU659:AU660"/>
    <mergeCell ref="AV659:AV660"/>
    <mergeCell ref="V659:V660"/>
    <mergeCell ref="W659:W660"/>
    <mergeCell ref="X659:X660"/>
    <mergeCell ref="Y659:Y660"/>
    <mergeCell ref="Z659:Z660"/>
    <mergeCell ref="AD659:AD660"/>
    <mergeCell ref="L659:L660"/>
    <mergeCell ref="M659:M660"/>
    <mergeCell ref="N659:N660"/>
    <mergeCell ref="O659:O660"/>
    <mergeCell ref="Q659:Q660"/>
    <mergeCell ref="T659:T668"/>
    <mergeCell ref="AW661:AW662"/>
    <mergeCell ref="H663:H664"/>
    <mergeCell ref="I663:I664"/>
    <mergeCell ref="J663:J664"/>
    <mergeCell ref="F646:F648"/>
    <mergeCell ref="F650:F651"/>
    <mergeCell ref="F653:F654"/>
    <mergeCell ref="F656:F657"/>
    <mergeCell ref="F659:F668"/>
    <mergeCell ref="H659:H660"/>
    <mergeCell ref="I659:I660"/>
    <mergeCell ref="J659:J660"/>
    <mergeCell ref="K659:K660"/>
    <mergeCell ref="AF643:AF644"/>
    <mergeCell ref="AG643:AG644"/>
    <mergeCell ref="AH643:AH644"/>
    <mergeCell ref="AI643:AI644"/>
    <mergeCell ref="AJ643:AJ644"/>
    <mergeCell ref="AL643:AL644"/>
    <mergeCell ref="Z643:Z644"/>
    <mergeCell ref="AA643:AA644"/>
    <mergeCell ref="AB643:AB644"/>
    <mergeCell ref="AC643:AC644"/>
    <mergeCell ref="AD643:AD644"/>
    <mergeCell ref="AE643:AE644"/>
    <mergeCell ref="K663:K664"/>
    <mergeCell ref="L663:L664"/>
    <mergeCell ref="M663:M664"/>
    <mergeCell ref="N663:N664"/>
    <mergeCell ref="O663:O664"/>
    <mergeCell ref="Q663:Q664"/>
    <mergeCell ref="AE661:AE662"/>
    <mergeCell ref="AF661:AF662"/>
    <mergeCell ref="AG661:AG662"/>
    <mergeCell ref="AH661:AH662"/>
    <mergeCell ref="X663:X664"/>
    <mergeCell ref="AU642:AU644"/>
    <mergeCell ref="AV642:AV644"/>
    <mergeCell ref="AW642:AW644"/>
    <mergeCell ref="R643:R644"/>
    <mergeCell ref="S643:S644"/>
    <mergeCell ref="U643:U644"/>
    <mergeCell ref="V643:V644"/>
    <mergeCell ref="W643:W644"/>
    <mergeCell ref="X643:X644"/>
    <mergeCell ref="AU640:AU641"/>
    <mergeCell ref="AV640:AV641"/>
    <mergeCell ref="AW640:AW641"/>
    <mergeCell ref="H642:H644"/>
    <mergeCell ref="I642:I644"/>
    <mergeCell ref="J642:J644"/>
    <mergeCell ref="K642:K644"/>
    <mergeCell ref="L642:L644"/>
    <mergeCell ref="M642:M644"/>
    <mergeCell ref="N642:N644"/>
    <mergeCell ref="N640:N641"/>
    <mergeCell ref="O640:O641"/>
    <mergeCell ref="Q640:Q641"/>
    <mergeCell ref="T640:T644"/>
    <mergeCell ref="AK640:AK641"/>
    <mergeCell ref="AN640:AN641"/>
    <mergeCell ref="O642:O644"/>
    <mergeCell ref="Q642:Q644"/>
    <mergeCell ref="AK642:AK644"/>
    <mergeCell ref="AN642:AN644"/>
    <mergeCell ref="AM643:AM644"/>
    <mergeCell ref="F633:F634"/>
    <mergeCell ref="F636:F638"/>
    <mergeCell ref="T636:T638"/>
    <mergeCell ref="F640:F644"/>
    <mergeCell ref="H640:H641"/>
    <mergeCell ref="I640:I641"/>
    <mergeCell ref="J640:J641"/>
    <mergeCell ref="K640:K641"/>
    <mergeCell ref="L640:L641"/>
    <mergeCell ref="M640:M641"/>
    <mergeCell ref="AV618:AV619"/>
    <mergeCell ref="F622:F628"/>
    <mergeCell ref="T622:T623"/>
    <mergeCell ref="T624:T625"/>
    <mergeCell ref="T626:T628"/>
    <mergeCell ref="F630:F631"/>
    <mergeCell ref="T630:T631"/>
    <mergeCell ref="AN618:AN619"/>
    <mergeCell ref="AQ618:AQ619"/>
    <mergeCell ref="AR618:AR619"/>
    <mergeCell ref="AS618:AS619"/>
    <mergeCell ref="AT618:AT619"/>
    <mergeCell ref="AU618:AU619"/>
    <mergeCell ref="AH618:AH619"/>
    <mergeCell ref="AI618:AI619"/>
    <mergeCell ref="AJ618:AJ619"/>
    <mergeCell ref="AK618:AK619"/>
    <mergeCell ref="AL618:AL619"/>
    <mergeCell ref="AM618:AM619"/>
    <mergeCell ref="AB618:AB619"/>
    <mergeCell ref="AC618:AC619"/>
    <mergeCell ref="AD618:AD619"/>
    <mergeCell ref="AV616:AV617"/>
    <mergeCell ref="H618:H619"/>
    <mergeCell ref="I618:I619"/>
    <mergeCell ref="J618:J619"/>
    <mergeCell ref="K618:K619"/>
    <mergeCell ref="L618:L619"/>
    <mergeCell ref="M618:M619"/>
    <mergeCell ref="N618:N619"/>
    <mergeCell ref="O618:O619"/>
    <mergeCell ref="Q618:Q619"/>
    <mergeCell ref="AN616:AN617"/>
    <mergeCell ref="AQ616:AQ617"/>
    <mergeCell ref="AR616:AR617"/>
    <mergeCell ref="AS616:AS617"/>
    <mergeCell ref="AT616:AT617"/>
    <mergeCell ref="AU616:AU617"/>
    <mergeCell ref="AH616:AH617"/>
    <mergeCell ref="AI616:AI617"/>
    <mergeCell ref="AJ616:AJ617"/>
    <mergeCell ref="AK616:AK617"/>
    <mergeCell ref="AL616:AL617"/>
    <mergeCell ref="AM616:AM617"/>
    <mergeCell ref="AB616:AB617"/>
    <mergeCell ref="AV614:AV615"/>
    <mergeCell ref="H616:H617"/>
    <mergeCell ref="I616:I617"/>
    <mergeCell ref="J616:J617"/>
    <mergeCell ref="K616:K617"/>
    <mergeCell ref="L616:L617"/>
    <mergeCell ref="M616:M617"/>
    <mergeCell ref="N616:N617"/>
    <mergeCell ref="O616:O617"/>
    <mergeCell ref="Q616:Q617"/>
    <mergeCell ref="AN614:AN615"/>
    <mergeCell ref="AQ614:AQ615"/>
    <mergeCell ref="AR614:AR615"/>
    <mergeCell ref="AS614:AS615"/>
    <mergeCell ref="AT614:AT615"/>
    <mergeCell ref="AU614:AU615"/>
    <mergeCell ref="AH614:AH615"/>
    <mergeCell ref="AI614:AI615"/>
    <mergeCell ref="AJ614:AJ615"/>
    <mergeCell ref="AK614:AK615"/>
    <mergeCell ref="AL614:AL615"/>
    <mergeCell ref="AM614:AM615"/>
    <mergeCell ref="AB614:AB615"/>
    <mergeCell ref="AC614:AC615"/>
    <mergeCell ref="AD614:AD615"/>
    <mergeCell ref="AE614:AE615"/>
    <mergeCell ref="AF614:AF615"/>
    <mergeCell ref="AG614:AG615"/>
    <mergeCell ref="V614:V615"/>
    <mergeCell ref="W614:W615"/>
    <mergeCell ref="X614:X615"/>
    <mergeCell ref="Y614:Y615"/>
    <mergeCell ref="M614:M615"/>
    <mergeCell ref="N614:N615"/>
    <mergeCell ref="O614:O615"/>
    <mergeCell ref="Q614:Q615"/>
    <mergeCell ref="T614:T619"/>
    <mergeCell ref="U614:U615"/>
    <mergeCell ref="U616:U617"/>
    <mergeCell ref="U618:U619"/>
    <mergeCell ref="AC616:AC617"/>
    <mergeCell ref="AD616:AD617"/>
    <mergeCell ref="AE616:AE617"/>
    <mergeCell ref="AF616:AF617"/>
    <mergeCell ref="AG616:AG617"/>
    <mergeCell ref="V616:V617"/>
    <mergeCell ref="W616:W617"/>
    <mergeCell ref="X616:X617"/>
    <mergeCell ref="Y616:Y617"/>
    <mergeCell ref="Z616:Z617"/>
    <mergeCell ref="AA616:AA617"/>
    <mergeCell ref="AE618:AE619"/>
    <mergeCell ref="AF618:AF619"/>
    <mergeCell ref="AG618:AG619"/>
    <mergeCell ref="V618:V619"/>
    <mergeCell ref="W618:W619"/>
    <mergeCell ref="X618:X619"/>
    <mergeCell ref="Y618:Y619"/>
    <mergeCell ref="Z618:Z619"/>
    <mergeCell ref="AA618:AA619"/>
    <mergeCell ref="F614:F620"/>
    <mergeCell ref="H614:H615"/>
    <mergeCell ref="I614:I615"/>
    <mergeCell ref="J614:J615"/>
    <mergeCell ref="K614:K615"/>
    <mergeCell ref="L614:L615"/>
    <mergeCell ref="AR608:AR609"/>
    <mergeCell ref="AS608:AS609"/>
    <mergeCell ref="AT608:AT609"/>
    <mergeCell ref="AU608:AU609"/>
    <mergeCell ref="AV608:AV609"/>
    <mergeCell ref="Q610:Q611"/>
    <mergeCell ref="AJ608:AJ609"/>
    <mergeCell ref="AK608:AK609"/>
    <mergeCell ref="AL608:AL609"/>
    <mergeCell ref="AM608:AM609"/>
    <mergeCell ref="AN608:AN609"/>
    <mergeCell ref="AQ608:AQ609"/>
    <mergeCell ref="AD608:AD609"/>
    <mergeCell ref="AE608:AE609"/>
    <mergeCell ref="AF608:AF609"/>
    <mergeCell ref="AG608:AG609"/>
    <mergeCell ref="AH608:AH609"/>
    <mergeCell ref="AI608:AI609"/>
    <mergeCell ref="X608:X609"/>
    <mergeCell ref="Y608:Y609"/>
    <mergeCell ref="Z608:Z609"/>
    <mergeCell ref="AA608:AA609"/>
    <mergeCell ref="AB608:AB609"/>
    <mergeCell ref="AC608:AC609"/>
    <mergeCell ref="M608:M609"/>
    <mergeCell ref="N608:N609"/>
    <mergeCell ref="O608:O609"/>
    <mergeCell ref="Q608:Q609"/>
    <mergeCell ref="U608:U609"/>
    <mergeCell ref="V608:V609"/>
    <mergeCell ref="AR606:AR607"/>
    <mergeCell ref="AS606:AS607"/>
    <mergeCell ref="AT606:AT607"/>
    <mergeCell ref="AU606:AU607"/>
    <mergeCell ref="AV606:AV607"/>
    <mergeCell ref="H608:H609"/>
    <mergeCell ref="I608:I609"/>
    <mergeCell ref="J608:J609"/>
    <mergeCell ref="K608:K609"/>
    <mergeCell ref="L608:L609"/>
    <mergeCell ref="AJ606:AJ607"/>
    <mergeCell ref="AK606:AK607"/>
    <mergeCell ref="AL606:AL607"/>
    <mergeCell ref="AM606:AM607"/>
    <mergeCell ref="AN606:AN607"/>
    <mergeCell ref="AQ606:AQ607"/>
    <mergeCell ref="AD606:AD607"/>
    <mergeCell ref="AE606:AE607"/>
    <mergeCell ref="AF606:AF607"/>
    <mergeCell ref="AG606:AG607"/>
    <mergeCell ref="AH606:AH607"/>
    <mergeCell ref="AI606:AI607"/>
    <mergeCell ref="X606:X607"/>
    <mergeCell ref="Y606:Y607"/>
    <mergeCell ref="Z606:Z607"/>
    <mergeCell ref="AA606:AA607"/>
    <mergeCell ref="AB606:AB607"/>
    <mergeCell ref="AC606:AC607"/>
    <mergeCell ref="O606:O607"/>
    <mergeCell ref="Q606:Q607"/>
    <mergeCell ref="T606:T610"/>
    <mergeCell ref="U606:U607"/>
    <mergeCell ref="V606:V607"/>
    <mergeCell ref="W606:W607"/>
    <mergeCell ref="W608:W609"/>
    <mergeCell ref="AV600:AV601"/>
    <mergeCell ref="Q602:Q603"/>
    <mergeCell ref="F606:F612"/>
    <mergeCell ref="H606:H607"/>
    <mergeCell ref="I606:I607"/>
    <mergeCell ref="J606:J607"/>
    <mergeCell ref="K606:K607"/>
    <mergeCell ref="L606:L607"/>
    <mergeCell ref="M606:M607"/>
    <mergeCell ref="N606:N607"/>
    <mergeCell ref="AN600:AN601"/>
    <mergeCell ref="AQ600:AQ601"/>
    <mergeCell ref="AR600:AR601"/>
    <mergeCell ref="AS600:AS601"/>
    <mergeCell ref="AT600:AT601"/>
    <mergeCell ref="AU600:AU601"/>
    <mergeCell ref="AH600:AH601"/>
    <mergeCell ref="AI600:AI601"/>
    <mergeCell ref="AJ600:AJ601"/>
    <mergeCell ref="AK600:AK601"/>
    <mergeCell ref="AL600:AL601"/>
    <mergeCell ref="AM600:AM601"/>
    <mergeCell ref="AB600:AB601"/>
    <mergeCell ref="AC600:AC601"/>
    <mergeCell ref="AD600:AD601"/>
    <mergeCell ref="AV598:AV599"/>
    <mergeCell ref="H600:H601"/>
    <mergeCell ref="I600:I601"/>
    <mergeCell ref="J600:J601"/>
    <mergeCell ref="K600:K601"/>
    <mergeCell ref="L600:L601"/>
    <mergeCell ref="M600:M601"/>
    <mergeCell ref="N600:N601"/>
    <mergeCell ref="O600:O601"/>
    <mergeCell ref="Q600:Q601"/>
    <mergeCell ref="AN598:AN599"/>
    <mergeCell ref="AQ598:AQ599"/>
    <mergeCell ref="AR598:AR599"/>
    <mergeCell ref="AS598:AS599"/>
    <mergeCell ref="AT598:AT599"/>
    <mergeCell ref="AU598:AU599"/>
    <mergeCell ref="AH598:AH599"/>
    <mergeCell ref="AI598:AI599"/>
    <mergeCell ref="AJ598:AJ599"/>
    <mergeCell ref="AK598:AK599"/>
    <mergeCell ref="AL598:AL599"/>
    <mergeCell ref="AM598:AM599"/>
    <mergeCell ref="AB598:AB599"/>
    <mergeCell ref="AV573:AV574"/>
    <mergeCell ref="AW573:AW574"/>
    <mergeCell ref="F576:F585"/>
    <mergeCell ref="T576:T579"/>
    <mergeCell ref="T580:T581"/>
    <mergeCell ref="T583:T585"/>
    <mergeCell ref="N573:N574"/>
    <mergeCell ref="O573:O574"/>
    <mergeCell ref="Q573:Q574"/>
    <mergeCell ref="AK573:AK574"/>
    <mergeCell ref="AL573:AL574"/>
    <mergeCell ref="AM573:AM574"/>
    <mergeCell ref="AC598:AC599"/>
    <mergeCell ref="AD598:AD599"/>
    <mergeCell ref="AE598:AE599"/>
    <mergeCell ref="AF598:AF599"/>
    <mergeCell ref="AG598:AG599"/>
    <mergeCell ref="V598:V599"/>
    <mergeCell ref="W598:W599"/>
    <mergeCell ref="X598:X599"/>
    <mergeCell ref="Y598:Y599"/>
    <mergeCell ref="Z598:Z599"/>
    <mergeCell ref="AA598:AA599"/>
    <mergeCell ref="M598:M599"/>
    <mergeCell ref="N598:N599"/>
    <mergeCell ref="O598:O599"/>
    <mergeCell ref="Q598:Q599"/>
    <mergeCell ref="T598:T602"/>
    <mergeCell ref="U598:U599"/>
    <mergeCell ref="U600:U601"/>
    <mergeCell ref="AE600:AE601"/>
    <mergeCell ref="AF600:AF601"/>
    <mergeCell ref="AK569:AK570"/>
    <mergeCell ref="AL569:AL570"/>
    <mergeCell ref="AM569:AM570"/>
    <mergeCell ref="F587:F596"/>
    <mergeCell ref="T587:T590"/>
    <mergeCell ref="T591:T592"/>
    <mergeCell ref="T594:T596"/>
    <mergeCell ref="F598:F604"/>
    <mergeCell ref="H598:H599"/>
    <mergeCell ref="I598:I599"/>
    <mergeCell ref="J598:J599"/>
    <mergeCell ref="K598:K599"/>
    <mergeCell ref="L598:L599"/>
    <mergeCell ref="AN573:AN574"/>
    <mergeCell ref="AU573:AU574"/>
    <mergeCell ref="AG600:AG601"/>
    <mergeCell ref="V600:V601"/>
    <mergeCell ref="W600:W601"/>
    <mergeCell ref="X600:X601"/>
    <mergeCell ref="Y600:Y601"/>
    <mergeCell ref="Z600:Z601"/>
    <mergeCell ref="AA600:AA601"/>
    <mergeCell ref="K567:K568"/>
    <mergeCell ref="L567:L568"/>
    <mergeCell ref="M567:M568"/>
    <mergeCell ref="AN571:AN572"/>
    <mergeCell ref="AU571:AU572"/>
    <mergeCell ref="AV571:AV572"/>
    <mergeCell ref="AW571:AW572"/>
    <mergeCell ref="H573:H574"/>
    <mergeCell ref="I573:I574"/>
    <mergeCell ref="J573:J574"/>
    <mergeCell ref="K573:K574"/>
    <mergeCell ref="L573:L574"/>
    <mergeCell ref="M573:M574"/>
    <mergeCell ref="N571:N572"/>
    <mergeCell ref="O571:O572"/>
    <mergeCell ref="Q571:Q572"/>
    <mergeCell ref="AK571:AK572"/>
    <mergeCell ref="AL571:AL572"/>
    <mergeCell ref="AM571:AM572"/>
    <mergeCell ref="AN569:AN570"/>
    <mergeCell ref="AU569:AU570"/>
    <mergeCell ref="AV569:AV570"/>
    <mergeCell ref="AW569:AW570"/>
    <mergeCell ref="H571:H572"/>
    <mergeCell ref="I571:I572"/>
    <mergeCell ref="J571:J572"/>
    <mergeCell ref="K571:K572"/>
    <mergeCell ref="L571:L572"/>
    <mergeCell ref="M571:M572"/>
    <mergeCell ref="N569:N570"/>
    <mergeCell ref="O569:O570"/>
    <mergeCell ref="Q569:Q570"/>
    <mergeCell ref="AN563:AN564"/>
    <mergeCell ref="AU563:AU564"/>
    <mergeCell ref="AV563:AV564"/>
    <mergeCell ref="AW563:AW564"/>
    <mergeCell ref="M563:M564"/>
    <mergeCell ref="N563:N564"/>
    <mergeCell ref="O563:O564"/>
    <mergeCell ref="Q563:Q564"/>
    <mergeCell ref="T563:T574"/>
    <mergeCell ref="AK563:AK564"/>
    <mergeCell ref="N567:N568"/>
    <mergeCell ref="O567:O568"/>
    <mergeCell ref="Q567:Q568"/>
    <mergeCell ref="AK567:AK568"/>
    <mergeCell ref="F555:F557"/>
    <mergeCell ref="F559:F561"/>
    <mergeCell ref="T559:T561"/>
    <mergeCell ref="H569:H570"/>
    <mergeCell ref="I569:I570"/>
    <mergeCell ref="J569:J570"/>
    <mergeCell ref="K569:K570"/>
    <mergeCell ref="L569:L570"/>
    <mergeCell ref="M569:M570"/>
    <mergeCell ref="AL567:AL568"/>
    <mergeCell ref="AM567:AM568"/>
    <mergeCell ref="AN567:AN568"/>
    <mergeCell ref="AU567:AU568"/>
    <mergeCell ref="AV567:AV568"/>
    <mergeCell ref="AW567:AW568"/>
    <mergeCell ref="H567:H568"/>
    <mergeCell ref="I567:I568"/>
    <mergeCell ref="J567:J568"/>
    <mergeCell ref="A563:A621"/>
    <mergeCell ref="F563:F574"/>
    <mergeCell ref="H563:H564"/>
    <mergeCell ref="I563:I564"/>
    <mergeCell ref="J563:J564"/>
    <mergeCell ref="K563:K564"/>
    <mergeCell ref="L563:L564"/>
    <mergeCell ref="AJ545:AJ546"/>
    <mergeCell ref="AL545:AL546"/>
    <mergeCell ref="AM545:AM546"/>
    <mergeCell ref="AN545:AN546"/>
    <mergeCell ref="F552:F553"/>
    <mergeCell ref="S552:S553"/>
    <mergeCell ref="T552:T553"/>
    <mergeCell ref="AD545:AD546"/>
    <mergeCell ref="AE545:AE546"/>
    <mergeCell ref="AF545:AF546"/>
    <mergeCell ref="AH545:AH546"/>
    <mergeCell ref="AI545:AI546"/>
    <mergeCell ref="X545:X546"/>
    <mergeCell ref="Z545:Z546"/>
    <mergeCell ref="AA545:AA546"/>
    <mergeCell ref="AB545:AB546"/>
    <mergeCell ref="AC545:AC546"/>
    <mergeCell ref="N545:N546"/>
    <mergeCell ref="O545:O546"/>
    <mergeCell ref="P545:P546"/>
    <mergeCell ref="U545:U546"/>
    <mergeCell ref="V545:V546"/>
    <mergeCell ref="W545:W546"/>
    <mergeCell ref="AL563:AL564"/>
    <mergeCell ref="AM563:AM564"/>
    <mergeCell ref="AN543:AN544"/>
    <mergeCell ref="H545:H546"/>
    <mergeCell ref="I545:I546"/>
    <mergeCell ref="J545:J546"/>
    <mergeCell ref="K545:K546"/>
    <mergeCell ref="M545:M546"/>
    <mergeCell ref="AD543:AD544"/>
    <mergeCell ref="AE543:AE544"/>
    <mergeCell ref="AF543:AF544"/>
    <mergeCell ref="AH543:AH544"/>
    <mergeCell ref="AI543:AI544"/>
    <mergeCell ref="X543:X544"/>
    <mergeCell ref="Z543:Z544"/>
    <mergeCell ref="AA543:AA544"/>
    <mergeCell ref="AB543:AB544"/>
    <mergeCell ref="AC543:AC544"/>
    <mergeCell ref="N543:N544"/>
    <mergeCell ref="O543:O544"/>
    <mergeCell ref="P543:P544"/>
    <mergeCell ref="U543:U544"/>
    <mergeCell ref="V543:V544"/>
    <mergeCell ref="W543:W544"/>
    <mergeCell ref="H543:H544"/>
    <mergeCell ref="I543:I544"/>
    <mergeCell ref="J543:J544"/>
    <mergeCell ref="K543:K544"/>
    <mergeCell ref="M543:M544"/>
    <mergeCell ref="AF541:AF542"/>
    <mergeCell ref="AH541:AH542"/>
    <mergeCell ref="AI541:AI542"/>
    <mergeCell ref="X541:X542"/>
    <mergeCell ref="Z541:Z542"/>
    <mergeCell ref="AA541:AA542"/>
    <mergeCell ref="AB541:AB542"/>
    <mergeCell ref="AC541:AC542"/>
    <mergeCell ref="N541:N542"/>
    <mergeCell ref="O541:O542"/>
    <mergeCell ref="P541:P542"/>
    <mergeCell ref="U541:U542"/>
    <mergeCell ref="V541:V542"/>
    <mergeCell ref="W541:W542"/>
    <mergeCell ref="AJ543:AJ544"/>
    <mergeCell ref="AL543:AL544"/>
    <mergeCell ref="AM543:AM544"/>
    <mergeCell ref="AL539:AL540"/>
    <mergeCell ref="AM539:AM540"/>
    <mergeCell ref="AN539:AN540"/>
    <mergeCell ref="H541:H542"/>
    <mergeCell ref="I541:I542"/>
    <mergeCell ref="J541:J542"/>
    <mergeCell ref="K541:K542"/>
    <mergeCell ref="M541:M542"/>
    <mergeCell ref="AD539:AD540"/>
    <mergeCell ref="AE539:AE540"/>
    <mergeCell ref="AF539:AF540"/>
    <mergeCell ref="AH539:AH540"/>
    <mergeCell ref="AI539:AI540"/>
    <mergeCell ref="X539:X540"/>
    <mergeCell ref="Z539:Z540"/>
    <mergeCell ref="AA539:AA540"/>
    <mergeCell ref="AB539:AB540"/>
    <mergeCell ref="AC539:AC540"/>
    <mergeCell ref="N539:N540"/>
    <mergeCell ref="O539:O540"/>
    <mergeCell ref="P539:P540"/>
    <mergeCell ref="U539:U540"/>
    <mergeCell ref="V539:V540"/>
    <mergeCell ref="W539:W540"/>
    <mergeCell ref="AJ541:AJ542"/>
    <mergeCell ref="AL541:AL542"/>
    <mergeCell ref="AM541:AM542"/>
    <mergeCell ref="AN541:AN542"/>
    <mergeCell ref="H539:H540"/>
    <mergeCell ref="I539:I540"/>
    <mergeCell ref="AD541:AD542"/>
    <mergeCell ref="AE541:AE542"/>
    <mergeCell ref="AD537:AD538"/>
    <mergeCell ref="AE537:AE538"/>
    <mergeCell ref="AF537:AF538"/>
    <mergeCell ref="AH537:AH538"/>
    <mergeCell ref="AI537:AI538"/>
    <mergeCell ref="X537:X538"/>
    <mergeCell ref="Z537:Z538"/>
    <mergeCell ref="AA537:AA538"/>
    <mergeCell ref="AB537:AB538"/>
    <mergeCell ref="AC537:AC538"/>
    <mergeCell ref="N537:N538"/>
    <mergeCell ref="O537:O538"/>
    <mergeCell ref="P537:P538"/>
    <mergeCell ref="U537:U538"/>
    <mergeCell ref="V537:V538"/>
    <mergeCell ref="W537:W538"/>
    <mergeCell ref="AJ539:AJ540"/>
    <mergeCell ref="AJ535:AJ536"/>
    <mergeCell ref="AL535:AL536"/>
    <mergeCell ref="AM535:AM536"/>
    <mergeCell ref="AN535:AN536"/>
    <mergeCell ref="H537:H538"/>
    <mergeCell ref="I537:I538"/>
    <mergeCell ref="J537:J538"/>
    <mergeCell ref="K537:K538"/>
    <mergeCell ref="M537:M538"/>
    <mergeCell ref="AD535:AD536"/>
    <mergeCell ref="AE535:AE536"/>
    <mergeCell ref="AF535:AF536"/>
    <mergeCell ref="AH535:AH536"/>
    <mergeCell ref="AI535:AI536"/>
    <mergeCell ref="X535:X536"/>
    <mergeCell ref="Z535:Z536"/>
    <mergeCell ref="AA535:AA536"/>
    <mergeCell ref="AB535:AB536"/>
    <mergeCell ref="AC535:AC536"/>
    <mergeCell ref="O535:O536"/>
    <mergeCell ref="P535:P536"/>
    <mergeCell ref="T535:T546"/>
    <mergeCell ref="U535:U536"/>
    <mergeCell ref="V535:V536"/>
    <mergeCell ref="W535:W536"/>
    <mergeCell ref="AJ537:AJ538"/>
    <mergeCell ref="AL537:AL538"/>
    <mergeCell ref="AM537:AM538"/>
    <mergeCell ref="AN537:AN538"/>
    <mergeCell ref="J539:J540"/>
    <mergeCell ref="K539:K540"/>
    <mergeCell ref="M539:M540"/>
    <mergeCell ref="F532:F533"/>
    <mergeCell ref="T532:T533"/>
    <mergeCell ref="F535:F546"/>
    <mergeCell ref="H535:H536"/>
    <mergeCell ref="I535:I536"/>
    <mergeCell ref="J535:J536"/>
    <mergeCell ref="K535:K536"/>
    <mergeCell ref="L535:L536"/>
    <mergeCell ref="M535:M536"/>
    <mergeCell ref="N535:N536"/>
    <mergeCell ref="F502:F505"/>
    <mergeCell ref="F509:F515"/>
    <mergeCell ref="F521:F523"/>
    <mergeCell ref="F525:F527"/>
    <mergeCell ref="F529:F530"/>
    <mergeCell ref="T529:T530"/>
    <mergeCell ref="AL496:AL497"/>
    <mergeCell ref="N496:N497"/>
    <mergeCell ref="O496:O497"/>
    <mergeCell ref="Q496:Q497"/>
    <mergeCell ref="R496:R497"/>
    <mergeCell ref="S496:S497"/>
    <mergeCell ref="U496:U497"/>
    <mergeCell ref="H496:H497"/>
    <mergeCell ref="I496:I497"/>
    <mergeCell ref="J496:J497"/>
    <mergeCell ref="K496:K497"/>
    <mergeCell ref="L496:L497"/>
    <mergeCell ref="M496:M497"/>
    <mergeCell ref="T494:T500"/>
    <mergeCell ref="U494:U495"/>
    <mergeCell ref="V494:V495"/>
    <mergeCell ref="AC494:AC495"/>
    <mergeCell ref="AD494:AD495"/>
    <mergeCell ref="AE494:AE495"/>
    <mergeCell ref="AM496:AM497"/>
    <mergeCell ref="AN496:AN497"/>
    <mergeCell ref="AU496:AU497"/>
    <mergeCell ref="AV496:AV497"/>
    <mergeCell ref="AW496:AW497"/>
    <mergeCell ref="AF496:AF497"/>
    <mergeCell ref="AG496:AG497"/>
    <mergeCell ref="AH496:AH497"/>
    <mergeCell ref="AI496:AI497"/>
    <mergeCell ref="AJ496:AJ497"/>
    <mergeCell ref="AK496:AK497"/>
    <mergeCell ref="Z496:Z497"/>
    <mergeCell ref="AA496:AA497"/>
    <mergeCell ref="AB496:AB497"/>
    <mergeCell ref="AC496:AC497"/>
    <mergeCell ref="AD496:AD497"/>
    <mergeCell ref="AE496:AE497"/>
    <mergeCell ref="W494:W495"/>
    <mergeCell ref="X494:X495"/>
    <mergeCell ref="Y494:Y495"/>
    <mergeCell ref="V496:V497"/>
    <mergeCell ref="W496:W497"/>
    <mergeCell ref="X496:X497"/>
    <mergeCell ref="Y496:Y497"/>
    <mergeCell ref="M494:M495"/>
    <mergeCell ref="N494:N495"/>
    <mergeCell ref="O494:O495"/>
    <mergeCell ref="Q494:Q495"/>
    <mergeCell ref="R494:R495"/>
    <mergeCell ref="S494:S495"/>
    <mergeCell ref="AN488:AN489"/>
    <mergeCell ref="AU488:AU489"/>
    <mergeCell ref="AV488:AV489"/>
    <mergeCell ref="AW488:AW489"/>
    <mergeCell ref="AL494:AL495"/>
    <mergeCell ref="AM494:AM495"/>
    <mergeCell ref="AN494:AN495"/>
    <mergeCell ref="AU494:AU495"/>
    <mergeCell ref="AV494:AV495"/>
    <mergeCell ref="AW494:AW495"/>
    <mergeCell ref="AF494:AF495"/>
    <mergeCell ref="AG494:AG495"/>
    <mergeCell ref="AH494:AH495"/>
    <mergeCell ref="AI494:AI495"/>
    <mergeCell ref="AJ494:AJ495"/>
    <mergeCell ref="AK494:AK495"/>
    <mergeCell ref="Z494:Z495"/>
    <mergeCell ref="AA494:AA495"/>
    <mergeCell ref="AB494:AB495"/>
    <mergeCell ref="F494:F500"/>
    <mergeCell ref="H494:H495"/>
    <mergeCell ref="I494:I495"/>
    <mergeCell ref="J494:J495"/>
    <mergeCell ref="K494:K495"/>
    <mergeCell ref="L494:L495"/>
    <mergeCell ref="AH488:AH489"/>
    <mergeCell ref="AI488:AI489"/>
    <mergeCell ref="AJ488:AJ489"/>
    <mergeCell ref="AK488:AK489"/>
    <mergeCell ref="AL488:AL489"/>
    <mergeCell ref="AM488:AM489"/>
    <mergeCell ref="AB488:AB489"/>
    <mergeCell ref="AC488:AC489"/>
    <mergeCell ref="AD488:AD489"/>
    <mergeCell ref="AE488:AE489"/>
    <mergeCell ref="AF488:AF489"/>
    <mergeCell ref="AG488:AG489"/>
    <mergeCell ref="V488:V489"/>
    <mergeCell ref="W488:W489"/>
    <mergeCell ref="X488:X489"/>
    <mergeCell ref="Y488:Y489"/>
    <mergeCell ref="Z488:Z489"/>
    <mergeCell ref="AA488:AA489"/>
    <mergeCell ref="N488:N489"/>
    <mergeCell ref="O488:O489"/>
    <mergeCell ref="Q488:Q489"/>
    <mergeCell ref="R488:R489"/>
    <mergeCell ref="S488:S489"/>
    <mergeCell ref="U488:U489"/>
    <mergeCell ref="T486:T492"/>
    <mergeCell ref="U486:U487"/>
    <mergeCell ref="AN486:AN487"/>
    <mergeCell ref="AU486:AU487"/>
    <mergeCell ref="AV486:AV487"/>
    <mergeCell ref="AW486:AW487"/>
    <mergeCell ref="H488:H489"/>
    <mergeCell ref="I488:I489"/>
    <mergeCell ref="J488:J489"/>
    <mergeCell ref="K488:K489"/>
    <mergeCell ref="L488:L489"/>
    <mergeCell ref="M488:M489"/>
    <mergeCell ref="AH486:AH487"/>
    <mergeCell ref="AI486:AI487"/>
    <mergeCell ref="AJ486:AJ487"/>
    <mergeCell ref="AK486:AK487"/>
    <mergeCell ref="AL486:AL487"/>
    <mergeCell ref="AM486:AM487"/>
    <mergeCell ref="AB486:AB487"/>
    <mergeCell ref="AC486:AC487"/>
    <mergeCell ref="AD486:AD487"/>
    <mergeCell ref="AE486:AE487"/>
    <mergeCell ref="AF486:AF487"/>
    <mergeCell ref="AG486:AG487"/>
    <mergeCell ref="V486:V487"/>
    <mergeCell ref="W486:W487"/>
    <mergeCell ref="X486:X487"/>
    <mergeCell ref="Y486:Y487"/>
    <mergeCell ref="Z486:Z487"/>
    <mergeCell ref="AA486:AA487"/>
    <mergeCell ref="O486:O487"/>
    <mergeCell ref="Q486:Q487"/>
    <mergeCell ref="R486:R487"/>
    <mergeCell ref="S486:S487"/>
    <mergeCell ref="F479:F484"/>
    <mergeCell ref="T479:T484"/>
    <mergeCell ref="F486:F492"/>
    <mergeCell ref="H486:H487"/>
    <mergeCell ref="I486:I487"/>
    <mergeCell ref="J486:J487"/>
    <mergeCell ref="K486:K487"/>
    <mergeCell ref="L486:L487"/>
    <mergeCell ref="M486:M487"/>
    <mergeCell ref="N486:N487"/>
    <mergeCell ref="AL472:AL473"/>
    <mergeCell ref="AM472:AM473"/>
    <mergeCell ref="AN472:AN473"/>
    <mergeCell ref="AU472:AU473"/>
    <mergeCell ref="AV472:AV473"/>
    <mergeCell ref="AW472:AW473"/>
    <mergeCell ref="AF472:AF473"/>
    <mergeCell ref="AG472:AG473"/>
    <mergeCell ref="AH472:AH473"/>
    <mergeCell ref="AI472:AI473"/>
    <mergeCell ref="AJ472:AJ473"/>
    <mergeCell ref="AK472:AK473"/>
    <mergeCell ref="Z472:Z473"/>
    <mergeCell ref="AA472:AA473"/>
    <mergeCell ref="AB472:AB473"/>
    <mergeCell ref="AC472:AC473"/>
    <mergeCell ref="AD472:AD473"/>
    <mergeCell ref="AE472:AE473"/>
    <mergeCell ref="N472:N473"/>
    <mergeCell ref="O472:O473"/>
    <mergeCell ref="Q472:Q473"/>
    <mergeCell ref="S472:S473"/>
    <mergeCell ref="U472:U473"/>
    <mergeCell ref="V472:V473"/>
    <mergeCell ref="H472:H473"/>
    <mergeCell ref="I472:I473"/>
    <mergeCell ref="J472:J473"/>
    <mergeCell ref="K472:K473"/>
    <mergeCell ref="L472:L473"/>
    <mergeCell ref="M472:M473"/>
    <mergeCell ref="AL470:AL471"/>
    <mergeCell ref="AM470:AM471"/>
    <mergeCell ref="AN470:AN471"/>
    <mergeCell ref="AU470:AU471"/>
    <mergeCell ref="AV470:AV471"/>
    <mergeCell ref="AW470:AW471"/>
    <mergeCell ref="AF470:AF471"/>
    <mergeCell ref="AG470:AG471"/>
    <mergeCell ref="AH470:AH471"/>
    <mergeCell ref="AI470:AI471"/>
    <mergeCell ref="AJ470:AJ471"/>
    <mergeCell ref="AK470:AK471"/>
    <mergeCell ref="Z470:Z471"/>
    <mergeCell ref="AA470:AA471"/>
    <mergeCell ref="AB470:AB471"/>
    <mergeCell ref="AC470:AC471"/>
    <mergeCell ref="AD470:AD471"/>
    <mergeCell ref="AE470:AE471"/>
    <mergeCell ref="T470:T477"/>
    <mergeCell ref="U470:U471"/>
    <mergeCell ref="V470:V471"/>
    <mergeCell ref="W470:W471"/>
    <mergeCell ref="X470:X471"/>
    <mergeCell ref="Y470:Y471"/>
    <mergeCell ref="W472:W473"/>
    <mergeCell ref="X472:X473"/>
    <mergeCell ref="Y472:Y473"/>
    <mergeCell ref="L470:L471"/>
    <mergeCell ref="M470:M471"/>
    <mergeCell ref="N470:N471"/>
    <mergeCell ref="O470:O471"/>
    <mergeCell ref="Q470:Q471"/>
    <mergeCell ref="S470:S471"/>
    <mergeCell ref="AM466:AM467"/>
    <mergeCell ref="AN466:AN467"/>
    <mergeCell ref="AU466:AU467"/>
    <mergeCell ref="AV466:AV467"/>
    <mergeCell ref="AW466:AW467"/>
    <mergeCell ref="F469:F477"/>
    <mergeCell ref="H470:H471"/>
    <mergeCell ref="I470:I471"/>
    <mergeCell ref="J470:J471"/>
    <mergeCell ref="K470:K471"/>
    <mergeCell ref="AG466:AG467"/>
    <mergeCell ref="AH466:AH467"/>
    <mergeCell ref="AI466:AI467"/>
    <mergeCell ref="AJ466:AJ467"/>
    <mergeCell ref="AK466:AK467"/>
    <mergeCell ref="AL466:AL467"/>
    <mergeCell ref="AA466:AA467"/>
    <mergeCell ref="AB466:AB467"/>
    <mergeCell ref="AC466:AC467"/>
    <mergeCell ref="AD466:AD467"/>
    <mergeCell ref="AE466:AE467"/>
    <mergeCell ref="AF466:AF467"/>
    <mergeCell ref="U466:U467"/>
    <mergeCell ref="V466:V467"/>
    <mergeCell ref="W466:W467"/>
    <mergeCell ref="X466:X467"/>
    <mergeCell ref="Y466:Y467"/>
    <mergeCell ref="Z466:Z467"/>
    <mergeCell ref="M466:M467"/>
    <mergeCell ref="N466:N467"/>
    <mergeCell ref="O466:O467"/>
    <mergeCell ref="Q466:Q467"/>
    <mergeCell ref="R466:R467"/>
    <mergeCell ref="S466:S467"/>
    <mergeCell ref="AM464:AM465"/>
    <mergeCell ref="AN464:AN465"/>
    <mergeCell ref="AU464:AU465"/>
    <mergeCell ref="AV464:AV465"/>
    <mergeCell ref="AW464:AW465"/>
    <mergeCell ref="H466:H467"/>
    <mergeCell ref="I466:I467"/>
    <mergeCell ref="J466:J467"/>
    <mergeCell ref="K466:K467"/>
    <mergeCell ref="L466:L467"/>
    <mergeCell ref="AG464:AG465"/>
    <mergeCell ref="AH464:AH465"/>
    <mergeCell ref="AI464:AI465"/>
    <mergeCell ref="AJ464:AJ465"/>
    <mergeCell ref="AK464:AK465"/>
    <mergeCell ref="AL464:AL465"/>
    <mergeCell ref="AA464:AA465"/>
    <mergeCell ref="AB464:AB465"/>
    <mergeCell ref="AC464:AC465"/>
    <mergeCell ref="AD464:AD465"/>
    <mergeCell ref="AE464:AE465"/>
    <mergeCell ref="AF464:AF465"/>
    <mergeCell ref="U464:U465"/>
    <mergeCell ref="V464:V465"/>
    <mergeCell ref="W464:W465"/>
    <mergeCell ref="X464:X465"/>
    <mergeCell ref="Y464:Y465"/>
    <mergeCell ref="Z464:Z465"/>
    <mergeCell ref="N464:N465"/>
    <mergeCell ref="O464:O465"/>
    <mergeCell ref="Q464:Q465"/>
    <mergeCell ref="R464:R465"/>
    <mergeCell ref="S464:S465"/>
    <mergeCell ref="T464:T467"/>
    <mergeCell ref="AW451:AW452"/>
    <mergeCell ref="F454:F456"/>
    <mergeCell ref="F460:F462"/>
    <mergeCell ref="F464:F467"/>
    <mergeCell ref="H464:H465"/>
    <mergeCell ref="I464:I465"/>
    <mergeCell ref="J464:J465"/>
    <mergeCell ref="K464:K465"/>
    <mergeCell ref="L464:L465"/>
    <mergeCell ref="M464:M465"/>
    <mergeCell ref="AK451:AK452"/>
    <mergeCell ref="AL451:AL452"/>
    <mergeCell ref="AM451:AM452"/>
    <mergeCell ref="AN451:AN452"/>
    <mergeCell ref="AU451:AU452"/>
    <mergeCell ref="AV451:AV452"/>
    <mergeCell ref="AE451:AE452"/>
    <mergeCell ref="AF451:AF452"/>
    <mergeCell ref="AG451:AG452"/>
    <mergeCell ref="R451:R452"/>
    <mergeCell ref="S451:S452"/>
    <mergeCell ref="U451:U452"/>
    <mergeCell ref="V451:V452"/>
    <mergeCell ref="W451:W452"/>
    <mergeCell ref="X451:X452"/>
    <mergeCell ref="AW449:AW450"/>
    <mergeCell ref="H451:H452"/>
    <mergeCell ref="I451:I452"/>
    <mergeCell ref="J451:J452"/>
    <mergeCell ref="K451:K452"/>
    <mergeCell ref="L451:L452"/>
    <mergeCell ref="M451:M452"/>
    <mergeCell ref="N451:N452"/>
    <mergeCell ref="O451:O452"/>
    <mergeCell ref="Q451:Q452"/>
    <mergeCell ref="AK449:AK450"/>
    <mergeCell ref="AL449:AL450"/>
    <mergeCell ref="AM449:AM450"/>
    <mergeCell ref="AN449:AN450"/>
    <mergeCell ref="AU449:AU450"/>
    <mergeCell ref="AV449:AV450"/>
    <mergeCell ref="AE449:AE450"/>
    <mergeCell ref="AF449:AF450"/>
    <mergeCell ref="AG449:AG450"/>
    <mergeCell ref="AH449:AH450"/>
    <mergeCell ref="AI449:AI450"/>
    <mergeCell ref="AJ449:AJ450"/>
    <mergeCell ref="Y449:Y450"/>
    <mergeCell ref="Z449:Z450"/>
    <mergeCell ref="AA449:AA450"/>
    <mergeCell ref="AB449:AB450"/>
    <mergeCell ref="AC449:AC450"/>
    <mergeCell ref="AD449:AD450"/>
    <mergeCell ref="S449:S450"/>
    <mergeCell ref="T449:T452"/>
    <mergeCell ref="U449:U450"/>
    <mergeCell ref="V449:V450"/>
    <mergeCell ref="W449:W450"/>
    <mergeCell ref="X449:X450"/>
    <mergeCell ref="AH451:AH452"/>
    <mergeCell ref="AI451:AI452"/>
    <mergeCell ref="AJ451:AJ452"/>
    <mergeCell ref="Y451:Y452"/>
    <mergeCell ref="Z451:Z452"/>
    <mergeCell ref="AA451:AA452"/>
    <mergeCell ref="AB451:AB452"/>
    <mergeCell ref="AC451:AC452"/>
    <mergeCell ref="AD451:AD452"/>
    <mergeCell ref="L449:L450"/>
    <mergeCell ref="M449:M450"/>
    <mergeCell ref="N449:N450"/>
    <mergeCell ref="O449:O450"/>
    <mergeCell ref="Q449:Q450"/>
    <mergeCell ref="R449:R450"/>
    <mergeCell ref="AM446:AM447"/>
    <mergeCell ref="AN446:AN447"/>
    <mergeCell ref="AU446:AU447"/>
    <mergeCell ref="AV446:AV447"/>
    <mergeCell ref="AW446:AW447"/>
    <mergeCell ref="F449:F452"/>
    <mergeCell ref="H449:H450"/>
    <mergeCell ref="I449:I450"/>
    <mergeCell ref="J449:J450"/>
    <mergeCell ref="K449:K450"/>
    <mergeCell ref="AG446:AG447"/>
    <mergeCell ref="AH446:AH447"/>
    <mergeCell ref="AI446:AI447"/>
    <mergeCell ref="AJ446:AJ447"/>
    <mergeCell ref="AK446:AK447"/>
    <mergeCell ref="AL446:AL447"/>
    <mergeCell ref="AA446:AA447"/>
    <mergeCell ref="AB446:AB447"/>
    <mergeCell ref="AC446:AC447"/>
    <mergeCell ref="AD446:AD447"/>
    <mergeCell ref="AE446:AE447"/>
    <mergeCell ref="AF446:AF447"/>
    <mergeCell ref="U446:U447"/>
    <mergeCell ref="V446:V447"/>
    <mergeCell ref="W446:W447"/>
    <mergeCell ref="X446:X447"/>
    <mergeCell ref="N446:N447"/>
    <mergeCell ref="O446:O447"/>
    <mergeCell ref="Q446:Q447"/>
    <mergeCell ref="R446:R447"/>
    <mergeCell ref="S446:S447"/>
    <mergeCell ref="T446:T447"/>
    <mergeCell ref="H446:H447"/>
    <mergeCell ref="I446:I447"/>
    <mergeCell ref="J446:J447"/>
    <mergeCell ref="K446:K447"/>
    <mergeCell ref="L446:L447"/>
    <mergeCell ref="M446:M447"/>
    <mergeCell ref="AL444:AL445"/>
    <mergeCell ref="AM444:AM445"/>
    <mergeCell ref="AN444:AN445"/>
    <mergeCell ref="M444:M445"/>
    <mergeCell ref="N444:N445"/>
    <mergeCell ref="O444:O445"/>
    <mergeCell ref="Q444:Q445"/>
    <mergeCell ref="R444:R445"/>
    <mergeCell ref="S444:S445"/>
    <mergeCell ref="AU444:AU445"/>
    <mergeCell ref="AV444:AV445"/>
    <mergeCell ref="AW444:AW445"/>
    <mergeCell ref="AF444:AF445"/>
    <mergeCell ref="AG444:AG445"/>
    <mergeCell ref="AH444:AH445"/>
    <mergeCell ref="AI444:AI445"/>
    <mergeCell ref="AJ444:AJ445"/>
    <mergeCell ref="AK444:AK445"/>
    <mergeCell ref="Z444:Z445"/>
    <mergeCell ref="AA444:AA445"/>
    <mergeCell ref="AB444:AB445"/>
    <mergeCell ref="AC444:AC445"/>
    <mergeCell ref="AD444:AD445"/>
    <mergeCell ref="AE444:AE445"/>
    <mergeCell ref="T444:T445"/>
    <mergeCell ref="U444:U445"/>
    <mergeCell ref="V444:V445"/>
    <mergeCell ref="W444:W445"/>
    <mergeCell ref="X444:X445"/>
    <mergeCell ref="Y444:Y445"/>
    <mergeCell ref="AM442:AM443"/>
    <mergeCell ref="AN442:AN443"/>
    <mergeCell ref="AU442:AU443"/>
    <mergeCell ref="AV442:AV443"/>
    <mergeCell ref="AW442:AW443"/>
    <mergeCell ref="H444:H445"/>
    <mergeCell ref="I444:I445"/>
    <mergeCell ref="J444:J445"/>
    <mergeCell ref="K444:K445"/>
    <mergeCell ref="L444:L445"/>
    <mergeCell ref="AG442:AG443"/>
    <mergeCell ref="AH442:AH443"/>
    <mergeCell ref="AI442:AI443"/>
    <mergeCell ref="AJ442:AJ443"/>
    <mergeCell ref="AK442:AK443"/>
    <mergeCell ref="AL442:AL443"/>
    <mergeCell ref="AA442:AA443"/>
    <mergeCell ref="AB442:AB443"/>
    <mergeCell ref="AC442:AC443"/>
    <mergeCell ref="AD442:AD443"/>
    <mergeCell ref="AE442:AE443"/>
    <mergeCell ref="AF442:AF443"/>
    <mergeCell ref="U442:U443"/>
    <mergeCell ref="V442:V443"/>
    <mergeCell ref="W442:W443"/>
    <mergeCell ref="X442:X443"/>
    <mergeCell ref="Y442:Y443"/>
    <mergeCell ref="Z442:Z443"/>
    <mergeCell ref="N442:N443"/>
    <mergeCell ref="O442:O443"/>
    <mergeCell ref="Q442:Q443"/>
    <mergeCell ref="R442:R443"/>
    <mergeCell ref="S442:S443"/>
    <mergeCell ref="T442:T443"/>
    <mergeCell ref="AN440:AN441"/>
    <mergeCell ref="AU440:AU441"/>
    <mergeCell ref="AV440:AV441"/>
    <mergeCell ref="AW440:AW441"/>
    <mergeCell ref="H442:H443"/>
    <mergeCell ref="I442:I443"/>
    <mergeCell ref="J442:J443"/>
    <mergeCell ref="K442:K443"/>
    <mergeCell ref="L442:L443"/>
    <mergeCell ref="M442:M443"/>
    <mergeCell ref="AH440:AH441"/>
    <mergeCell ref="AI440:AI441"/>
    <mergeCell ref="AJ440:AJ441"/>
    <mergeCell ref="AK440:AK441"/>
    <mergeCell ref="AL440:AL441"/>
    <mergeCell ref="AM440:AM441"/>
    <mergeCell ref="AB440:AB441"/>
    <mergeCell ref="AC440:AC441"/>
    <mergeCell ref="AD440:AD441"/>
    <mergeCell ref="AE440:AE441"/>
    <mergeCell ref="AF440:AF441"/>
    <mergeCell ref="AG440:AG441"/>
    <mergeCell ref="V440:V441"/>
    <mergeCell ref="W440:W441"/>
    <mergeCell ref="X440:X441"/>
    <mergeCell ref="Y440:Y441"/>
    <mergeCell ref="Z440:Z441"/>
    <mergeCell ref="AA440:AA441"/>
    <mergeCell ref="O440:O441"/>
    <mergeCell ref="Q440:Q441"/>
    <mergeCell ref="R440:R441"/>
    <mergeCell ref="S440:S441"/>
    <mergeCell ref="T440:T441"/>
    <mergeCell ref="U440:U441"/>
    <mergeCell ref="AU438:AU439"/>
    <mergeCell ref="AV438:AV439"/>
    <mergeCell ref="AW438:AW439"/>
    <mergeCell ref="H440:H441"/>
    <mergeCell ref="I440:I441"/>
    <mergeCell ref="J440:J441"/>
    <mergeCell ref="K440:K441"/>
    <mergeCell ref="L440:L441"/>
    <mergeCell ref="M440:M441"/>
    <mergeCell ref="N440:N441"/>
    <mergeCell ref="AI438:AI439"/>
    <mergeCell ref="AJ438:AJ439"/>
    <mergeCell ref="AK438:AK439"/>
    <mergeCell ref="AL438:AL439"/>
    <mergeCell ref="AM438:AM439"/>
    <mergeCell ref="AN438:AN439"/>
    <mergeCell ref="AC438:AC439"/>
    <mergeCell ref="AD438:AD439"/>
    <mergeCell ref="AE438:AE439"/>
    <mergeCell ref="AF438:AF439"/>
    <mergeCell ref="AG438:AG439"/>
    <mergeCell ref="AH438:AH439"/>
    <mergeCell ref="W438:W439"/>
    <mergeCell ref="X438:X439"/>
    <mergeCell ref="Y438:Y439"/>
    <mergeCell ref="Z438:Z439"/>
    <mergeCell ref="AA438:AA439"/>
    <mergeCell ref="AB438:AB439"/>
    <mergeCell ref="L433:L434"/>
    <mergeCell ref="Q438:Q439"/>
    <mergeCell ref="R438:R439"/>
    <mergeCell ref="S438:S439"/>
    <mergeCell ref="T438:T439"/>
    <mergeCell ref="U438:U439"/>
    <mergeCell ref="V438:V439"/>
    <mergeCell ref="AW435:AW436"/>
    <mergeCell ref="F438:F447"/>
    <mergeCell ref="H438:H439"/>
    <mergeCell ref="I438:I439"/>
    <mergeCell ref="J438:J439"/>
    <mergeCell ref="K438:K439"/>
    <mergeCell ref="L438:L439"/>
    <mergeCell ref="M438:M439"/>
    <mergeCell ref="N438:N439"/>
    <mergeCell ref="O438:O439"/>
    <mergeCell ref="AK435:AK436"/>
    <mergeCell ref="AL435:AL436"/>
    <mergeCell ref="AM435:AM436"/>
    <mergeCell ref="AN435:AN436"/>
    <mergeCell ref="AU435:AU436"/>
    <mergeCell ref="AV435:AV436"/>
    <mergeCell ref="AE435:AE436"/>
    <mergeCell ref="AF435:AF436"/>
    <mergeCell ref="AG435:AG436"/>
    <mergeCell ref="AH435:AH436"/>
    <mergeCell ref="AI435:AI436"/>
    <mergeCell ref="AJ435:AJ436"/>
    <mergeCell ref="Y435:Y436"/>
    <mergeCell ref="Z435:Z436"/>
    <mergeCell ref="AA435:AA436"/>
    <mergeCell ref="N435:N436"/>
    <mergeCell ref="O435:O436"/>
    <mergeCell ref="Q435:Q436"/>
    <mergeCell ref="AK433:AK434"/>
    <mergeCell ref="AL433:AL434"/>
    <mergeCell ref="AM433:AM434"/>
    <mergeCell ref="AN433:AN434"/>
    <mergeCell ref="AU433:AU434"/>
    <mergeCell ref="AV433:AV434"/>
    <mergeCell ref="AE433:AE434"/>
    <mergeCell ref="AF433:AF434"/>
    <mergeCell ref="AG433:AG434"/>
    <mergeCell ref="AH433:AH434"/>
    <mergeCell ref="AI433:AI434"/>
    <mergeCell ref="AJ433:AJ434"/>
    <mergeCell ref="Y433:Y434"/>
    <mergeCell ref="Z433:Z434"/>
    <mergeCell ref="AD433:AD434"/>
    <mergeCell ref="S433:S434"/>
    <mergeCell ref="T433:T436"/>
    <mergeCell ref="U433:U434"/>
    <mergeCell ref="V433:V434"/>
    <mergeCell ref="W433:W434"/>
    <mergeCell ref="X433:X434"/>
    <mergeCell ref="AB435:AB436"/>
    <mergeCell ref="AC435:AC436"/>
    <mergeCell ref="AD435:AD436"/>
    <mergeCell ref="R435:R436"/>
    <mergeCell ref="S435:S436"/>
    <mergeCell ref="U435:U436"/>
    <mergeCell ref="V435:V436"/>
    <mergeCell ref="W435:W436"/>
    <mergeCell ref="AW430:AW431"/>
    <mergeCell ref="F433:F436"/>
    <mergeCell ref="H433:H434"/>
    <mergeCell ref="I433:I434"/>
    <mergeCell ref="J433:J434"/>
    <mergeCell ref="K433:K434"/>
    <mergeCell ref="AG430:AG431"/>
    <mergeCell ref="AH430:AH431"/>
    <mergeCell ref="AI430:AI431"/>
    <mergeCell ref="AJ430:AJ431"/>
    <mergeCell ref="AK430:AK431"/>
    <mergeCell ref="AL430:AL431"/>
    <mergeCell ref="AA430:AA431"/>
    <mergeCell ref="AB430:AB431"/>
    <mergeCell ref="AC430:AC431"/>
    <mergeCell ref="AD430:AD431"/>
    <mergeCell ref="AE430:AE431"/>
    <mergeCell ref="AW433:AW434"/>
    <mergeCell ref="H435:H436"/>
    <mergeCell ref="I435:I436"/>
    <mergeCell ref="J435:J436"/>
    <mergeCell ref="K435:K436"/>
    <mergeCell ref="L435:L436"/>
    <mergeCell ref="M435:M436"/>
    <mergeCell ref="AF430:AF431"/>
    <mergeCell ref="U430:U431"/>
    <mergeCell ref="V430:V431"/>
    <mergeCell ref="W430:W431"/>
    <mergeCell ref="X430:X431"/>
    <mergeCell ref="Y430:Y431"/>
    <mergeCell ref="Z430:Z431"/>
    <mergeCell ref="M430:M431"/>
    <mergeCell ref="N430:N431"/>
    <mergeCell ref="O430:O431"/>
    <mergeCell ref="Q430:Q431"/>
    <mergeCell ref="R430:R431"/>
    <mergeCell ref="AA433:AA434"/>
    <mergeCell ref="AB433:AB434"/>
    <mergeCell ref="AC433:AC434"/>
    <mergeCell ref="AV428:AV429"/>
    <mergeCell ref="AW428:AW429"/>
    <mergeCell ref="AN430:AN431"/>
    <mergeCell ref="AU430:AU431"/>
    <mergeCell ref="AV430:AV431"/>
    <mergeCell ref="M433:M434"/>
    <mergeCell ref="N433:N434"/>
    <mergeCell ref="O433:O434"/>
    <mergeCell ref="Q433:Q434"/>
    <mergeCell ref="R433:R434"/>
    <mergeCell ref="AM430:AM431"/>
    <mergeCell ref="S430:S431"/>
    <mergeCell ref="AI428:AI429"/>
    <mergeCell ref="AJ428:AJ429"/>
    <mergeCell ref="AK428:AK429"/>
    <mergeCell ref="AL428:AL429"/>
    <mergeCell ref="AA428:AA429"/>
    <mergeCell ref="AB428:AB429"/>
    <mergeCell ref="AC428:AC429"/>
    <mergeCell ref="AD428:AD429"/>
    <mergeCell ref="AE428:AE429"/>
    <mergeCell ref="AF428:AF429"/>
    <mergeCell ref="U428:U429"/>
    <mergeCell ref="V428:V429"/>
    <mergeCell ref="W428:W429"/>
    <mergeCell ref="O428:O429"/>
    <mergeCell ref="Q428:Q429"/>
    <mergeCell ref="R428:R429"/>
    <mergeCell ref="AU426:AU427"/>
    <mergeCell ref="AV426:AV427"/>
    <mergeCell ref="AW426:AW427"/>
    <mergeCell ref="H428:H429"/>
    <mergeCell ref="I428:I429"/>
    <mergeCell ref="J428:J429"/>
    <mergeCell ref="K428:K429"/>
    <mergeCell ref="L428:L429"/>
    <mergeCell ref="M428:M429"/>
    <mergeCell ref="AH426:AH427"/>
    <mergeCell ref="AI426:AI427"/>
    <mergeCell ref="AJ426:AJ427"/>
    <mergeCell ref="AK426:AK427"/>
    <mergeCell ref="AL426:AL427"/>
    <mergeCell ref="AM426:AM427"/>
    <mergeCell ref="AB426:AB427"/>
    <mergeCell ref="AC426:AC427"/>
    <mergeCell ref="AD426:AD427"/>
    <mergeCell ref="AE426:AE427"/>
    <mergeCell ref="AF426:AF427"/>
    <mergeCell ref="AG426:AG427"/>
    <mergeCell ref="V426:V427"/>
    <mergeCell ref="W426:W427"/>
    <mergeCell ref="X426:X427"/>
    <mergeCell ref="Y426:Y427"/>
    <mergeCell ref="Z426:Z427"/>
    <mergeCell ref="AA426:AA427"/>
    <mergeCell ref="O426:O427"/>
    <mergeCell ref="AM428:AM429"/>
    <mergeCell ref="AN428:AN429"/>
    <mergeCell ref="AU428:AU429"/>
    <mergeCell ref="F418:F422"/>
    <mergeCell ref="T418:T422"/>
    <mergeCell ref="F426:F431"/>
    <mergeCell ref="H426:H427"/>
    <mergeCell ref="I426:I427"/>
    <mergeCell ref="J426:J427"/>
    <mergeCell ref="K426:K427"/>
    <mergeCell ref="L426:L427"/>
    <mergeCell ref="M426:M427"/>
    <mergeCell ref="N426:N427"/>
    <mergeCell ref="AF397:AF398"/>
    <mergeCell ref="AG397:AG398"/>
    <mergeCell ref="AH397:AH398"/>
    <mergeCell ref="F401:F404"/>
    <mergeCell ref="F406:F410"/>
    <mergeCell ref="F412:F414"/>
    <mergeCell ref="T412:T414"/>
    <mergeCell ref="AD397:AD398"/>
    <mergeCell ref="AE397:AE398"/>
    <mergeCell ref="S428:S429"/>
    <mergeCell ref="T428:T431"/>
    <mergeCell ref="H430:H431"/>
    <mergeCell ref="I430:I431"/>
    <mergeCell ref="J430:J431"/>
    <mergeCell ref="K430:K431"/>
    <mergeCell ref="L430:L431"/>
    <mergeCell ref="AG428:AG429"/>
    <mergeCell ref="AH428:AH429"/>
    <mergeCell ref="N428:N429"/>
    <mergeCell ref="R426:R427"/>
    <mergeCell ref="S426:S427"/>
    <mergeCell ref="T426:T427"/>
    <mergeCell ref="U426:U427"/>
    <mergeCell ref="AN426:AN427"/>
    <mergeCell ref="AW392:AW393"/>
    <mergeCell ref="F395:F399"/>
    <mergeCell ref="I395:I396"/>
    <mergeCell ref="J395:J396"/>
    <mergeCell ref="K395:K396"/>
    <mergeCell ref="L395:L396"/>
    <mergeCell ref="M395:M396"/>
    <mergeCell ref="AH392:AH393"/>
    <mergeCell ref="AI392:AI393"/>
    <mergeCell ref="AJ392:AJ393"/>
    <mergeCell ref="AK392:AK393"/>
    <mergeCell ref="AL392:AL393"/>
    <mergeCell ref="AM392:AM393"/>
    <mergeCell ref="AB392:AB393"/>
    <mergeCell ref="AC392:AC393"/>
    <mergeCell ref="AD392:AD393"/>
    <mergeCell ref="AE392:AE393"/>
    <mergeCell ref="Q426:Q427"/>
    <mergeCell ref="AE395:AE396"/>
    <mergeCell ref="AF395:AF396"/>
    <mergeCell ref="AG395:AG396"/>
    <mergeCell ref="AH395:AH396"/>
    <mergeCell ref="V395:V396"/>
    <mergeCell ref="W395:W396"/>
    <mergeCell ref="X395:X396"/>
    <mergeCell ref="Y395:Y396"/>
    <mergeCell ref="Z395:Z396"/>
    <mergeCell ref="AD395:AD396"/>
    <mergeCell ref="AW388:AW390"/>
    <mergeCell ref="H392:H393"/>
    <mergeCell ref="I392:I393"/>
    <mergeCell ref="J392:J393"/>
    <mergeCell ref="K392:K393"/>
    <mergeCell ref="L392:L393"/>
    <mergeCell ref="M392:M393"/>
    <mergeCell ref="N392:N393"/>
    <mergeCell ref="AI388:AI390"/>
    <mergeCell ref="AJ388:AJ390"/>
    <mergeCell ref="AK388:AK390"/>
    <mergeCell ref="AL388:AL389"/>
    <mergeCell ref="AM388:AM389"/>
    <mergeCell ref="AN388:AN390"/>
    <mergeCell ref="AC388:AC390"/>
    <mergeCell ref="AD388:AD390"/>
    <mergeCell ref="AE388:AE390"/>
    <mergeCell ref="AN392:AN393"/>
    <mergeCell ref="U392:U393"/>
    <mergeCell ref="Y388:Y390"/>
    <mergeCell ref="Z388:Z390"/>
    <mergeCell ref="AA388:AA390"/>
    <mergeCell ref="AB388:AB390"/>
    <mergeCell ref="O388:O390"/>
    <mergeCell ref="Q388:Q390"/>
    <mergeCell ref="R388:R390"/>
    <mergeCell ref="S388:S390"/>
    <mergeCell ref="AU392:AU393"/>
    <mergeCell ref="AV392:AV393"/>
    <mergeCell ref="AU385:AU387"/>
    <mergeCell ref="AV385:AV387"/>
    <mergeCell ref="U385:U387"/>
    <mergeCell ref="V385:V387"/>
    <mergeCell ref="AF392:AF393"/>
    <mergeCell ref="AG392:AG393"/>
    <mergeCell ref="V392:V393"/>
    <mergeCell ref="W392:W393"/>
    <mergeCell ref="X392:X393"/>
    <mergeCell ref="Y392:Y393"/>
    <mergeCell ref="Z392:Z393"/>
    <mergeCell ref="AA392:AA393"/>
    <mergeCell ref="O392:O393"/>
    <mergeCell ref="Q392:Q393"/>
    <mergeCell ref="R392:R393"/>
    <mergeCell ref="S392:S393"/>
    <mergeCell ref="T392:T393"/>
    <mergeCell ref="AW385:AW387"/>
    <mergeCell ref="H388:H390"/>
    <mergeCell ref="I388:I390"/>
    <mergeCell ref="J388:J390"/>
    <mergeCell ref="K388:K390"/>
    <mergeCell ref="L388:L390"/>
    <mergeCell ref="M388:M390"/>
    <mergeCell ref="N388:N390"/>
    <mergeCell ref="AI385:AI387"/>
    <mergeCell ref="AJ385:AJ387"/>
    <mergeCell ref="AK385:AK387"/>
    <mergeCell ref="AL385:AL386"/>
    <mergeCell ref="AM385:AM386"/>
    <mergeCell ref="AN385:AN387"/>
    <mergeCell ref="AC385:AC387"/>
    <mergeCell ref="AD385:AD387"/>
    <mergeCell ref="AE385:AE387"/>
    <mergeCell ref="AF385:AF387"/>
    <mergeCell ref="AG385:AG387"/>
    <mergeCell ref="AH385:AH387"/>
    <mergeCell ref="W385:W387"/>
    <mergeCell ref="X385:X387"/>
    <mergeCell ref="Y385:Y387"/>
    <mergeCell ref="Z385:Z387"/>
    <mergeCell ref="AA385:AA387"/>
    <mergeCell ref="AB385:AB387"/>
    <mergeCell ref="O385:O387"/>
    <mergeCell ref="Q385:Q387"/>
    <mergeCell ref="AU388:AU390"/>
    <mergeCell ref="AV388:AV390"/>
    <mergeCell ref="R385:R387"/>
    <mergeCell ref="S385:S387"/>
    <mergeCell ref="S381:S382"/>
    <mergeCell ref="F384:F393"/>
    <mergeCell ref="T384:T391"/>
    <mergeCell ref="H385:H387"/>
    <mergeCell ref="I385:I387"/>
    <mergeCell ref="J385:J387"/>
    <mergeCell ref="K385:K387"/>
    <mergeCell ref="L385:L387"/>
    <mergeCell ref="M385:M387"/>
    <mergeCell ref="N385:N387"/>
    <mergeCell ref="AL379:AL380"/>
    <mergeCell ref="AM379:AM380"/>
    <mergeCell ref="AN379:AN380"/>
    <mergeCell ref="M379:M380"/>
    <mergeCell ref="N379:N380"/>
    <mergeCell ref="O379:O380"/>
    <mergeCell ref="Q379:Q380"/>
    <mergeCell ref="R379:R380"/>
    <mergeCell ref="S379:S380"/>
    <mergeCell ref="F379:F382"/>
    <mergeCell ref="H379:H380"/>
    <mergeCell ref="I379:I380"/>
    <mergeCell ref="J379:J380"/>
    <mergeCell ref="K379:K380"/>
    <mergeCell ref="L379:L380"/>
    <mergeCell ref="U388:U390"/>
    <mergeCell ref="V388:V390"/>
    <mergeCell ref="AF388:AF390"/>
    <mergeCell ref="AG388:AG390"/>
    <mergeCell ref="AH388:AH390"/>
    <mergeCell ref="W388:W390"/>
    <mergeCell ref="X388:X390"/>
    <mergeCell ref="AU379:AU380"/>
    <mergeCell ref="AV379:AV380"/>
    <mergeCell ref="AW379:AW380"/>
    <mergeCell ref="AF379:AF380"/>
    <mergeCell ref="AG379:AG380"/>
    <mergeCell ref="AH379:AH380"/>
    <mergeCell ref="AI379:AI380"/>
    <mergeCell ref="AJ379:AJ380"/>
    <mergeCell ref="AK379:AK380"/>
    <mergeCell ref="Z379:Z380"/>
    <mergeCell ref="AA379:AA380"/>
    <mergeCell ref="AB379:AB380"/>
    <mergeCell ref="AC379:AC380"/>
    <mergeCell ref="AD379:AD380"/>
    <mergeCell ref="AE379:AE380"/>
    <mergeCell ref="T379:T382"/>
    <mergeCell ref="U379:U380"/>
    <mergeCell ref="V379:V380"/>
    <mergeCell ref="W379:W380"/>
    <mergeCell ref="X379:X380"/>
    <mergeCell ref="Y379:Y380"/>
    <mergeCell ref="F367:F372"/>
    <mergeCell ref="F374:F377"/>
    <mergeCell ref="T374:T377"/>
    <mergeCell ref="AP356:AP357"/>
    <mergeCell ref="AQ356:AQ357"/>
    <mergeCell ref="AR356:AR357"/>
    <mergeCell ref="AS356:AS357"/>
    <mergeCell ref="AT356:AT357"/>
    <mergeCell ref="AU356:AU357"/>
    <mergeCell ref="AI356:AI357"/>
    <mergeCell ref="AJ356:AJ357"/>
    <mergeCell ref="AK356:AK357"/>
    <mergeCell ref="AL356:AL357"/>
    <mergeCell ref="AM356:AM357"/>
    <mergeCell ref="AN356:AN357"/>
    <mergeCell ref="AC356:AC357"/>
    <mergeCell ref="AD356:AD357"/>
    <mergeCell ref="AE356:AE357"/>
    <mergeCell ref="AF356:AF357"/>
    <mergeCell ref="AG356:AG357"/>
    <mergeCell ref="AH356:AH357"/>
    <mergeCell ref="W356:W357"/>
    <mergeCell ref="X356:X357"/>
    <mergeCell ref="Y356:Y357"/>
    <mergeCell ref="Z356:Z357"/>
    <mergeCell ref="AA356:AA357"/>
    <mergeCell ref="AB356:AB357"/>
    <mergeCell ref="N356:N357"/>
    <mergeCell ref="AW354:AW355"/>
    <mergeCell ref="H356:H357"/>
    <mergeCell ref="I356:I357"/>
    <mergeCell ref="J356:J357"/>
    <mergeCell ref="K356:K357"/>
    <mergeCell ref="L356:L357"/>
    <mergeCell ref="M356:M357"/>
    <mergeCell ref="AM354:AM355"/>
    <mergeCell ref="AN354:AN355"/>
    <mergeCell ref="AP354:AP355"/>
    <mergeCell ref="AQ354:AQ355"/>
    <mergeCell ref="AR354:AR355"/>
    <mergeCell ref="AS354:AS355"/>
    <mergeCell ref="AG354:AG355"/>
    <mergeCell ref="AH354:AH355"/>
    <mergeCell ref="AI354:AI355"/>
    <mergeCell ref="AJ354:AJ355"/>
    <mergeCell ref="AK354:AK355"/>
    <mergeCell ref="AL354:AL355"/>
    <mergeCell ref="AA354:AA355"/>
    <mergeCell ref="AB354:AB355"/>
    <mergeCell ref="AC354:AC355"/>
    <mergeCell ref="AD354:AD355"/>
    <mergeCell ref="AE354:AE355"/>
    <mergeCell ref="AV356:AV357"/>
    <mergeCell ref="AW356:AW357"/>
    <mergeCell ref="V354:V355"/>
    <mergeCell ref="W354:W355"/>
    <mergeCell ref="X354:X355"/>
    <mergeCell ref="Y354:Y355"/>
    <mergeCell ref="Z354:Z355"/>
    <mergeCell ref="L354:L355"/>
    <mergeCell ref="M354:M355"/>
    <mergeCell ref="N354:N355"/>
    <mergeCell ref="O354:O355"/>
    <mergeCell ref="Q354:Q355"/>
    <mergeCell ref="S354:S355"/>
    <mergeCell ref="AS349:AS350"/>
    <mergeCell ref="AT349:AT350"/>
    <mergeCell ref="AU349:AU350"/>
    <mergeCell ref="AV349:AV350"/>
    <mergeCell ref="O356:O357"/>
    <mergeCell ref="Q356:Q357"/>
    <mergeCell ref="S356:S357"/>
    <mergeCell ref="U356:U357"/>
    <mergeCell ref="V356:V357"/>
    <mergeCell ref="AT354:AT355"/>
    <mergeCell ref="AU354:AU355"/>
    <mergeCell ref="AV354:AV355"/>
    <mergeCell ref="AW349:AW350"/>
    <mergeCell ref="F354:F357"/>
    <mergeCell ref="H354:H355"/>
    <mergeCell ref="I354:I355"/>
    <mergeCell ref="J354:J355"/>
    <mergeCell ref="K354:K355"/>
    <mergeCell ref="AL349:AL350"/>
    <mergeCell ref="AM349:AM350"/>
    <mergeCell ref="AN349:AN350"/>
    <mergeCell ref="AP349:AP350"/>
    <mergeCell ref="AQ349:AQ350"/>
    <mergeCell ref="AR349:AR350"/>
    <mergeCell ref="AF349:AF350"/>
    <mergeCell ref="AG349:AG350"/>
    <mergeCell ref="AH349:AH350"/>
    <mergeCell ref="AI349:AI350"/>
    <mergeCell ref="AJ349:AJ350"/>
    <mergeCell ref="AK349:AK350"/>
    <mergeCell ref="Z349:Z350"/>
    <mergeCell ref="AA349:AA350"/>
    <mergeCell ref="AB349:AB350"/>
    <mergeCell ref="AC349:AC350"/>
    <mergeCell ref="AD349:AD350"/>
    <mergeCell ref="AE349:AE350"/>
    <mergeCell ref="T349:T350"/>
    <mergeCell ref="U349:U350"/>
    <mergeCell ref="V349:V350"/>
    <mergeCell ref="W349:W350"/>
    <mergeCell ref="X349:X350"/>
    <mergeCell ref="Y349:Y350"/>
    <mergeCell ref="AF354:AF355"/>
    <mergeCell ref="U354:U355"/>
    <mergeCell ref="AW347:AW348"/>
    <mergeCell ref="H349:H350"/>
    <mergeCell ref="I349:I350"/>
    <mergeCell ref="J349:J350"/>
    <mergeCell ref="K349:K350"/>
    <mergeCell ref="L349:L350"/>
    <mergeCell ref="M349:M350"/>
    <mergeCell ref="N349:N350"/>
    <mergeCell ref="O349:O350"/>
    <mergeCell ref="Q349:Q350"/>
    <mergeCell ref="AQ347:AQ348"/>
    <mergeCell ref="AR347:AR348"/>
    <mergeCell ref="AS347:AS348"/>
    <mergeCell ref="AT347:AT348"/>
    <mergeCell ref="AU347:AU348"/>
    <mergeCell ref="AV347:AV348"/>
    <mergeCell ref="AJ347:AJ348"/>
    <mergeCell ref="AK347:AK348"/>
    <mergeCell ref="AL347:AL348"/>
    <mergeCell ref="AM347:AM348"/>
    <mergeCell ref="AN347:AN348"/>
    <mergeCell ref="AP347:AP348"/>
    <mergeCell ref="AD347:AD348"/>
    <mergeCell ref="AE347:AE348"/>
    <mergeCell ref="AF347:AF348"/>
    <mergeCell ref="AG347:AG348"/>
    <mergeCell ref="AH347:AH348"/>
    <mergeCell ref="AI347:AI348"/>
    <mergeCell ref="X347:X348"/>
    <mergeCell ref="Y347:Y348"/>
    <mergeCell ref="Z347:Z348"/>
    <mergeCell ref="AA347:AA348"/>
    <mergeCell ref="AD325:AD326"/>
    <mergeCell ref="AE325:AE326"/>
    <mergeCell ref="AB347:AB348"/>
    <mergeCell ref="AC347:AC348"/>
    <mergeCell ref="O347:O348"/>
    <mergeCell ref="Q347:Q348"/>
    <mergeCell ref="T347:T348"/>
    <mergeCell ref="U347:U348"/>
    <mergeCell ref="V347:V348"/>
    <mergeCell ref="W347:W348"/>
    <mergeCell ref="I347:I348"/>
    <mergeCell ref="J347:J348"/>
    <mergeCell ref="K347:K348"/>
    <mergeCell ref="L347:L348"/>
    <mergeCell ref="M347:M348"/>
    <mergeCell ref="N347:N348"/>
    <mergeCell ref="F328:F330"/>
    <mergeCell ref="F332:F333"/>
    <mergeCell ref="F335:F340"/>
    <mergeCell ref="F342:F345"/>
    <mergeCell ref="F347:F352"/>
    <mergeCell ref="H347:H348"/>
    <mergeCell ref="U325:U326"/>
    <mergeCell ref="V325:V326"/>
    <mergeCell ref="W325:W326"/>
    <mergeCell ref="X325:X326"/>
    <mergeCell ref="Y325:Y326"/>
    <mergeCell ref="M325:M326"/>
    <mergeCell ref="N325:N326"/>
    <mergeCell ref="O325:O326"/>
    <mergeCell ref="Q325:Q326"/>
    <mergeCell ref="R325:R326"/>
    <mergeCell ref="S325:S326"/>
    <mergeCell ref="AM323:AM324"/>
    <mergeCell ref="AN323:AN324"/>
    <mergeCell ref="AU323:AU324"/>
    <mergeCell ref="AV323:AV324"/>
    <mergeCell ref="AW323:AW324"/>
    <mergeCell ref="AL325:AL326"/>
    <mergeCell ref="AM325:AM326"/>
    <mergeCell ref="AN325:AN326"/>
    <mergeCell ref="AU325:AU326"/>
    <mergeCell ref="AV325:AV326"/>
    <mergeCell ref="AW325:AW326"/>
    <mergeCell ref="AF325:AF326"/>
    <mergeCell ref="AG325:AG326"/>
    <mergeCell ref="AH325:AH326"/>
    <mergeCell ref="AI325:AI326"/>
    <mergeCell ref="AJ325:AJ326"/>
    <mergeCell ref="AK325:AK326"/>
    <mergeCell ref="Z325:Z326"/>
    <mergeCell ref="AA325:AA326"/>
    <mergeCell ref="AB325:AB326"/>
    <mergeCell ref="AC325:AC326"/>
    <mergeCell ref="AG323:AG324"/>
    <mergeCell ref="AH323:AH324"/>
    <mergeCell ref="AI323:AI324"/>
    <mergeCell ref="AJ323:AJ324"/>
    <mergeCell ref="AK323:AK324"/>
    <mergeCell ref="AL323:AL324"/>
    <mergeCell ref="AA323:AA324"/>
    <mergeCell ref="AB323:AB324"/>
    <mergeCell ref="AC323:AC324"/>
    <mergeCell ref="AD323:AD324"/>
    <mergeCell ref="AE323:AE324"/>
    <mergeCell ref="AF323:AF324"/>
    <mergeCell ref="U323:U324"/>
    <mergeCell ref="V323:V324"/>
    <mergeCell ref="W323:W324"/>
    <mergeCell ref="X323:X324"/>
    <mergeCell ref="Y323:Y324"/>
    <mergeCell ref="Z323:Z324"/>
    <mergeCell ref="AN321:AN322"/>
    <mergeCell ref="AU321:AU322"/>
    <mergeCell ref="AV321:AV322"/>
    <mergeCell ref="AW321:AW322"/>
    <mergeCell ref="H323:H324"/>
    <mergeCell ref="I323:I324"/>
    <mergeCell ref="J323:J324"/>
    <mergeCell ref="K323:K324"/>
    <mergeCell ref="L323:L324"/>
    <mergeCell ref="M323:M324"/>
    <mergeCell ref="AH321:AH322"/>
    <mergeCell ref="AI321:AI322"/>
    <mergeCell ref="AJ321:AJ322"/>
    <mergeCell ref="AK321:AK322"/>
    <mergeCell ref="AL321:AL322"/>
    <mergeCell ref="AM321:AM322"/>
    <mergeCell ref="AB321:AB322"/>
    <mergeCell ref="AC321:AC322"/>
    <mergeCell ref="AD321:AD322"/>
    <mergeCell ref="AE321:AE322"/>
    <mergeCell ref="AF321:AF322"/>
    <mergeCell ref="AG321:AG322"/>
    <mergeCell ref="V321:V322"/>
    <mergeCell ref="W321:W322"/>
    <mergeCell ref="O321:O322"/>
    <mergeCell ref="Q321:Q322"/>
    <mergeCell ref="R321:R322"/>
    <mergeCell ref="S321:S322"/>
    <mergeCell ref="AJ319:AJ320"/>
    <mergeCell ref="AK319:AK320"/>
    <mergeCell ref="AL319:AL320"/>
    <mergeCell ref="AM319:AM320"/>
    <mergeCell ref="AN319:AN320"/>
    <mergeCell ref="AC319:AC320"/>
    <mergeCell ref="AD319:AD320"/>
    <mergeCell ref="AE319:AE320"/>
    <mergeCell ref="AF319:AF320"/>
    <mergeCell ref="AG319:AG320"/>
    <mergeCell ref="AH319:AH320"/>
    <mergeCell ref="W319:W320"/>
    <mergeCell ref="X319:X320"/>
    <mergeCell ref="Y319:Y320"/>
    <mergeCell ref="Z319:Z320"/>
    <mergeCell ref="AA319:AA320"/>
    <mergeCell ref="AB319:AB320"/>
    <mergeCell ref="AV317:AV318"/>
    <mergeCell ref="AW317:AW318"/>
    <mergeCell ref="H319:H320"/>
    <mergeCell ref="I319:I320"/>
    <mergeCell ref="J319:J320"/>
    <mergeCell ref="K319:K320"/>
    <mergeCell ref="L319:L320"/>
    <mergeCell ref="M319:M320"/>
    <mergeCell ref="N319:N320"/>
    <mergeCell ref="O319:O320"/>
    <mergeCell ref="AJ317:AJ318"/>
    <mergeCell ref="AK317:AK318"/>
    <mergeCell ref="AL317:AL318"/>
    <mergeCell ref="AM317:AM318"/>
    <mergeCell ref="AN317:AN318"/>
    <mergeCell ref="AU317:AU318"/>
    <mergeCell ref="AD317:AD318"/>
    <mergeCell ref="AE317:AE318"/>
    <mergeCell ref="AF317:AF318"/>
    <mergeCell ref="AG317:AG318"/>
    <mergeCell ref="AH317:AH318"/>
    <mergeCell ref="AI317:AI318"/>
    <mergeCell ref="X317:X318"/>
    <mergeCell ref="Y317:Y318"/>
    <mergeCell ref="Z317:Z318"/>
    <mergeCell ref="AA317:AA318"/>
    <mergeCell ref="AB317:AB318"/>
    <mergeCell ref="AC317:AC318"/>
    <mergeCell ref="AU319:AU320"/>
    <mergeCell ref="AV319:AV320"/>
    <mergeCell ref="AW319:AW320"/>
    <mergeCell ref="AI319:AI320"/>
    <mergeCell ref="U317:U318"/>
    <mergeCell ref="V317:V318"/>
    <mergeCell ref="W317:W318"/>
    <mergeCell ref="K317:K318"/>
    <mergeCell ref="L317:L318"/>
    <mergeCell ref="M317:M318"/>
    <mergeCell ref="N317:N318"/>
    <mergeCell ref="O317:O318"/>
    <mergeCell ref="Q317:Q318"/>
    <mergeCell ref="F307:F309"/>
    <mergeCell ref="F311:F315"/>
    <mergeCell ref="F317:F326"/>
    <mergeCell ref="H317:H318"/>
    <mergeCell ref="I317:I318"/>
    <mergeCell ref="J317:J318"/>
    <mergeCell ref="S319:S320"/>
    <mergeCell ref="T319:T320"/>
    <mergeCell ref="U319:U320"/>
    <mergeCell ref="V319:V320"/>
    <mergeCell ref="T321:T322"/>
    <mergeCell ref="U321:U322"/>
    <mergeCell ref="H321:H322"/>
    <mergeCell ref="I321:I322"/>
    <mergeCell ref="J321:J322"/>
    <mergeCell ref="K321:K322"/>
    <mergeCell ref="L321:L322"/>
    <mergeCell ref="M321:M322"/>
    <mergeCell ref="N321:N322"/>
    <mergeCell ref="Q319:Q320"/>
    <mergeCell ref="R319:R320"/>
    <mergeCell ref="H325:H326"/>
    <mergeCell ref="I325:I326"/>
    <mergeCell ref="A261:A432"/>
    <mergeCell ref="F261:F264"/>
    <mergeCell ref="F266:F270"/>
    <mergeCell ref="F272:F275"/>
    <mergeCell ref="F277:F279"/>
    <mergeCell ref="F281:F284"/>
    <mergeCell ref="F286:F289"/>
    <mergeCell ref="F291:F295"/>
    <mergeCell ref="F297:F301"/>
    <mergeCell ref="F303:F305"/>
    <mergeCell ref="F238:F243"/>
    <mergeCell ref="T238:T243"/>
    <mergeCell ref="F245:F247"/>
    <mergeCell ref="F249:F251"/>
    <mergeCell ref="T249:T251"/>
    <mergeCell ref="F253:F259"/>
    <mergeCell ref="T253:T259"/>
    <mergeCell ref="R317:R318"/>
    <mergeCell ref="S317:S318"/>
    <mergeCell ref="T317:T318"/>
    <mergeCell ref="J325:J326"/>
    <mergeCell ref="K325:K326"/>
    <mergeCell ref="L325:L326"/>
    <mergeCell ref="N323:N324"/>
    <mergeCell ref="O323:O324"/>
    <mergeCell ref="Q323:Q324"/>
    <mergeCell ref="R323:R324"/>
    <mergeCell ref="S323:S324"/>
    <mergeCell ref="T323:T324"/>
    <mergeCell ref="T325:T326"/>
    <mergeCell ref="F359:F365"/>
    <mergeCell ref="T359:T365"/>
    <mergeCell ref="T216:T217"/>
    <mergeCell ref="F223:F225"/>
    <mergeCell ref="F227:F231"/>
    <mergeCell ref="T227:T231"/>
    <mergeCell ref="F233:F236"/>
    <mergeCell ref="T233:T236"/>
    <mergeCell ref="AJ214:AJ215"/>
    <mergeCell ref="AK214:AK215"/>
    <mergeCell ref="AL214:AL215"/>
    <mergeCell ref="AM214:AM215"/>
    <mergeCell ref="AN214:AN215"/>
    <mergeCell ref="AO214:AO215"/>
    <mergeCell ref="AD214:AD215"/>
    <mergeCell ref="AE214:AE215"/>
    <mergeCell ref="AF214:AF215"/>
    <mergeCell ref="AH214:AH215"/>
    <mergeCell ref="AI214:AI215"/>
    <mergeCell ref="X213:X215"/>
    <mergeCell ref="Y213:Y215"/>
    <mergeCell ref="Z213:Z215"/>
    <mergeCell ref="H213:H215"/>
    <mergeCell ref="I213:I215"/>
    <mergeCell ref="J213:J215"/>
    <mergeCell ref="K213:K215"/>
    <mergeCell ref="L213:L215"/>
    <mergeCell ref="AG213:AG215"/>
    <mergeCell ref="H210:H212"/>
    <mergeCell ref="I210:I212"/>
    <mergeCell ref="J210:J212"/>
    <mergeCell ref="K210:K212"/>
    <mergeCell ref="L210:L212"/>
    <mergeCell ref="M210:M212"/>
    <mergeCell ref="AJ208:AJ209"/>
    <mergeCell ref="AK208:AK209"/>
    <mergeCell ref="AL208:AL209"/>
    <mergeCell ref="M207:M209"/>
    <mergeCell ref="N207:N209"/>
    <mergeCell ref="O207:O209"/>
    <mergeCell ref="Q207:Q209"/>
    <mergeCell ref="AU213:AU215"/>
    <mergeCell ref="AV213:AV215"/>
    <mergeCell ref="T214:T215"/>
    <mergeCell ref="U214:U215"/>
    <mergeCell ref="AA214:AA215"/>
    <mergeCell ref="AB214:AB215"/>
    <mergeCell ref="AC214:AC215"/>
    <mergeCell ref="M213:M215"/>
    <mergeCell ref="N213:N215"/>
    <mergeCell ref="O213:O215"/>
    <mergeCell ref="Q213:Q215"/>
    <mergeCell ref="V213:V215"/>
    <mergeCell ref="W213:W215"/>
    <mergeCell ref="AK211:AK212"/>
    <mergeCell ref="AL211:AL212"/>
    <mergeCell ref="AM211:AM212"/>
    <mergeCell ref="AN211:AN212"/>
    <mergeCell ref="AO211:AO212"/>
    <mergeCell ref="AE211:AE212"/>
    <mergeCell ref="AU207:AU209"/>
    <mergeCell ref="AV207:AV209"/>
    <mergeCell ref="T208:T209"/>
    <mergeCell ref="U208:U209"/>
    <mergeCell ref="AA208:AA209"/>
    <mergeCell ref="AB208:AB209"/>
    <mergeCell ref="AC208:AC209"/>
    <mergeCell ref="V207:V209"/>
    <mergeCell ref="W207:W209"/>
    <mergeCell ref="AC211:AC212"/>
    <mergeCell ref="AD211:AD212"/>
    <mergeCell ref="N210:N212"/>
    <mergeCell ref="O210:O212"/>
    <mergeCell ref="Q210:Q212"/>
    <mergeCell ref="V210:V212"/>
    <mergeCell ref="W210:W212"/>
    <mergeCell ref="X210:X212"/>
    <mergeCell ref="AF211:AF212"/>
    <mergeCell ref="AH211:AH212"/>
    <mergeCell ref="AI211:AI212"/>
    <mergeCell ref="AJ211:AJ212"/>
    <mergeCell ref="Y210:Y212"/>
    <mergeCell ref="Z210:Z212"/>
    <mergeCell ref="AU210:AU212"/>
    <mergeCell ref="AV210:AV212"/>
    <mergeCell ref="T211:T212"/>
    <mergeCell ref="U211:U212"/>
    <mergeCell ref="AA211:AA212"/>
    <mergeCell ref="AB211:AB212"/>
    <mergeCell ref="AG210:AG212"/>
    <mergeCell ref="AL205:AL206"/>
    <mergeCell ref="AM205:AM206"/>
    <mergeCell ref="AN205:AN206"/>
    <mergeCell ref="AO205:AO206"/>
    <mergeCell ref="H207:H209"/>
    <mergeCell ref="I207:I209"/>
    <mergeCell ref="J207:J209"/>
    <mergeCell ref="K207:K209"/>
    <mergeCell ref="L207:L209"/>
    <mergeCell ref="AE205:AE206"/>
    <mergeCell ref="AF205:AF206"/>
    <mergeCell ref="AH205:AH206"/>
    <mergeCell ref="AI205:AI206"/>
    <mergeCell ref="AJ205:AJ206"/>
    <mergeCell ref="W204:W206"/>
    <mergeCell ref="X204:X206"/>
    <mergeCell ref="Y204:Y206"/>
    <mergeCell ref="Z204:Z206"/>
    <mergeCell ref="AM208:AM209"/>
    <mergeCell ref="AN208:AN209"/>
    <mergeCell ref="AO208:AO209"/>
    <mergeCell ref="AD208:AD209"/>
    <mergeCell ref="AE208:AE209"/>
    <mergeCell ref="AF208:AF209"/>
    <mergeCell ref="AH208:AH209"/>
    <mergeCell ref="AI208:AI209"/>
    <mergeCell ref="X207:X209"/>
    <mergeCell ref="Y207:Y209"/>
    <mergeCell ref="Z207:Z209"/>
    <mergeCell ref="AG204:AG206"/>
    <mergeCell ref="AG207:AG209"/>
    <mergeCell ref="AU204:AU206"/>
    <mergeCell ref="AV204:AV206"/>
    <mergeCell ref="AA205:AA206"/>
    <mergeCell ref="AB205:AB206"/>
    <mergeCell ref="AC205:AC206"/>
    <mergeCell ref="AD205:AD206"/>
    <mergeCell ref="L204:L206"/>
    <mergeCell ref="M204:M206"/>
    <mergeCell ref="N204:N206"/>
    <mergeCell ref="O204:O206"/>
    <mergeCell ref="Q204:Q206"/>
    <mergeCell ref="V204:V206"/>
    <mergeCell ref="T205:T206"/>
    <mergeCell ref="U205:U206"/>
    <mergeCell ref="AJ202:AJ203"/>
    <mergeCell ref="AK202:AK203"/>
    <mergeCell ref="AL202:AL203"/>
    <mergeCell ref="AM202:AM203"/>
    <mergeCell ref="AN202:AN203"/>
    <mergeCell ref="AO202:AO203"/>
    <mergeCell ref="AD202:AD203"/>
    <mergeCell ref="AE202:AE203"/>
    <mergeCell ref="AF202:AF203"/>
    <mergeCell ref="AH202:AH203"/>
    <mergeCell ref="AI202:AI203"/>
    <mergeCell ref="X201:X203"/>
    <mergeCell ref="Y201:Y203"/>
    <mergeCell ref="Z201:Z203"/>
    <mergeCell ref="AU201:AU203"/>
    <mergeCell ref="AV201:AV203"/>
    <mergeCell ref="T202:T203"/>
    <mergeCell ref="AK205:AK206"/>
    <mergeCell ref="V201:V203"/>
    <mergeCell ref="W201:W203"/>
    <mergeCell ref="AK199:AK200"/>
    <mergeCell ref="AL199:AL200"/>
    <mergeCell ref="AM199:AM200"/>
    <mergeCell ref="AN199:AN200"/>
    <mergeCell ref="AO199:AO200"/>
    <mergeCell ref="H201:H203"/>
    <mergeCell ref="I201:I203"/>
    <mergeCell ref="J201:J203"/>
    <mergeCell ref="K201:K203"/>
    <mergeCell ref="L201:L203"/>
    <mergeCell ref="AE199:AE200"/>
    <mergeCell ref="AF199:AF200"/>
    <mergeCell ref="AH199:AH200"/>
    <mergeCell ref="AI199:AI200"/>
    <mergeCell ref="AJ199:AJ200"/>
    <mergeCell ref="W198:W200"/>
    <mergeCell ref="X198:X200"/>
    <mergeCell ref="Y198:Y200"/>
    <mergeCell ref="Z198:Z200"/>
    <mergeCell ref="AG198:AG200"/>
    <mergeCell ref="AG201:AG203"/>
    <mergeCell ref="AU198:AU200"/>
    <mergeCell ref="AV198:AV200"/>
    <mergeCell ref="AA199:AA200"/>
    <mergeCell ref="AB199:AB200"/>
    <mergeCell ref="AC199:AC200"/>
    <mergeCell ref="AD199:AD200"/>
    <mergeCell ref="L198:L200"/>
    <mergeCell ref="M198:M200"/>
    <mergeCell ref="N198:N200"/>
    <mergeCell ref="O198:O200"/>
    <mergeCell ref="Q198:Q200"/>
    <mergeCell ref="V198:V200"/>
    <mergeCell ref="T199:T200"/>
    <mergeCell ref="U199:U200"/>
    <mergeCell ref="F192:F196"/>
    <mergeCell ref="F198:F217"/>
    <mergeCell ref="H198:H200"/>
    <mergeCell ref="I198:I200"/>
    <mergeCell ref="J198:J200"/>
    <mergeCell ref="K198:K200"/>
    <mergeCell ref="H204:H206"/>
    <mergeCell ref="I204:I206"/>
    <mergeCell ref="J204:J206"/>
    <mergeCell ref="K204:K206"/>
    <mergeCell ref="U202:U203"/>
    <mergeCell ref="AA202:AA203"/>
    <mergeCell ref="AB202:AB203"/>
    <mergeCell ref="AC202:AC203"/>
    <mergeCell ref="M201:M203"/>
    <mergeCell ref="N201:N203"/>
    <mergeCell ref="O201:O203"/>
    <mergeCell ref="Q201:Q203"/>
    <mergeCell ref="F173:F174"/>
    <mergeCell ref="F176:F178"/>
    <mergeCell ref="T176:T178"/>
    <mergeCell ref="F180:F181"/>
    <mergeCell ref="T180:T181"/>
    <mergeCell ref="F183:F190"/>
    <mergeCell ref="T183:T186"/>
    <mergeCell ref="AG161:AG162"/>
    <mergeCell ref="AH161:AH162"/>
    <mergeCell ref="AI161:AI162"/>
    <mergeCell ref="AJ161:AJ162"/>
    <mergeCell ref="AO161:AO162"/>
    <mergeCell ref="F165:F171"/>
    <mergeCell ref="T165:T171"/>
    <mergeCell ref="AB161:AB162"/>
    <mergeCell ref="AC161:AC162"/>
    <mergeCell ref="AD161:AD162"/>
    <mergeCell ref="AE161:AE162"/>
    <mergeCell ref="AF161:AF162"/>
    <mergeCell ref="U161:U162"/>
    <mergeCell ref="AK160:AK162"/>
    <mergeCell ref="AL160:AL162"/>
    <mergeCell ref="AM160:AM162"/>
    <mergeCell ref="AN160:AN162"/>
    <mergeCell ref="AU160:AU162"/>
    <mergeCell ref="AV160:AV162"/>
    <mergeCell ref="AO158:AO159"/>
    <mergeCell ref="H160:H162"/>
    <mergeCell ref="I160:I162"/>
    <mergeCell ref="J160:J162"/>
    <mergeCell ref="K160:K162"/>
    <mergeCell ref="L160:L162"/>
    <mergeCell ref="M160:M162"/>
    <mergeCell ref="N160:N162"/>
    <mergeCell ref="O160:O162"/>
    <mergeCell ref="Q160:Q162"/>
    <mergeCell ref="AE158:AE159"/>
    <mergeCell ref="AF158:AF159"/>
    <mergeCell ref="AG158:AG159"/>
    <mergeCell ref="AH158:AH159"/>
    <mergeCell ref="AI158:AI159"/>
    <mergeCell ref="AJ158:AJ159"/>
    <mergeCell ref="AM157:AM159"/>
    <mergeCell ref="AN157:AN159"/>
    <mergeCell ref="AU157:AU159"/>
    <mergeCell ref="AV157:AV159"/>
    <mergeCell ref="U158:U159"/>
    <mergeCell ref="M157:M159"/>
    <mergeCell ref="N157:N159"/>
    <mergeCell ref="O157:O159"/>
    <mergeCell ref="Q157:Q159"/>
    <mergeCell ref="AK157:AK159"/>
    <mergeCell ref="AL157:AL159"/>
    <mergeCell ref="AB158:AB159"/>
    <mergeCell ref="AC158:AC159"/>
    <mergeCell ref="AD158:AD159"/>
    <mergeCell ref="AU151:AU153"/>
    <mergeCell ref="AV151:AV153"/>
    <mergeCell ref="L151:L153"/>
    <mergeCell ref="M151:M153"/>
    <mergeCell ref="N151:N153"/>
    <mergeCell ref="O151:O153"/>
    <mergeCell ref="Q151:Q153"/>
    <mergeCell ref="T151:T163"/>
    <mergeCell ref="M154:M156"/>
    <mergeCell ref="N154:N156"/>
    <mergeCell ref="AG155:AG156"/>
    <mergeCell ref="AH155:AH156"/>
    <mergeCell ref="AI155:AI156"/>
    <mergeCell ref="AJ155:AJ156"/>
    <mergeCell ref="AO155:AO156"/>
    <mergeCell ref="H157:H159"/>
    <mergeCell ref="I157:I159"/>
    <mergeCell ref="J157:J159"/>
    <mergeCell ref="K157:K159"/>
    <mergeCell ref="L157:L159"/>
    <mergeCell ref="AB155:AB156"/>
    <mergeCell ref="AC155:AC156"/>
    <mergeCell ref="AD155:AD156"/>
    <mergeCell ref="AE155:AE156"/>
    <mergeCell ref="AF155:AF156"/>
    <mergeCell ref="U155:U156"/>
    <mergeCell ref="AK154:AK156"/>
    <mergeCell ref="AL154:AL156"/>
    <mergeCell ref="AM154:AM156"/>
    <mergeCell ref="AN154:AN156"/>
    <mergeCell ref="O154:O156"/>
    <mergeCell ref="Q154:Q156"/>
    <mergeCell ref="AI152:AI153"/>
    <mergeCell ref="AJ152:AJ153"/>
    <mergeCell ref="AO152:AO153"/>
    <mergeCell ref="H154:H156"/>
    <mergeCell ref="I154:I156"/>
    <mergeCell ref="J154:J156"/>
    <mergeCell ref="K154:K156"/>
    <mergeCell ref="L154:L156"/>
    <mergeCell ref="AB152:AB153"/>
    <mergeCell ref="AC152:AC153"/>
    <mergeCell ref="AD152:AD153"/>
    <mergeCell ref="AE152:AE153"/>
    <mergeCell ref="AF152:AF153"/>
    <mergeCell ref="U152:U153"/>
    <mergeCell ref="AK151:AK153"/>
    <mergeCell ref="AL151:AL153"/>
    <mergeCell ref="AM151:AM153"/>
    <mergeCell ref="AN151:AN153"/>
    <mergeCell ref="V151:V153"/>
    <mergeCell ref="V154:V156"/>
    <mergeCell ref="AN148:AN149"/>
    <mergeCell ref="AU148:AU149"/>
    <mergeCell ref="AV148:AV149"/>
    <mergeCell ref="AW148:AW149"/>
    <mergeCell ref="A151:A191"/>
    <mergeCell ref="F151:F163"/>
    <mergeCell ref="H151:H153"/>
    <mergeCell ref="I151:I153"/>
    <mergeCell ref="J151:J153"/>
    <mergeCell ref="K151:K153"/>
    <mergeCell ref="AA148:AA149"/>
    <mergeCell ref="AC148:AC149"/>
    <mergeCell ref="AI148:AI149"/>
    <mergeCell ref="AK148:AK149"/>
    <mergeCell ref="AL148:AL149"/>
    <mergeCell ref="AM148:AM149"/>
    <mergeCell ref="M148:M149"/>
    <mergeCell ref="N148:N149"/>
    <mergeCell ref="O148:O149"/>
    <mergeCell ref="Q148:Q149"/>
    <mergeCell ref="T148:T149"/>
    <mergeCell ref="U148:U149"/>
    <mergeCell ref="F148:F149"/>
    <mergeCell ref="H148:H149"/>
    <mergeCell ref="I148:I149"/>
    <mergeCell ref="J148:J149"/>
    <mergeCell ref="K148:K149"/>
    <mergeCell ref="L148:L149"/>
    <mergeCell ref="AU154:AU156"/>
    <mergeCell ref="AV154:AV156"/>
    <mergeCell ref="AG152:AG153"/>
    <mergeCell ref="AH152:AH153"/>
    <mergeCell ref="AN136:AN137"/>
    <mergeCell ref="AU136:AU137"/>
    <mergeCell ref="AV136:AV137"/>
    <mergeCell ref="F139:F140"/>
    <mergeCell ref="AF136:AF137"/>
    <mergeCell ref="AG136:AG137"/>
    <mergeCell ref="AH136:AH137"/>
    <mergeCell ref="AI136:AI137"/>
    <mergeCell ref="AJ136:AJ137"/>
    <mergeCell ref="AK136:AK137"/>
    <mergeCell ref="Z136:Z137"/>
    <mergeCell ref="AA136:AA137"/>
    <mergeCell ref="AB136:AB137"/>
    <mergeCell ref="AC136:AC137"/>
    <mergeCell ref="AD136:AD137"/>
    <mergeCell ref="AE136:AE137"/>
    <mergeCell ref="T136:T137"/>
    <mergeCell ref="U136:U137"/>
    <mergeCell ref="V136:V137"/>
    <mergeCell ref="W136:W137"/>
    <mergeCell ref="X136:X137"/>
    <mergeCell ref="Y136:Y137"/>
    <mergeCell ref="M136:M137"/>
    <mergeCell ref="N136:N137"/>
    <mergeCell ref="O136:O137"/>
    <mergeCell ref="Q136:Q137"/>
    <mergeCell ref="R136:R137"/>
    <mergeCell ref="S136:S137"/>
    <mergeCell ref="AU133:AU134"/>
    <mergeCell ref="AV133:AV134"/>
    <mergeCell ref="F136:F137"/>
    <mergeCell ref="H136:H137"/>
    <mergeCell ref="I136:I137"/>
    <mergeCell ref="J136:J137"/>
    <mergeCell ref="K136:K137"/>
    <mergeCell ref="L136:L137"/>
    <mergeCell ref="AG133:AG134"/>
    <mergeCell ref="AH133:AH134"/>
    <mergeCell ref="AI133:AI134"/>
    <mergeCell ref="AJ133:AJ134"/>
    <mergeCell ref="AK133:AK134"/>
    <mergeCell ref="AL133:AL134"/>
    <mergeCell ref="AA133:AA134"/>
    <mergeCell ref="AB133:AB134"/>
    <mergeCell ref="AC133:AC134"/>
    <mergeCell ref="AD133:AD134"/>
    <mergeCell ref="AE133:AE134"/>
    <mergeCell ref="AF133:AF134"/>
    <mergeCell ref="U133:U134"/>
    <mergeCell ref="V133:V134"/>
    <mergeCell ref="W133:W134"/>
    <mergeCell ref="X133:X134"/>
    <mergeCell ref="Y133:Y134"/>
    <mergeCell ref="Z133:Z134"/>
    <mergeCell ref="N133:N134"/>
    <mergeCell ref="O133:O134"/>
    <mergeCell ref="Q133:Q134"/>
    <mergeCell ref="R133:R134"/>
    <mergeCell ref="AL136:AL137"/>
    <mergeCell ref="AM136:AM137"/>
    <mergeCell ref="S133:S134"/>
    <mergeCell ref="T133:T134"/>
    <mergeCell ref="AN130:AN131"/>
    <mergeCell ref="AU130:AU131"/>
    <mergeCell ref="AV130:AV131"/>
    <mergeCell ref="F133:F134"/>
    <mergeCell ref="H133:H134"/>
    <mergeCell ref="I133:I134"/>
    <mergeCell ref="J133:J134"/>
    <mergeCell ref="K133:K134"/>
    <mergeCell ref="L133:L134"/>
    <mergeCell ref="M133:M134"/>
    <mergeCell ref="AH130:AH131"/>
    <mergeCell ref="AI130:AI131"/>
    <mergeCell ref="AJ130:AJ131"/>
    <mergeCell ref="AK130:AK131"/>
    <mergeCell ref="AL130:AL131"/>
    <mergeCell ref="AM130:AM131"/>
    <mergeCell ref="AB130:AB131"/>
    <mergeCell ref="AC130:AC131"/>
    <mergeCell ref="AD130:AD131"/>
    <mergeCell ref="AE130:AE131"/>
    <mergeCell ref="AF130:AF131"/>
    <mergeCell ref="AG130:AG131"/>
    <mergeCell ref="V130:V131"/>
    <mergeCell ref="W130:W131"/>
    <mergeCell ref="X130:X131"/>
    <mergeCell ref="Y130:Y131"/>
    <mergeCell ref="Z130:Z131"/>
    <mergeCell ref="AA130:AA131"/>
    <mergeCell ref="AM133:AM134"/>
    <mergeCell ref="AN133:AN134"/>
    <mergeCell ref="AU112:AU113"/>
    <mergeCell ref="O130:O131"/>
    <mergeCell ref="Q130:Q131"/>
    <mergeCell ref="R130:R131"/>
    <mergeCell ref="S130:S131"/>
    <mergeCell ref="T130:T131"/>
    <mergeCell ref="U130:U131"/>
    <mergeCell ref="AW116:AW117"/>
    <mergeCell ref="F120:F122"/>
    <mergeCell ref="F130:F131"/>
    <mergeCell ref="H130:H131"/>
    <mergeCell ref="I130:I131"/>
    <mergeCell ref="J130:J131"/>
    <mergeCell ref="K130:K131"/>
    <mergeCell ref="L130:L131"/>
    <mergeCell ref="M130:M131"/>
    <mergeCell ref="N130:N131"/>
    <mergeCell ref="AK116:AK117"/>
    <mergeCell ref="AL116:AL117"/>
    <mergeCell ref="AM116:AM117"/>
    <mergeCell ref="AN116:AN117"/>
    <mergeCell ref="AU116:AU117"/>
    <mergeCell ref="AV116:AV117"/>
    <mergeCell ref="AE116:AE117"/>
    <mergeCell ref="AF116:AF117"/>
    <mergeCell ref="AG116:AG117"/>
    <mergeCell ref="AH116:AH117"/>
    <mergeCell ref="AI116:AI117"/>
    <mergeCell ref="AJ116:AJ117"/>
    <mergeCell ref="Y116:Y117"/>
    <mergeCell ref="Z116:Z117"/>
    <mergeCell ref="AA116:AA117"/>
    <mergeCell ref="H112:H113"/>
    <mergeCell ref="AC116:AC117"/>
    <mergeCell ref="AD116:AD117"/>
    <mergeCell ref="S116:S117"/>
    <mergeCell ref="T116:T117"/>
    <mergeCell ref="U116:U117"/>
    <mergeCell ref="V116:V117"/>
    <mergeCell ref="W116:W117"/>
    <mergeCell ref="X116:X117"/>
    <mergeCell ref="L116:L117"/>
    <mergeCell ref="M116:M117"/>
    <mergeCell ref="N116:N117"/>
    <mergeCell ref="O116:O117"/>
    <mergeCell ref="Q116:Q117"/>
    <mergeCell ref="R116:R117"/>
    <mergeCell ref="AM112:AM113"/>
    <mergeCell ref="AN112:AN113"/>
    <mergeCell ref="AB116:AB117"/>
    <mergeCell ref="V80:V81"/>
    <mergeCell ref="AV112:AV113"/>
    <mergeCell ref="AW112:AW113"/>
    <mergeCell ref="F116:F118"/>
    <mergeCell ref="H116:H117"/>
    <mergeCell ref="I116:I117"/>
    <mergeCell ref="J116:J117"/>
    <mergeCell ref="K116:K117"/>
    <mergeCell ref="AG112:AG113"/>
    <mergeCell ref="AH112:AH113"/>
    <mergeCell ref="AI112:AI113"/>
    <mergeCell ref="AJ112:AJ113"/>
    <mergeCell ref="AK112:AK113"/>
    <mergeCell ref="AL112:AL113"/>
    <mergeCell ref="AA112:AA113"/>
    <mergeCell ref="AB112:AB113"/>
    <mergeCell ref="AC112:AC113"/>
    <mergeCell ref="AD112:AD113"/>
    <mergeCell ref="AE112:AE113"/>
    <mergeCell ref="AF112:AF113"/>
    <mergeCell ref="U112:U113"/>
    <mergeCell ref="V112:V113"/>
    <mergeCell ref="W112:W113"/>
    <mergeCell ref="X112:X113"/>
    <mergeCell ref="Y112:Y113"/>
    <mergeCell ref="Z112:Z113"/>
    <mergeCell ref="N112:N113"/>
    <mergeCell ref="O112:O113"/>
    <mergeCell ref="Q112:Q113"/>
    <mergeCell ref="R112:R113"/>
    <mergeCell ref="S112:S113"/>
    <mergeCell ref="T112:T113"/>
    <mergeCell ref="L71:L72"/>
    <mergeCell ref="I112:I113"/>
    <mergeCell ref="J112:J113"/>
    <mergeCell ref="K112:K113"/>
    <mergeCell ref="L112:L113"/>
    <mergeCell ref="M112:M113"/>
    <mergeCell ref="F90:F91"/>
    <mergeCell ref="F97:F98"/>
    <mergeCell ref="F100:F102"/>
    <mergeCell ref="F104:F105"/>
    <mergeCell ref="F107:F108"/>
    <mergeCell ref="F112:F114"/>
    <mergeCell ref="AM80:AM81"/>
    <mergeCell ref="AN80:AN81"/>
    <mergeCell ref="AU80:AU81"/>
    <mergeCell ref="AV80:AV81"/>
    <mergeCell ref="AW80:AW81"/>
    <mergeCell ref="F87:F88"/>
    <mergeCell ref="AF80:AF81"/>
    <mergeCell ref="AG80:AG81"/>
    <mergeCell ref="AH80:AH81"/>
    <mergeCell ref="AI80:AI81"/>
    <mergeCell ref="AK80:AK81"/>
    <mergeCell ref="AL80:AL81"/>
    <mergeCell ref="Z80:Z81"/>
    <mergeCell ref="AA80:AA81"/>
    <mergeCell ref="AB80:AB81"/>
    <mergeCell ref="AC80:AC81"/>
    <mergeCell ref="AD80:AD81"/>
    <mergeCell ref="AE80:AE81"/>
    <mergeCell ref="T80:T81"/>
    <mergeCell ref="U80:U81"/>
    <mergeCell ref="T71:T72"/>
    <mergeCell ref="U71:U72"/>
    <mergeCell ref="V71:V72"/>
    <mergeCell ref="W71:W72"/>
    <mergeCell ref="X71:X72"/>
    <mergeCell ref="Y71:Y72"/>
    <mergeCell ref="W80:W81"/>
    <mergeCell ref="X80:X81"/>
    <mergeCell ref="Y80:Y81"/>
    <mergeCell ref="M80:M81"/>
    <mergeCell ref="N80:N81"/>
    <mergeCell ref="O80:O81"/>
    <mergeCell ref="Q80:Q81"/>
    <mergeCell ref="R80:R81"/>
    <mergeCell ref="S80:S81"/>
    <mergeCell ref="F80:F81"/>
    <mergeCell ref="H80:H81"/>
    <mergeCell ref="I80:I81"/>
    <mergeCell ref="J80:J81"/>
    <mergeCell ref="K80:K81"/>
    <mergeCell ref="L80:L81"/>
    <mergeCell ref="M71:M72"/>
    <mergeCell ref="N71:N72"/>
    <mergeCell ref="O71:O72"/>
    <mergeCell ref="Q71:Q72"/>
    <mergeCell ref="R71:R72"/>
    <mergeCell ref="S71:S72"/>
    <mergeCell ref="F71:F72"/>
    <mergeCell ref="H71:H72"/>
    <mergeCell ref="I71:I72"/>
    <mergeCell ref="J71:J72"/>
    <mergeCell ref="K71:K72"/>
    <mergeCell ref="AN71:AN72"/>
    <mergeCell ref="AU71:AU72"/>
    <mergeCell ref="AV71:AV72"/>
    <mergeCell ref="AW71:AW72"/>
    <mergeCell ref="AF71:AF72"/>
    <mergeCell ref="AG71:AG72"/>
    <mergeCell ref="AH71:AH72"/>
    <mergeCell ref="AI71:AI72"/>
    <mergeCell ref="AJ71:AJ72"/>
    <mergeCell ref="AK71:AK72"/>
    <mergeCell ref="Z71:Z72"/>
    <mergeCell ref="AA71:AA72"/>
    <mergeCell ref="AB71:AB72"/>
    <mergeCell ref="AC71:AC72"/>
    <mergeCell ref="AD71:AD72"/>
    <mergeCell ref="AE71:AE72"/>
    <mergeCell ref="AL71:AL72"/>
    <mergeCell ref="AM71:AM72"/>
    <mergeCell ref="AL54:AL55"/>
    <mergeCell ref="AM54:AM55"/>
    <mergeCell ref="AN54:AN55"/>
    <mergeCell ref="AU54:AU55"/>
    <mergeCell ref="AV54:AV55"/>
    <mergeCell ref="AW54:AW55"/>
    <mergeCell ref="AF54:AF55"/>
    <mergeCell ref="AG54:AG55"/>
    <mergeCell ref="AH54:AH55"/>
    <mergeCell ref="AI54:AI55"/>
    <mergeCell ref="AJ54:AJ55"/>
    <mergeCell ref="AK54:AK55"/>
    <mergeCell ref="Z54:Z55"/>
    <mergeCell ref="AA54:AA55"/>
    <mergeCell ref="AB54:AB55"/>
    <mergeCell ref="AC54:AC55"/>
    <mergeCell ref="AD54:AD55"/>
    <mergeCell ref="AE54:AE55"/>
    <mergeCell ref="T54:T55"/>
    <mergeCell ref="U54:U55"/>
    <mergeCell ref="V54:V55"/>
    <mergeCell ref="W54:W55"/>
    <mergeCell ref="X54:X55"/>
    <mergeCell ref="Y54:Y55"/>
    <mergeCell ref="M54:M55"/>
    <mergeCell ref="N54:N55"/>
    <mergeCell ref="O54:O55"/>
    <mergeCell ref="Q54:Q55"/>
    <mergeCell ref="R54:R55"/>
    <mergeCell ref="S54:S55"/>
    <mergeCell ref="AN49:AN50"/>
    <mergeCell ref="AU49:AU50"/>
    <mergeCell ref="AV49:AV50"/>
    <mergeCell ref="AW49:AW50"/>
    <mergeCell ref="F54:F55"/>
    <mergeCell ref="H54:H55"/>
    <mergeCell ref="I54:I55"/>
    <mergeCell ref="J54:J55"/>
    <mergeCell ref="K54:K55"/>
    <mergeCell ref="L54:L55"/>
    <mergeCell ref="AH49:AH50"/>
    <mergeCell ref="AI49:AI50"/>
    <mergeCell ref="AJ49:AJ50"/>
    <mergeCell ref="AK49:AK50"/>
    <mergeCell ref="AL49:AL50"/>
    <mergeCell ref="AM49:AM50"/>
    <mergeCell ref="AB49:AB50"/>
    <mergeCell ref="AC49:AC50"/>
    <mergeCell ref="AD49:AD50"/>
    <mergeCell ref="AE49:AE50"/>
    <mergeCell ref="AF49:AF50"/>
    <mergeCell ref="AG49:AG50"/>
    <mergeCell ref="V49:V50"/>
    <mergeCell ref="W49:W50"/>
    <mergeCell ref="X49:X50"/>
    <mergeCell ref="Y49:Y50"/>
    <mergeCell ref="Z49:Z50"/>
    <mergeCell ref="AA49:AA50"/>
    <mergeCell ref="O49:O50"/>
    <mergeCell ref="Q49:Q50"/>
    <mergeCell ref="R49:R50"/>
    <mergeCell ref="S49:S50"/>
    <mergeCell ref="T49:T50"/>
    <mergeCell ref="U49:U50"/>
    <mergeCell ref="I49:I50"/>
    <mergeCell ref="J49:J50"/>
    <mergeCell ref="K49:K50"/>
    <mergeCell ref="L49:L50"/>
    <mergeCell ref="M49:M50"/>
    <mergeCell ref="N49:N50"/>
    <mergeCell ref="U1:AV1"/>
    <mergeCell ref="F3:F6"/>
    <mergeCell ref="H3:H4"/>
    <mergeCell ref="I3:I4"/>
    <mergeCell ref="J3:J4"/>
    <mergeCell ref="K3:K4"/>
    <mergeCell ref="L3:L4"/>
    <mergeCell ref="M3:M4"/>
    <mergeCell ref="N3:N4"/>
    <mergeCell ref="O3:O4"/>
    <mergeCell ref="F17:F18"/>
    <mergeCell ref="F26:F27"/>
    <mergeCell ref="F35:F36"/>
    <mergeCell ref="F42:F43"/>
    <mergeCell ref="F49:F50"/>
    <mergeCell ref="H49:H50"/>
    <mergeCell ref="AK5:AK6"/>
    <mergeCell ref="AL5:AL6"/>
    <mergeCell ref="AM5:AM6"/>
    <mergeCell ref="AN5:AN6"/>
    <mergeCell ref="AU5:AU6"/>
    <mergeCell ref="AV5:AV6"/>
    <mergeCell ref="Q3:Q4"/>
    <mergeCell ref="H5:H6"/>
    <mergeCell ref="I5:I6"/>
    <mergeCell ref="J5:J6"/>
    <mergeCell ref="K5:K6"/>
    <mergeCell ref="L5:L6"/>
    <mergeCell ref="M5:M6"/>
    <mergeCell ref="N5:N6"/>
    <mergeCell ref="O5:O6"/>
    <mergeCell ref="Q5:Q6"/>
  </mergeCells>
  <conditionalFormatting sqref="U1:Z1">
    <cfRule type="colorScale" priority="1">
      <colorScale>
        <cfvo type="min"/>
        <cfvo type="percentile" val="50"/>
        <cfvo type="max"/>
        <color rgb="FFF8696B"/>
        <color rgb="FFFFEB84"/>
        <color rgb="FF63BE7B"/>
      </colorScale>
    </cfRule>
  </conditionalFormatting>
  <dataValidations count="6">
    <dataValidation type="list" allowBlank="1" showInputMessage="1" showErrorMessage="1" sqref="G179 G508:G554 G191:G197 G222:G226 G302:G306 G171:G175 G639:G691 G228 G230 G244:G248 G232 G235:G237 G259:G260 G252 G265:G266 G271:G276 G298:G299 G343 G362:G363 G365:G373 G280:G285 G290 G296 G181:G182 G327 G331 G334 G341 G346 G353 G358 G378 G485 G493 G310:G316 G501:G506 G596:G601 G585:G586 G604:G609 G632 G635 G612:G621 G628:G629 G218 G558:G575 G382:G478" xr:uid="{8FD7DD4A-1D87-48FC-8C8E-C31469805200}">
      <formula1>$A$26:$A$46</formula1>
    </dataValidation>
    <dataValidation type="list" allowBlank="1" showInputMessage="1" showErrorMessage="1" sqref="R179 R388:R442 R558:R575 AN537:AN546 AN535 R547:R554 R629 R621 R635 R639:R643 R632 R613 R609 R607 R605 R597 R586 R601 R599 R448:R478 R501:R506 R493 R485 R645:R691 R244:R248 R383:R385 R378 R358 R353 R346 R341 R334 R331 R327 R265 R296 R290 R280:R285 R363:R373 R271:R276 R181:R182 R252 R260 R237 R232 R222:R226 R191:R197 R172:R175 R446 R218 R302:R306 R310:R316 R444 R508:R534" xr:uid="{CCA0D547-37EE-4F0F-BBB1-9A611A4F65EB}">
      <formula1>$A$49:$A$63</formula1>
    </dataValidation>
    <dataValidation type="list" allowBlank="1" showInputMessage="1" showErrorMessage="1" sqref="AL179 AL390:AL478 AL508:AL534 AL181:AL182 AL218 AL172:AL175 AL228 AL230 AL244:AL248 AL222:AL226 AL232 AL235:AL237 AL260 AL252 AL265:AL266 AL271:AL276 AL366:AL373 AL280:AL285 AL290 AL296 AL302:AL306 AL327 AL331 AL334 AL341 AL346 AL353 AL358 AL378 AL387:AL388 AL383:AL385 AL485 AL493 AL310:AL316 AL501:AL506 AL574:AL575 AL586 AL597:AL600 AL602:AL608 AL632 AL635 AL610:AL621 AL629 AL639:AL691 BJ535:BJ546 AL547:AL572" xr:uid="{3994F048-28A2-4D6F-9FFC-3BB8804F33C8}">
      <formula1>$A$65:$A$66</formula1>
    </dataValidation>
    <dataValidation type="list" allowBlank="1" showInputMessage="1" showErrorMessage="1" sqref="AU179:AU182 AU383:AU478 AU547:AU575 BS535:BS546 AU639:AU691 AU629 AU635 AU632 AU597:AU621 AU586 AU501:AU506 AU493 AU485 AU378 AU358 AU353 AU346 AU341 AU334 AU331 AU327 AU302:AU306 AU296 AU290 AU280:AU285 AU365:AU373 AU271:AU276 AU265:AU266 AU252 AU260 AU235:AU237 AU232 AU222:AU226 AU244:AU248 AU230 AU228 AU172:AU175 AU191:AU197 AU218 AU310:AU316 AU508:AU534" xr:uid="{34CE5C03-0232-4D11-BCC3-2473002D7D3A}">
      <formula1>$A$91:$A$99</formula1>
    </dataValidation>
    <dataValidation type="list" allowBlank="1" showInputMessage="1" showErrorMessage="1" sqref="S271:S276 S562 S558 S549:S554 S547 S534 S531 S358 S353 S310:S316 S415:S417 S493 S485 S394:S411 S453:S463 S265:S266 S280:S285 S472 S290 S296 S501:S506 S383 S327 S331 S334 S341 S346 S366:S373 S378 S302:S306 S468:S470 S474:S478" xr:uid="{6F4EB4BF-926C-4295-A493-EBAC369FF05D}">
      <formula1>$A$49:$A$62</formula1>
    </dataValidation>
    <dataValidation type="list" allowBlank="1" showInputMessage="1" showErrorMessage="1" sqref="AO219 F61 F78 F110 F67:G67 F65:G65 F35 F54 F71 F87 F148 F29 F24 F22 F20 F49 F47 F59 F63 F33 F31 F107 F45 F42 F104 F85 F80 F95 F90 F97 F100 F112 F116 F120 F124 F126 F128 F130 F133 F136 F142 F144 F146 G60 G62 G64 G66 G79 G111 F83 G84 F10 F8 AL253:AL259 F3 F26 F249 F238 F233 F253 F576 R577 R603 R582 R579 G576:G584 AL576:AL585 AU576:AU585 F587 R588 R593 R590 G587:G595 AL587:AL596 AU587:AU596 G602:G603 R611 G610:G611 F151 R180 F180:G180 AL180 F183 F165 F176 AL176:AL178 AU154:AU163 AL154:AL163 AU165:AU171 AL165:AL171 AU176:AU178 R176:R178 G165:G170 R184 R186 R189 AL198:AL199 AL201:AL214 G176:G178 F198 AL220:AL221 AU220:AU221 R220:R221 AU231 AU227 G231 AL227 F227:G227 G229 AU229 AL229 AL231 G233:G234 AL233:AL234 AU233:AU234 G249:G251 AU253:AU259 R227:R231 R233:R236 G238:G243 AL238:AL243 AU238:AU243 AU249:AU251 R249:R251 AL249:AL251 G253:G258 F17 F622 AU622:AU628 AL622:AL628 G622:G627 G634 F139 R238:R243 AU183:AU190 AL183:AL190 G183:G190 G198:G217 AU198:AU217 R198:R217 AL216:AL217 AL79:AL109 G114:G115 R79:R109 G86:G109 AU261:AU264 AU267:AU270 AL261:AL264 AL267:AL270 F261 AL347:AL352 R261:R264 G495:G500 AU307:AU309 R307:R309 F297:G297 AL307:AL309 F486:G486 F494:G494 AU379:AU382 AL379:AL382 R379:R382 F379 R277:R279 AL277:AL279 AU277:AU279 R286:R289 F277 AL286:AL289 AU286:AU289 R291:R295 F286 AL291:AL295 AU291:AU295 AU297:AU301 AL297:AL301 G300:G301 R266:R270 F291 R317 G317:G326 AL317:AL326 AU317:AU326 F307 R332:R333 F317 AL332:AL333 AU332:AU333 R319:R326 AU342:AU345 AL342:AL345 G344:G345 F332 R347 R349 R351 F342:G342 AU347:AU352 F347 R486:R492 AL486:AL492 AU486:AU492 G379:G381 R494:R500 G487:G492 AU494:AU500 AL494:AL500 G261:G264 G267:G270 G277:G279 G286:G289 G291:G295 G307:G309 R297:R301 G332:G333 G347:G352 R342:R345 F266 AU630:AU631 AU354:AU357 AU507 AL354:AL357 AL374 AL507 F507:G507 R354:R357 R328:R330 AL328:AL330 AU328:AU330 R335:R340 F328 AL335:AL340 AU335:AU340 F335 F359 R359:R362 AL359:AL365 AU359:AU364 F354 G359:G361 AL376:AL377 R374:R377 G364 AU374:AU377 R507 G328:G330 G335:G340 G354:G357 G374:G377 F374 AL573 AP630:AP631 R630:R631 G630:G631 F630 AU637:AU638 R636:R638 AL636:AL638 G636:G638 F636 AU479:AU484 AL479:AL484 R479:R484 G479:G484 F479 R555:R556 G556 F219:G221 G82 AL62:AL77 R62:R77 G68:G77 AU3:AU152 AL3:AL60 G3:G58 R3:R60 G118:G163 AL111:AL152 R111:R163" xr:uid="{5AB5A7E9-4DD3-4311-B8EA-066D0CBBBF23}"/>
  </dataValidations>
  <pageMargins left="0.7" right="0.7" top="0.75" bottom="0.75" header="0.3" footer="0.3"/>
  <pageSetup paperSize="9" orientation="portrait" r:id="rId1"/>
  <ignoredErrors>
    <ignoredError sqref="AA3" formulaRange="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845B3-6797-40CC-B834-1826BCA6170A}">
  <dimension ref="A1"/>
  <sheetViews>
    <sheetView workbookViewId="0">
      <selection activeCell="D9" sqref="D9"/>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PRI_SFR</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2023-02-22T11:02:35Z</dcterms:created>
  <dcterms:modified xsi:type="dcterms:W3CDTF">2023-05-02T13:51:32Z</dcterms:modified>
</cp:coreProperties>
</file>